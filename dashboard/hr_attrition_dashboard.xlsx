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1140167e4661269/Desktop/Excel project/"/>
    </mc:Choice>
  </mc:AlternateContent>
  <xr:revisionPtr revIDLastSave="625" documentId="8_{C62C8F0A-03DF-45D3-A46D-64D2F76D3182}" xr6:coauthVersionLast="47" xr6:coauthVersionMax="47" xr10:uidLastSave="{72AC8A58-35B2-4C31-A989-04431057191E}"/>
  <bookViews>
    <workbookView xWindow="-108" yWindow="-108" windowWidth="23256" windowHeight="12456" activeTab="2" xr2:uid="{7CE4B6A6-96F7-48DF-B2C8-38B6FED79F6C}"/>
  </bookViews>
  <sheets>
    <sheet name="HR data" sheetId="1" r:id="rId1"/>
    <sheet name="Analysis" sheetId="2" r:id="rId2"/>
    <sheet name="Dashboard" sheetId="3" r:id="rId3"/>
  </sheets>
  <definedNames>
    <definedName name="Slicer_Department">#N/A</definedName>
    <definedName name="Slicer_Gender">#N/A</definedName>
    <definedName name="Slicer_Job_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2" i="1"/>
  <c r="I4" i="2"/>
  <c r="E4" i="2"/>
  <c r="G4" i="2" s="1"/>
  <c r="B4" i="2"/>
</calcChain>
</file>

<file path=xl/sharedStrings.xml><?xml version="1.0" encoding="utf-8"?>
<sst xmlns="http://schemas.openxmlformats.org/spreadsheetml/2006/main" count="8863" uniqueCount="1509">
  <si>
    <t>Attrition</t>
  </si>
  <si>
    <t>Department</t>
  </si>
  <si>
    <t>Gender</t>
  </si>
  <si>
    <t>Job Role</t>
  </si>
  <si>
    <t>Over Time</t>
  </si>
  <si>
    <t>Age</t>
  </si>
  <si>
    <t>Job Satisfaction</t>
  </si>
  <si>
    <t>Monthly Income</t>
  </si>
  <si>
    <t>Years At Company</t>
  </si>
  <si>
    <t>Yes</t>
  </si>
  <si>
    <t>Sales</t>
  </si>
  <si>
    <t>STAFF-1</t>
  </si>
  <si>
    <t>Female</t>
  </si>
  <si>
    <t>Sales Executive</t>
  </si>
  <si>
    <t>No</t>
  </si>
  <si>
    <t>R&amp;D</t>
  </si>
  <si>
    <t>STAFF-2</t>
  </si>
  <si>
    <t>Male</t>
  </si>
  <si>
    <t>Research Scientist</t>
  </si>
  <si>
    <t>STAFF-4</t>
  </si>
  <si>
    <t>Laboratory Technician</t>
  </si>
  <si>
    <t>STAFF-5</t>
  </si>
  <si>
    <t>STAFF-7</t>
  </si>
  <si>
    <t>STAFF-8</t>
  </si>
  <si>
    <t>STAFF-10</t>
  </si>
  <si>
    <t>STAFF-11</t>
  </si>
  <si>
    <t>STAFF-12</t>
  </si>
  <si>
    <t>Manufacturing Director</t>
  </si>
  <si>
    <t>STAFF-13</t>
  </si>
  <si>
    <t>Healthcare Representative</t>
  </si>
  <si>
    <t>STAFF-14</t>
  </si>
  <si>
    <t>STAFF-15</t>
  </si>
  <si>
    <t>STAFF-16</t>
  </si>
  <si>
    <t>STAFF-18</t>
  </si>
  <si>
    <t>STAFF-19</t>
  </si>
  <si>
    <t>STAFF-20</t>
  </si>
  <si>
    <t>STAFF-21</t>
  </si>
  <si>
    <t>STAFF-22</t>
  </si>
  <si>
    <t>STAFF-23</t>
  </si>
  <si>
    <t>Manager</t>
  </si>
  <si>
    <t>STAFF-24</t>
  </si>
  <si>
    <t>STAFF-26</t>
  </si>
  <si>
    <t>STAFF-27</t>
  </si>
  <si>
    <t>Sales Representative</t>
  </si>
  <si>
    <t>STAFF-28</t>
  </si>
  <si>
    <t>Research Director</t>
  </si>
  <si>
    <t>STAFF-30</t>
  </si>
  <si>
    <t>STAFF-31</t>
  </si>
  <si>
    <t>STAFF-32</t>
  </si>
  <si>
    <t>STAFF-33</t>
  </si>
  <si>
    <t>STAFF-35</t>
  </si>
  <si>
    <t>STAFF-36</t>
  </si>
  <si>
    <t>STAFF-38</t>
  </si>
  <si>
    <t>STAFF-39</t>
  </si>
  <si>
    <t>STAFF-40</t>
  </si>
  <si>
    <t>STAFF-41</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</si>
  <si>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</si>
  <si>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</si>
  <si>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</si>
  <si>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</si>
  <si>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</si>
  <si>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</si>
  <si>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</si>
  <si>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</si>
  <si>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</si>
  <si>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</si>
  <si>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</si>
  <si>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</si>
  <si>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</si>
  <si>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</si>
  <si>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</si>
  <si>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</si>
  <si>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</si>
  <si>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</si>
  <si>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</si>
  <si>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</si>
  <si>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</si>
  <si>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</si>
  <si>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</si>
  <si>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</si>
  <si>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</si>
  <si>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</si>
  <si>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</si>
  <si>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</si>
  <si>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</si>
  <si>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</si>
  <si>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</si>
  <si>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</si>
  <si>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</si>
  <si>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</si>
  <si>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</si>
  <si>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</si>
  <si>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</si>
  <si>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</si>
  <si>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</si>
  <si>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</si>
  <si>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</si>
  <si>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</si>
  <si>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</si>
  <si>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</si>
  <si>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</si>
  <si>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</si>
  <si>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</si>
  <si>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</si>
  <si>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</si>
  <si>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</si>
  <si>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</si>
  <si>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</si>
  <si>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</si>
  <si>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</si>
  <si>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</si>
  <si>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</si>
  <si>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</si>
  <si>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</si>
  <si>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</si>
  <si>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</si>
  <si>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</si>
  <si>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</si>
  <si>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</si>
  <si>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</si>
  <si>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</si>
  <si>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</si>
  <si>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</si>
  <si>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</si>
  <si>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</si>
  <si>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</si>
  <si>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</si>
  <si>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</si>
  <si>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</si>
  <si>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</si>
  <si>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</si>
  <si>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</si>
  <si>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</si>
  <si>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</si>
  <si>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</si>
  <si>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</si>
  <si>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</si>
  <si>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</si>
  <si>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</si>
  <si>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</si>
  <si>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</si>
  <si>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</si>
  <si>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</si>
  <si>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</si>
  <si>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</si>
  <si>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</si>
  <si>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</si>
  <si>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</si>
  <si>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</si>
  <si>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</si>
  <si>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</si>
  <si>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</si>
  <si>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</si>
  <si>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</si>
  <si>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</si>
  <si>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</si>
  <si>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</si>
  <si>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</si>
  <si>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</si>
  <si>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</si>
  <si>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</si>
  <si>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</si>
  <si>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</si>
  <si>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</si>
  <si>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</si>
  <si>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</si>
  <si>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</si>
  <si>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</si>
  <si>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</si>
  <si>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</si>
  <si>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</si>
  <si>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</si>
  <si>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</si>
  <si>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</si>
  <si>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</si>
  <si>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</si>
  <si>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</si>
  <si>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</si>
  <si>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</si>
  <si>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</si>
  <si>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</si>
  <si>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</si>
  <si>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</si>
  <si>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</si>
  <si>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</si>
  <si>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</si>
  <si>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</si>
  <si>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</si>
  <si>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</si>
  <si>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</si>
  <si>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</si>
  <si>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</si>
  <si>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</si>
  <si>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</si>
  <si>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</si>
  <si>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</si>
  <si>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</si>
  <si>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</si>
  <si>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</si>
  <si>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</si>
  <si>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</si>
  <si>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</si>
  <si>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</si>
  <si>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</si>
  <si>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</si>
  <si>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</si>
  <si>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</si>
  <si>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</si>
  <si>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</si>
  <si>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</si>
  <si>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</si>
  <si>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</si>
  <si>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</si>
  <si>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</si>
  <si>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</si>
  <si>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</si>
  <si>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</si>
  <si>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</si>
  <si>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</si>
  <si>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</si>
  <si>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</si>
  <si>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</si>
  <si>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</si>
  <si>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</si>
  <si>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</si>
  <si>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</si>
  <si>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</si>
  <si>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</si>
  <si>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</si>
  <si>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</si>
  <si>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</si>
  <si>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</si>
  <si>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</si>
  <si>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</si>
  <si>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</si>
  <si>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</si>
  <si>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</si>
  <si>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</si>
  <si>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</si>
  <si>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</si>
  <si>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</si>
  <si>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</si>
  <si>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</si>
  <si>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</si>
  <si>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</si>
  <si>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</si>
  <si>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</si>
  <si>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</si>
  <si>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</si>
  <si>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</si>
  <si>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</si>
  <si>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</si>
  <si>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</si>
  <si>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</si>
  <si>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</si>
  <si>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</si>
  <si>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</si>
  <si>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</si>
  <si>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</si>
  <si>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</si>
  <si>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</si>
  <si>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</si>
  <si>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</si>
  <si>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</si>
  <si>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</si>
  <si>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</si>
  <si>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</si>
  <si>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</si>
  <si>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</si>
  <si>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</si>
  <si>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</si>
  <si>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</si>
  <si>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</si>
  <si>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</si>
  <si>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</si>
  <si>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</si>
  <si>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</si>
  <si>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</si>
  <si>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</si>
  <si>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</si>
  <si>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</si>
  <si>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</si>
  <si>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</si>
  <si>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</si>
  <si>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</si>
  <si>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</si>
  <si>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</si>
  <si>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</si>
  <si>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</si>
  <si>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</si>
  <si>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</si>
  <si>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</si>
  <si>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</si>
  <si>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</si>
  <si>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</si>
  <si>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</si>
  <si>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</si>
  <si>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</si>
  <si>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</si>
  <si>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</si>
  <si>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</si>
  <si>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</si>
  <si>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</si>
  <si>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</si>
  <si>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</si>
  <si>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</si>
  <si>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</si>
  <si>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</si>
  <si>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</si>
  <si>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</si>
  <si>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</si>
  <si>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</si>
  <si>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</si>
  <si>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</si>
  <si>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</si>
  <si>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</si>
  <si>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</si>
  <si>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</si>
  <si>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</si>
  <si>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</si>
  <si>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</si>
  <si>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</si>
  <si>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</si>
  <si>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</si>
  <si>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</si>
  <si>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</si>
  <si>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</si>
  <si>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</si>
  <si>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</si>
  <si>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</si>
  <si>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</si>
  <si>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</si>
  <si>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</si>
  <si>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</si>
  <si>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</si>
  <si>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</si>
  <si>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</si>
  <si>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</si>
  <si>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</si>
  <si>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</si>
  <si>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</si>
  <si>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</si>
  <si>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</si>
  <si>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</si>
  <si>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</si>
  <si>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</si>
  <si>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</si>
  <si>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</si>
  <si>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</si>
  <si>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</si>
  <si>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</si>
  <si>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</si>
  <si>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</si>
  <si>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</si>
  <si>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</si>
  <si>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</si>
  <si>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</si>
  <si>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</si>
  <si>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</si>
  <si>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</si>
  <si>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</si>
  <si>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</si>
  <si>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</si>
  <si>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</si>
  <si>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</si>
  <si>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</si>
  <si>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</si>
  <si>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</si>
  <si>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</si>
  <si>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</si>
  <si>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</si>
  <si>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</si>
  <si>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</si>
  <si>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</si>
  <si>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</si>
  <si>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</si>
  <si>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</si>
  <si>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</si>
  <si>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</si>
  <si>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</si>
  <si>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</si>
  <si>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</si>
  <si>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</si>
  <si>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</si>
  <si>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</si>
  <si>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</si>
  <si>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</si>
  <si>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</si>
  <si>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</si>
  <si>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</si>
  <si>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</si>
  <si>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</si>
  <si>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</si>
  <si>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</si>
  <si>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</si>
  <si>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</si>
  <si>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</si>
  <si>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</si>
  <si>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</si>
  <si>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</si>
  <si>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</si>
  <si>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</si>
  <si>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</si>
  <si>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</si>
  <si>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</si>
  <si>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</si>
  <si>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</si>
  <si>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</si>
  <si>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</si>
  <si>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</si>
  <si>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</si>
  <si>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</si>
  <si>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</si>
  <si>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</si>
  <si>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</si>
  <si>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</si>
  <si>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</si>
  <si>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</si>
  <si>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</si>
  <si>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</si>
  <si>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</si>
  <si>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</si>
  <si>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</si>
  <si>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</si>
  <si>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</si>
  <si>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</si>
  <si>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</si>
  <si>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</si>
  <si>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</si>
  <si>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</si>
  <si>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</si>
  <si>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</si>
  <si>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</si>
  <si>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</si>
  <si>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</si>
  <si>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</si>
  <si>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</si>
  <si>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</si>
  <si>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</si>
  <si>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</si>
  <si>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</si>
  <si>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</si>
  <si>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</si>
  <si>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</si>
  <si>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</si>
  <si>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</si>
  <si>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</si>
  <si>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</si>
  <si>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</si>
  <si>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</si>
  <si>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</si>
  <si>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</si>
  <si>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</si>
  <si>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</si>
  <si>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</si>
  <si>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</si>
  <si>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</si>
  <si>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</si>
  <si>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</si>
  <si>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</si>
  <si>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</si>
  <si>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</si>
  <si>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</si>
  <si>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</si>
  <si>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</si>
  <si>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</si>
  <si>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</si>
  <si>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</si>
  <si>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</si>
  <si>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</si>
  <si>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</si>
  <si>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</si>
  <si>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</si>
  <si>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</si>
  <si>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</si>
  <si>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</si>
  <si>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</si>
  <si>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</si>
  <si>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</si>
  <si>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</si>
  <si>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</si>
  <si>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</si>
  <si>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</si>
  <si>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</si>
  <si>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</si>
  <si>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</si>
  <si>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</si>
  <si>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</si>
  <si>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</si>
  <si>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</si>
  <si>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</si>
  <si>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</si>
  <si>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</si>
  <si>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</si>
  <si>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</si>
  <si>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</si>
  <si>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</si>
  <si>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</si>
  <si>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</si>
  <si>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</si>
  <si>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</si>
  <si>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</si>
  <si>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</si>
  <si>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</si>
  <si>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</si>
  <si>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</si>
  <si>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</si>
  <si>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</si>
  <si>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</si>
  <si>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</si>
  <si>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</si>
  <si>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</si>
  <si>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</si>
  <si>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</si>
  <si>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</si>
  <si>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</si>
  <si>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</si>
  <si>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</si>
  <si>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</si>
  <si>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</si>
  <si>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</si>
  <si>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</si>
  <si>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</si>
  <si>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</si>
  <si>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</si>
  <si>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</si>
  <si>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</si>
  <si>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</si>
  <si>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</si>
  <si>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</si>
  <si>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</si>
  <si>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</si>
  <si>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</si>
  <si>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</si>
  <si>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</si>
  <si>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</si>
  <si>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</si>
  <si>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</si>
  <si>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</si>
  <si>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</si>
  <si>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</si>
  <si>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</si>
  <si>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</si>
  <si>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</si>
  <si>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</si>
  <si>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</si>
  <si>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</si>
  <si>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</si>
  <si>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</si>
  <si>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</si>
  <si>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</si>
  <si>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</si>
  <si>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</si>
  <si>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</si>
  <si>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</si>
  <si>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</si>
  <si>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</si>
  <si>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</si>
  <si>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</si>
  <si>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</si>
  <si>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</si>
  <si>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</si>
  <si>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</si>
  <si>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</si>
  <si>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</si>
  <si>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</si>
  <si>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</si>
  <si>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</si>
  <si>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</si>
  <si>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</si>
  <si>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</si>
  <si>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</si>
  <si>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</si>
  <si>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</si>
  <si>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</si>
  <si>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</si>
  <si>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</si>
  <si>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</si>
  <si>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</si>
  <si>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</si>
  <si>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</si>
  <si>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</si>
  <si>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</si>
  <si>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</si>
  <si>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</si>
  <si>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</si>
  <si>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</si>
  <si>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</si>
  <si>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</si>
  <si>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</si>
  <si>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</si>
  <si>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</si>
  <si>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</si>
  <si>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</si>
  <si>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</si>
  <si>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</si>
  <si>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</si>
  <si>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</si>
  <si>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</si>
  <si>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</si>
  <si>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</si>
  <si>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</si>
  <si>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</si>
  <si>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</si>
  <si>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</si>
  <si>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</si>
  <si>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</si>
  <si>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</si>
  <si>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</si>
  <si>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</si>
  <si>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</si>
  <si>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</si>
  <si>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</si>
  <si>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</si>
  <si>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</si>
  <si>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</si>
  <si>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</si>
  <si>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</si>
  <si>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</si>
  <si>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</si>
  <si>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</si>
  <si>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</si>
  <si>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</si>
  <si>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</si>
  <si>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</si>
  <si>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</si>
  <si>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</si>
  <si>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</si>
  <si>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</si>
  <si>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</si>
  <si>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</si>
  <si>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</si>
  <si>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</si>
  <si>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</si>
  <si>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</si>
  <si>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</si>
  <si>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</si>
  <si>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</si>
  <si>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</si>
  <si>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</si>
  <si>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</si>
  <si>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</si>
  <si>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</si>
  <si>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</si>
  <si>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</si>
  <si>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</si>
  <si>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</si>
  <si>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</si>
  <si>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</si>
  <si>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</si>
  <si>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</si>
  <si>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</si>
  <si>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</si>
  <si>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</si>
  <si>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</si>
  <si>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</si>
  <si>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</si>
  <si>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</si>
  <si>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</si>
  <si>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</si>
  <si>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</si>
  <si>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</si>
  <si>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</si>
  <si>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</si>
  <si>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</si>
  <si>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</si>
  <si>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</si>
  <si>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</si>
  <si>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</si>
  <si>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</si>
  <si>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</si>
  <si>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</si>
  <si>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</si>
  <si>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</si>
  <si>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</si>
  <si>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</si>
  <si>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</si>
  <si>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</si>
  <si>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</si>
  <si>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</si>
  <si>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</si>
  <si>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</si>
  <si>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</si>
  <si>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</si>
  <si>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</si>
  <si>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</si>
  <si>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</si>
  <si>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</si>
  <si>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</si>
  <si>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</si>
  <si>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</si>
  <si>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</si>
  <si>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</si>
  <si>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</si>
  <si>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</si>
  <si>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</si>
  <si>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</si>
  <si>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</si>
  <si>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</si>
  <si>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</si>
  <si>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</si>
  <si>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</si>
  <si>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</si>
  <si>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</si>
  <si>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</si>
  <si>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</si>
  <si>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</si>
  <si>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</si>
  <si>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</si>
  <si>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</si>
  <si>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</si>
  <si>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</si>
  <si>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</si>
  <si>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</si>
  <si>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</si>
  <si>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</si>
  <si>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</si>
  <si>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</si>
  <si>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</si>
  <si>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</si>
  <si>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</si>
  <si>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</si>
  <si>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</si>
  <si>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</si>
  <si>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</si>
  <si>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</si>
  <si>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</si>
  <si>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</si>
  <si>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</si>
  <si>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</si>
  <si>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</si>
  <si>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</si>
  <si>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</si>
  <si>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</si>
  <si>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</si>
  <si>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</si>
  <si>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</si>
  <si>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</si>
  <si>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</si>
  <si>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</si>
  <si>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</si>
  <si>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</si>
  <si>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</si>
  <si>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</si>
  <si>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</si>
  <si>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</si>
  <si>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</si>
  <si>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</si>
  <si>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</si>
  <si>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</si>
  <si>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</si>
  <si>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</si>
  <si>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</si>
  <si>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</si>
  <si>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</si>
  <si>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</si>
  <si>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</si>
  <si>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</si>
  <si>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</si>
  <si>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</si>
  <si>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</si>
  <si>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</si>
  <si>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</si>
  <si>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</si>
  <si>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</si>
  <si>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</si>
  <si>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</si>
  <si>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</si>
  <si>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</si>
  <si>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</si>
  <si>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</si>
  <si>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</si>
  <si>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</si>
  <si>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</si>
  <si>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</si>
  <si>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</si>
  <si>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</si>
  <si>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</si>
  <si>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</si>
  <si>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</si>
  <si>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</si>
  <si>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</si>
  <si>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</si>
  <si>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</si>
  <si>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</si>
  <si>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</si>
  <si>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</si>
  <si>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</si>
  <si>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</si>
  <si>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</si>
  <si>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</si>
  <si>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</si>
  <si>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</si>
  <si>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</si>
  <si>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</si>
  <si>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</si>
  <si>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</si>
  <si>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</si>
  <si>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</si>
  <si>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</si>
  <si>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</si>
  <si>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</si>
  <si>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</si>
  <si>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</si>
  <si>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</si>
  <si>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</si>
  <si>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</si>
  <si>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</si>
  <si>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</si>
  <si>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</si>
  <si>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</si>
  <si>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</si>
  <si>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</si>
  <si>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</si>
  <si>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</si>
  <si>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</si>
  <si>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</si>
  <si>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</si>
  <si>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</si>
  <si>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</si>
  <si>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</si>
  <si>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</si>
  <si>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</si>
  <si>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</si>
  <si>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</si>
  <si>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</si>
  <si>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</si>
  <si>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</si>
  <si>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</si>
  <si>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</si>
  <si>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</si>
  <si>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</si>
  <si>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</si>
  <si>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</si>
  <si>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</si>
  <si>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</si>
  <si>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</si>
  <si>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</si>
  <si>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</si>
  <si>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</si>
  <si>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</si>
  <si>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</si>
  <si>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</si>
  <si>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</si>
  <si>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</si>
  <si>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</si>
  <si>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</si>
  <si>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</si>
  <si>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</si>
  <si>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</si>
  <si>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</si>
  <si>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</si>
  <si>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</si>
  <si>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</si>
  <si>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</si>
  <si>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</si>
  <si>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</si>
  <si>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</si>
  <si>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</si>
  <si>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</si>
  <si>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</si>
  <si>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</si>
  <si>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</si>
  <si>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</si>
  <si>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</si>
  <si>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</si>
  <si>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</si>
  <si>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</si>
  <si>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</si>
  <si>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</si>
  <si>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</si>
  <si>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</si>
  <si>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</si>
  <si>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</si>
  <si>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</si>
  <si>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</si>
  <si>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</si>
  <si>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</si>
  <si>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</si>
  <si>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</si>
  <si>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</si>
  <si>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</si>
  <si>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</si>
  <si>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</si>
  <si>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</si>
  <si>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</si>
  <si>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</si>
  <si>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</si>
  <si>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</si>
  <si>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</si>
  <si>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</si>
  <si>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</si>
  <si>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</si>
  <si>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</si>
  <si>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</si>
  <si>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</si>
  <si>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</si>
  <si>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</si>
  <si>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</si>
  <si>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</si>
  <si>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</si>
  <si>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</si>
  <si>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</si>
  <si>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</si>
  <si>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</si>
  <si>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</si>
  <si>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</si>
  <si>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</si>
  <si>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</si>
  <si>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</si>
  <si>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</si>
  <si>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</si>
  <si>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</si>
  <si>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</si>
  <si>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</si>
  <si>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</si>
  <si>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</si>
  <si>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</si>
  <si>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</si>
  <si>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</si>
  <si>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</si>
  <si>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</si>
  <si>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</si>
  <si>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</si>
  <si>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</si>
  <si>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</si>
  <si>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</si>
  <si>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</si>
  <si>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</si>
  <si>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</si>
  <si>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</si>
  <si>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</si>
  <si>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</si>
  <si>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</si>
  <si>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</si>
  <si>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</si>
  <si>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</si>
  <si>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</si>
  <si>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</si>
  <si>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</si>
  <si>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</si>
  <si>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</si>
  <si>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</si>
  <si>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</si>
  <si>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</si>
  <si>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</si>
  <si>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</si>
  <si>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</si>
  <si>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</si>
  <si>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</si>
  <si>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</si>
  <si>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</si>
  <si>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</si>
  <si>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</si>
  <si>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</si>
  <si>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</si>
  <si>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</si>
  <si>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</si>
  <si>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</si>
  <si>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</si>
  <si>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</si>
  <si>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</si>
  <si>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</si>
  <si>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</si>
  <si>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</si>
  <si>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</si>
  <si>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</si>
  <si>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</si>
  <si>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</si>
  <si>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</si>
  <si>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</si>
  <si>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</si>
  <si>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</si>
  <si>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</si>
  <si>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</si>
  <si>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</si>
  <si>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</si>
  <si>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</si>
  <si>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</si>
  <si>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</si>
  <si>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</si>
  <si>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</si>
  <si>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</si>
  <si>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</si>
  <si>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</si>
  <si>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</si>
  <si>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</si>
  <si>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</si>
  <si>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</si>
  <si>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</si>
  <si>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</si>
  <si>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</si>
  <si>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</si>
  <si>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</si>
  <si>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</si>
  <si>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</si>
  <si>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</si>
  <si>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</si>
  <si>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</si>
  <si>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</si>
  <si>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</si>
  <si>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</si>
  <si>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</si>
  <si>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</si>
  <si>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</si>
  <si>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</si>
  <si>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</si>
  <si>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</si>
  <si>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</si>
  <si>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</si>
  <si>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</si>
  <si>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</si>
  <si>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</si>
  <si>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</si>
  <si>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</si>
  <si>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</si>
  <si>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</si>
  <si>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</si>
  <si>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</si>
  <si>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</si>
  <si>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</si>
  <si>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</si>
  <si>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</si>
  <si>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</si>
  <si>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</si>
  <si>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</si>
  <si>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</si>
  <si>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</si>
  <si>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</si>
  <si>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</si>
  <si>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</si>
  <si>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</si>
  <si>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</si>
  <si>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</si>
  <si>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</si>
  <si>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</si>
  <si>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</si>
  <si>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</si>
  <si>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</si>
  <si>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</si>
  <si>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</si>
  <si>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</si>
  <si>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</si>
  <si>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</si>
  <si>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</si>
  <si>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</si>
  <si>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</si>
  <si>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</si>
  <si>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</si>
  <si>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</si>
  <si>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</si>
  <si>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</si>
  <si>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</si>
  <si>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</si>
  <si>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</si>
  <si>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</si>
  <si>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</si>
  <si>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</si>
  <si>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</si>
  <si>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</si>
  <si>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</si>
  <si>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</si>
  <si>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</si>
  <si>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</si>
  <si>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</si>
  <si>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</si>
  <si>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</si>
  <si>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</si>
  <si>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</si>
  <si>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</si>
  <si>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</si>
  <si>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</si>
  <si>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</si>
  <si>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</si>
  <si>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</si>
  <si>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</si>
  <si>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</si>
  <si>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</si>
  <si>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</si>
  <si>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</si>
  <si>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</si>
  <si>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</si>
  <si>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</si>
  <si>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</si>
  <si>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</si>
  <si>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</si>
  <si>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</si>
  <si>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</si>
  <si>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</si>
  <si>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</si>
  <si>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</si>
  <si>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</si>
  <si>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</si>
  <si>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</si>
  <si>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</si>
  <si>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</si>
  <si>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</si>
  <si>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</si>
  <si>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</si>
  <si>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</si>
  <si>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</si>
  <si>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</si>
  <si>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</si>
  <si>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</si>
  <si>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</si>
  <si>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</si>
  <si>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</si>
  <si>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</si>
  <si>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</si>
  <si>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</si>
  <si>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</si>
  <si>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</si>
  <si>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</si>
  <si>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</si>
  <si>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</si>
  <si>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</si>
  <si>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</si>
  <si>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</si>
  <si>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</si>
  <si>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</si>
  <si>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</si>
  <si>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</si>
  <si>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</si>
  <si>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</si>
  <si>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</si>
  <si>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</si>
  <si>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</si>
  <si>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</si>
  <si>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</si>
  <si>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</si>
  <si>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</si>
  <si>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</si>
  <si>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</si>
  <si>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</si>
  <si>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</si>
  <si>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</si>
  <si>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</si>
  <si>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</si>
  <si>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</si>
  <si>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</si>
  <si>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</si>
  <si>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</si>
  <si>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</si>
  <si>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</si>
  <si>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</si>
  <si>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</si>
  <si>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</si>
  <si>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</si>
  <si>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</si>
  <si>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</si>
  <si>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</si>
  <si>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</si>
  <si>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</si>
  <si>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</si>
  <si>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</si>
  <si>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</si>
  <si>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</si>
  <si>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</si>
  <si>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</si>
  <si>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</si>
  <si>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</si>
  <si>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</si>
  <si>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</si>
  <si>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</si>
  <si>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</si>
  <si>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</si>
  <si>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</si>
  <si>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</si>
  <si>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</si>
  <si>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</si>
  <si>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</si>
  <si>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</si>
  <si>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</si>
  <si>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</si>
  <si>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</si>
  <si>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</si>
  <si>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</si>
  <si>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</si>
  <si>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</si>
  <si>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</si>
  <si>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</si>
  <si>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</si>
  <si>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</si>
  <si>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</si>
  <si>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</si>
  <si>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</si>
  <si>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</si>
  <si>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</si>
  <si>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</si>
  <si>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</si>
  <si>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</si>
  <si>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</si>
  <si>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</si>
  <si>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</si>
  <si>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</si>
  <si>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</si>
  <si>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</si>
  <si>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</si>
  <si>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</si>
  <si>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</si>
  <si>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</si>
  <si>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</si>
  <si>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</si>
  <si>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</si>
  <si>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</si>
  <si>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</si>
  <si>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</si>
  <si>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</si>
  <si>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</si>
  <si>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</si>
  <si>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</si>
  <si>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</si>
  <si>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</si>
  <si>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</si>
  <si>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</si>
  <si>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</si>
  <si>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</si>
  <si>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</si>
  <si>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</si>
  <si>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</si>
  <si>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</si>
  <si>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</si>
  <si>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</si>
  <si>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</si>
  <si>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</si>
  <si>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</si>
  <si>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</si>
  <si>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</si>
  <si>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</si>
  <si>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</si>
  <si>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</si>
  <si>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</si>
  <si>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</si>
  <si>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</si>
  <si>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</si>
  <si>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</si>
  <si>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</si>
  <si>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</si>
  <si>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</si>
  <si>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</si>
  <si>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</si>
  <si>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</si>
  <si>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</si>
  <si>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</si>
  <si>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</si>
  <si>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</si>
  <si>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</si>
  <si>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</si>
  <si>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</si>
  <si>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</si>
  <si>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</si>
  <si>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</si>
  <si>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</si>
  <si>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</si>
  <si>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</si>
  <si>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</si>
  <si>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</si>
  <si>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</si>
  <si>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</si>
  <si>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</si>
  <si>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</si>
  <si>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</si>
  <si>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</si>
  <si>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</si>
  <si>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</si>
  <si>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</si>
  <si>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</si>
  <si>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</si>
  <si>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</si>
  <si>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</si>
  <si>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</si>
  <si>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</si>
  <si>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</si>
  <si>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</si>
  <si>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</si>
  <si>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</si>
  <si>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</si>
  <si>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</si>
  <si>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</si>
  <si>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</si>
  <si>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</si>
  <si>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</si>
  <si>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</si>
  <si>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</si>
  <si>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</si>
  <si>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</si>
  <si>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</si>
  <si>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</si>
  <si>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</si>
  <si>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</si>
  <si>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</si>
  <si>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</si>
  <si>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</si>
  <si>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</si>
  <si>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</si>
  <si>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</si>
  <si>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</si>
  <si>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</si>
  <si>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</si>
  <si>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</si>
  <si>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</si>
  <si>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</si>
  <si>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</si>
  <si>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</si>
  <si>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</si>
  <si>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</si>
  <si>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</si>
  <si>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</si>
  <si>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</si>
  <si>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</si>
  <si>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</si>
  <si>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</si>
  <si>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</si>
  <si>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</si>
  <si>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</si>
  <si>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</si>
  <si>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</si>
  <si>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</si>
  <si>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</si>
  <si>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</si>
  <si>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</si>
  <si>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</si>
  <si>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</si>
  <si>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</si>
  <si>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</si>
  <si>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</si>
  <si>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</si>
  <si>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</si>
  <si>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</si>
  <si>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</si>
  <si>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</si>
  <si>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</si>
  <si>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</si>
  <si>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</si>
  <si>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</si>
  <si>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</si>
  <si>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</si>
  <si>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</si>
  <si>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</si>
  <si>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</si>
  <si>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</si>
  <si>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</si>
  <si>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</si>
  <si>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</si>
  <si>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</si>
  <si>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</si>
  <si>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</si>
  <si>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</si>
  <si>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</si>
  <si>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</si>
  <si>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</si>
  <si>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</si>
  <si>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</si>
  <si>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</si>
  <si>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</si>
  <si>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</si>
  <si>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</si>
  <si>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</si>
  <si>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</si>
  <si>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</si>
  <si>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</si>
  <si>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</si>
  <si>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</si>
  <si>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</si>
  <si>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</si>
  <si>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</si>
  <si>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</si>
  <si>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</si>
  <si>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</si>
  <si>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</si>
  <si>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</si>
  <si>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</si>
  <si>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</si>
  <si>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</si>
  <si>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</si>
  <si>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</si>
  <si>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</si>
  <si>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</si>
  <si>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</si>
  <si>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</si>
  <si>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</si>
  <si>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</si>
  <si>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</si>
  <si>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</si>
  <si>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</si>
  <si>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</si>
  <si>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</si>
  <si>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</si>
  <si>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</si>
  <si>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</si>
  <si>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</si>
  <si>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</si>
  <si>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</si>
  <si>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</si>
  <si>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</si>
  <si>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</si>
  <si>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</si>
  <si>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</si>
  <si>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</si>
  <si>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</si>
  <si>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</si>
  <si>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</si>
  <si>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</si>
  <si>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</si>
  <si>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</si>
  <si>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</si>
  <si>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</si>
  <si>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</si>
  <si>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</si>
  <si>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</si>
  <si>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</si>
  <si>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</si>
  <si>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</si>
  <si>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</si>
  <si>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</si>
  <si>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</si>
  <si>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</si>
  <si>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</si>
  <si>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</si>
  <si>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</si>
  <si>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</si>
  <si>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</si>
  <si>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</si>
  <si>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</si>
  <si>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</si>
  <si>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</si>
  <si>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</si>
  <si>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</si>
  <si>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</si>
  <si>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</si>
  <si>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</si>
  <si>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</si>
  <si>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</si>
  <si>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</si>
  <si>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</si>
  <si>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</si>
  <si>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</si>
  <si>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</si>
  <si>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</si>
  <si>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</si>
  <si>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</si>
  <si>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</si>
  <si>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</si>
  <si>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</si>
  <si>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</si>
  <si>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</si>
  <si>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</si>
  <si>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</si>
  <si>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</si>
  <si>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</si>
  <si>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</si>
  <si>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</si>
  <si>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</si>
  <si>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</si>
  <si>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</si>
  <si>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</si>
  <si>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</si>
  <si>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</si>
  <si>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</si>
  <si>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</si>
  <si>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</si>
  <si>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</si>
  <si>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</si>
  <si>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</si>
  <si>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</si>
  <si>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</si>
  <si>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</si>
  <si>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</si>
  <si>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</si>
  <si>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</si>
  <si>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</si>
  <si>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</si>
  <si>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</si>
  <si>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</si>
  <si>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</si>
  <si>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</si>
  <si>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</si>
  <si>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</si>
  <si>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</si>
  <si>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</si>
  <si>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</si>
  <si>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</si>
  <si>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</si>
  <si>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</si>
  <si>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</si>
  <si>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</si>
  <si>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</si>
  <si>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</si>
  <si>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</si>
  <si>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</si>
  <si>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</si>
  <si>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</si>
  <si>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</si>
  <si>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</si>
  <si>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</si>
  <si>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Emp ID</t>
  </si>
  <si>
    <t>Total Employees</t>
  </si>
  <si>
    <t>Attrition Count</t>
  </si>
  <si>
    <t>Attrition Rate</t>
  </si>
  <si>
    <t>Average Salary</t>
  </si>
  <si>
    <t>Salary Range</t>
  </si>
  <si>
    <t>Row Labels</t>
  </si>
  <si>
    <t>Grand Total</t>
  </si>
  <si>
    <t>Count of Attrition</t>
  </si>
  <si>
    <t>High</t>
  </si>
  <si>
    <t>Low</t>
  </si>
  <si>
    <t>Medium</t>
  </si>
  <si>
    <t>Overtime</t>
  </si>
  <si>
    <t>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</si>
</sst>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 x14ac:knownFonts="1">
    <font>
      <sz val="12"/>
      <color theme="1"/>
      <name val="Calibri"/>
      <family val="2"/>
      <scheme val="minor"/>
    </font>
    <font>
      <b/>
      <sz val="12"/>
      <color theme="0"/>
      <name val="Calibri"/>
      <family val="2"/>
      <scheme val="minor"/>
    </font>
  </fonts>
  <fills count="6">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
      <patternFill patternType="solid">
        <fgColor theme="7" tint="0.59999389629810485"/>
        <bgColor indexed="64"/>
      </patternFill>
    </fill>
  </fills>
  <borders count="5">
    <border>
      <left/>
      <right/>
      <top/>
      <bottom/>
      <diagonal/>
    </border>
    <border>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style="thin">
        <color theme="1"/>
      </left>
      <right/>
      <top/>
      <bottom/>
      <diagonal/>
    </border>
  </borders>
  <cellStyleXfs count="1">
    <xf numFmtId="0" fontId="0" fillId="0" borderId="0"/>
  </cellStyleXfs>
  <cellXfs count="26">
    <xf numFmtId="0" fontId="0" fillId="0" borderId="0" xfId="0"/>
    <xf numFmtId="0" fontId="0" fillId="0" borderId="1" xfId="0" applyBorder="1"/>
    <xf numFmtId="0" fontId="1" fillId="2" borderId="3" xfId="0" applyFont="1" applyFill="1" applyBorder="1"/>
    <xf numFmtId="0" fontId="0" fillId="3" borderId="2" xfId="0" applyFill="1" applyBorder="1"/>
    <xf numFmtId="0" fontId="0" fillId="3" borderId="3" xfId="0" applyFill="1" applyBorder="1"/>
    <xf numFmtId="0" fontId="0" fillId="0" borderId="2" xfId="0" applyBorder="1"/>
    <xf numFmtId="0" fontId="0" fillId="0" borderId="3" xfId="0" applyBorder="1"/>
    <xf numFmtId="0" fontId="1" fillId="2" borderId="0" xfId="0" applyFont="1" applyFill="1"/>
    <xf numFmtId="0" fontId="1" fillId="2" borderId="4" xfId="0" applyFont="1" applyFill="1" applyBorder="1"/>
    <xf numFmtId="2" fontId="1" fillId="2" borderId="0" xfId="0" applyNumberFormat="1" applyFont="1" applyFill="1"/>
    <xf numFmtId="2" fontId="0" fillId="3" borderId="3" xfId="0" applyNumberFormat="1" applyFill="1" applyBorder="1"/>
    <xf numFmtId="2" fontId="0" fillId="0" borderId="3" xfId="0" applyNumberFormat="1" applyBorder="1"/>
    <xf numFmtId="2" fontId="0" fillId="0" borderId="0" xfId="0" applyNumberFormat="1"/>
    <xf numFmtId="0" fontId="0" fillId="4" borderId="0" xfId="0" applyFill="1" applyAlignment="1">
      <alignment horizontal="center" vertical="center"/>
    </xf>
    <xf numFmtId="0" fontId="0" fillId="4" borderId="0" xfId="0" applyFill="1"/>
    <xf numFmtId="10" fontId="0" fillId="0" borderId="0" xfId="0" applyNumberFormat="1"/>
    <xf numFmtId="0" fontId="0" fillId="0" borderId="0" xfId="0" applyAlignment="1">
      <alignment horizontal="center" vertical="center"/>
    </xf>
    <xf numFmtId="164" fontId="1" fillId="2" borderId="0" xfId="0" applyNumberFormat="1" applyFont="1" applyFill="1"/>
    <xf numFmtId="164" fontId="0" fillId="3" borderId="3" xfId="0" applyNumberFormat="1" applyFill="1" applyBorder="1"/>
    <xf numFmtId="164" fontId="0" fillId="0" borderId="3" xfId="0" applyNumberFormat="1" applyBorder="1"/>
    <xf numFmtId="164"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0" fontId="0" fillId="5" borderId="0" xfId="0" applyFill="1"/>
    <xf numFmtId="0" fontId="0" fillId="0" borderId="0" xfId="0" applyNumberFormat="1"/>
  </cellXfs>
  <cellStyles count="1">
    <cellStyle name="Normal" xfId="0" builtinId="0"/>
  </cellStyles>
  <dxfs count="14">
    <dxf>
      <font>
        <b val="0"/>
        <i val="0"/>
        <strike val="0"/>
        <condense val="0"/>
        <extend val="0"/>
        <outline val="0"/>
        <shadow val="0"/>
        <u val="none"/>
        <vertAlign val="baseline"/>
        <sz val="12"/>
        <color theme="1"/>
        <name val="Calibri"/>
        <family val="2"/>
        <scheme val="minor"/>
      </font>
      <numFmt numFmtId="0" formatCode="General"/>
      <border diagonalUp="0" diagonalDown="0">
        <left style="thin">
          <color theme="1"/>
        </left>
        <right/>
        <top style="thin">
          <color theme="1"/>
        </top>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2"/>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2"/>
        <color theme="1"/>
        <name val="Calibri"/>
        <family val="2"/>
        <scheme val="minor"/>
      </font>
      <numFmt numFmtId="2" formatCode="0.00"/>
      <border diagonalUp="0" diagonalDown="0" outline="0">
        <left/>
        <right/>
        <top style="thin">
          <color theme="1"/>
        </top>
        <bottom/>
      </border>
    </dxf>
    <dxf>
      <font>
        <b val="0"/>
        <i val="0"/>
        <strike val="0"/>
        <condense val="0"/>
        <extend val="0"/>
        <outline val="0"/>
        <shadow val="0"/>
        <u val="none"/>
        <vertAlign val="baseline"/>
        <sz val="12"/>
        <color theme="1"/>
        <name val="Calibri"/>
        <family val="2"/>
        <scheme val="minor"/>
      </font>
      <numFmt numFmtId="164" formatCode="[$$-409]#,##0.00"/>
      <border diagonalUp="0" diagonalDown="0">
        <left/>
        <right/>
        <top style="thin">
          <color theme="1"/>
        </top>
        <bottom/>
      </border>
    </dxf>
    <dxf>
      <font>
        <b val="0"/>
        <i val="0"/>
        <strike val="0"/>
        <condense val="0"/>
        <extend val="0"/>
        <outline val="0"/>
        <shadow val="0"/>
        <u val="none"/>
        <vertAlign val="baseline"/>
        <sz val="12"/>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2"/>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1"/>
        </top>
        <bottom/>
        <vertical/>
        <horizontal/>
      </border>
    </dxf>
    <dxf>
      <border outline="0">
        <top style="thin">
          <color theme="1"/>
        </top>
        <bottom style="thin">
          <color theme="1"/>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Department</a:t>
            </a:r>
            <a:r>
              <a:rPr lang="en-US" baseline="0">
                <a:solidFill>
                  <a:schemeClr val="tx1"/>
                </a:solidFill>
              </a:rPr>
              <a:t> Wise Attrition</a:t>
            </a:r>
            <a:endParaRPr lang="en-US">
              <a:solidFill>
                <a:schemeClr val="tx1"/>
              </a:solidFill>
            </a:endParaRPr>
          </a:p>
        </c:rich>
      </c:tx>
      <c:overlay val="0"/>
      <c:spPr>
        <a:solidFill>
          <a:schemeClr val="bg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22860083018272E-2"/>
          <c:y val="0.24875886524822696"/>
          <c:w val="0.88390856429289955"/>
          <c:h val="0.68559072161434365"/>
        </c:manualLayout>
      </c:layout>
      <c:barChart>
        <c:barDir val="col"/>
        <c:grouping val="clustered"/>
        <c:varyColors val="0"/>
        <c:ser>
          <c:idx val="0"/>
          <c:order val="0"/>
          <c:tx>
            <c:strRef>
              <c:f>Analysis!$C$8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Analysis!$B$9:$B$12</c:f>
              <c:strCache>
                <c:ptCount val="3"/>
                <c:pt idx="0">
                  <c:v>R&amp;D</c:v>
                </c:pt>
                <c:pt idx="1">
                  <c:v>Sales</c:v>
                </c:pt>
                <c:pt idx="2">
                  <c:v>HR</c:v>
                </c:pt>
              </c:strCache>
            </c:strRef>
          </c:cat>
          <c:val>
            <c:numRef>
              <c:f>Analysis!$C$9:$C$12</c:f>
              <c:numCache>
                <c:formatCode>General</c:formatCode>
                <c:ptCount val="3"/>
                <c:pt idx="0">
                  <c:v>133</c:v>
                </c:pt>
                <c:pt idx="1">
                  <c:v>92</c:v>
                </c:pt>
                <c:pt idx="2">
                  <c:v>12</c:v>
                </c:pt>
              </c:numCache>
            </c:numRef>
          </c:val>
          <c:extLst>
            <c:ext xmlns:c16="http://schemas.microsoft.com/office/drawing/2014/chart" uri="{C3380CC4-5D6E-409C-BE32-E72D297353CC}">
              <c16:uniqueId val="{00000000-5A42-42A7-8741-B7E7BFE3E3E0}"/>
            </c:ext>
          </c:extLst>
        </c:ser>
        <c:dLbls>
          <c:dLblPos val="outEnd"/>
          <c:showLegendKey val="0"/>
          <c:showVal val="1"/>
          <c:showCatName val="0"/>
          <c:showSerName val="0"/>
          <c:showPercent val="0"/>
          <c:showBubbleSize val="0"/>
        </c:dLbls>
        <c:gapWidth val="219"/>
        <c:overlap val="-27"/>
        <c:axId val="1429062079"/>
        <c:axId val="1429064479"/>
      </c:barChart>
      <c:catAx>
        <c:axId val="142906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064479"/>
        <c:crosses val="autoZero"/>
        <c:auto val="1"/>
        <c:lblAlgn val="ctr"/>
        <c:lblOffset val="100"/>
        <c:noMultiLvlLbl val="0"/>
      </c:catAx>
      <c:valAx>
        <c:axId val="1429064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06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Attrition By Salary Range </a:t>
            </a:r>
            <a:endParaRPr lang="en-US">
              <a:solidFill>
                <a:schemeClr val="tx1"/>
              </a:solidFill>
            </a:endParaRPr>
          </a:p>
        </c:rich>
      </c:tx>
      <c:layout>
        <c:manualLayout>
          <c:xMode val="edge"/>
          <c:yMode val="edge"/>
          <c:x val="0.22527006172839506"/>
          <c:y val="3.6630036630036632E-2"/>
        </c:manualLayout>
      </c:layout>
      <c:overlay val="0"/>
      <c:spPr>
        <a:solidFill>
          <a:schemeClr val="bg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Analysis!$F$8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1A-4ABA-BEAA-CE387EEE1D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1A-4ABA-BEAA-CE387EEE1D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1A-4ABA-BEAA-CE387EEE1D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Analysis!$E$9:$E$12</c:f>
              <c:strCache>
                <c:ptCount val="3"/>
                <c:pt idx="0">
                  <c:v>Low</c:v>
                </c:pt>
                <c:pt idx="1">
                  <c:v>Medium</c:v>
                </c:pt>
                <c:pt idx="2">
                  <c:v>High</c:v>
                </c:pt>
              </c:strCache>
            </c:strRef>
          </c:cat>
          <c:val>
            <c:numRef>
              <c:f>Analysis!$F$9:$F$12</c:f>
              <c:numCache>
                <c:formatCode>General</c:formatCode>
                <c:ptCount val="3"/>
                <c:pt idx="0">
                  <c:v>113</c:v>
                </c:pt>
                <c:pt idx="1">
                  <c:v>77</c:v>
                </c:pt>
                <c:pt idx="2">
                  <c:v>47</c:v>
                </c:pt>
              </c:numCache>
            </c:numRef>
          </c:val>
          <c:extLst>
            <c:ext xmlns:c16="http://schemas.microsoft.com/office/drawing/2014/chart" uri="{C3380CC4-5D6E-409C-BE32-E72D297353CC}">
              <c16:uniqueId val="{00000006-861A-4ABA-BEAA-CE387EEE1D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Data.xlsx]Analysis!PivotTable3</c:name>
    <c:fmtId val="11"/>
  </c:pivotSource>
  <c:chart>
    <c:title>
      <c:tx>
        <c:rich>
          <a:bodyPr rot="0" spcFirstLastPara="1" vertOverflow="ellipsis" vert="horz" wrap="square" anchor="ctr" anchorCtr="1"/>
          <a:lstStyle/>
          <a:p>
            <a:pPr>
              <a:defRPr sz="1600" b="0" i="0" u="none" strike="noStrike" kern="1200" cap="all" spc="120" normalizeH="0" baseline="0">
                <a:solidFill>
                  <a:schemeClr val="tx1"/>
                </a:solidFill>
                <a:latin typeface="+mn-lt"/>
                <a:ea typeface="+mn-ea"/>
                <a:cs typeface="+mn-cs"/>
              </a:defRPr>
            </a:pPr>
            <a:r>
              <a:rPr lang="en-IN" b="0">
                <a:solidFill>
                  <a:schemeClr val="tx1"/>
                </a:solidFill>
              </a:rPr>
              <a:t>Attrition Rate by Overtime Status</a:t>
            </a:r>
          </a:p>
        </c:rich>
      </c:tx>
      <c:layout>
        <c:manualLayout>
          <c:xMode val="edge"/>
          <c:yMode val="edge"/>
          <c:x val="8.7615446584028478E-2"/>
          <c:y val="3.1234601421948695E-2"/>
        </c:manualLayout>
      </c:layout>
      <c:overlay val="0"/>
      <c:spPr>
        <a:solidFill>
          <a:schemeClr val="bg1">
            <a:lumMod val="75000"/>
          </a:schemeClr>
        </a:solidFill>
        <a:ln>
          <a:noFill/>
        </a:ln>
        <a:effectLst/>
      </c:spPr>
      <c:txPr>
        <a:bodyPr rot="0" spcFirstLastPara="1" vertOverflow="ellipsis" vert="horz" wrap="square" anchor="ctr" anchorCtr="1"/>
        <a:lstStyle/>
        <a:p>
          <a:pPr>
            <a:defRPr sz="1600" b="0"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32254400908575E-2"/>
          <c:y val="0.42248207779997649"/>
          <c:w val="0.9375354911981828"/>
          <c:h val="0.45101461197947273"/>
        </c:manualLayout>
      </c:layout>
      <c:barChart>
        <c:barDir val="col"/>
        <c:grouping val="percentStacked"/>
        <c:varyColors val="0"/>
        <c:ser>
          <c:idx val="0"/>
          <c:order val="0"/>
          <c:tx>
            <c:strRef>
              <c:f>Analysis!$I$6:$I$7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Analysis!$H$8:$H$9</c:f>
              <c:strCache>
                <c:ptCount val="2"/>
                <c:pt idx="0">
                  <c:v>No</c:v>
                </c:pt>
                <c:pt idx="1">
                  <c:v>Yes</c:v>
                </c:pt>
              </c:strCache>
            </c:strRef>
          </c:cat>
          <c:val>
            <c:numRef>
              <c:f>Analysis!$I$8:$I$9</c:f>
              <c:numCache>
                <c:formatCode>0.00%</c:formatCode>
                <c:ptCount val="2"/>
                <c:pt idx="0">
                  <c:v>0.89563567362428842</c:v>
                </c:pt>
                <c:pt idx="1">
                  <c:v>0.69471153846153844</c:v>
                </c:pt>
              </c:numCache>
            </c:numRef>
          </c:val>
          <c:extLst>
            <c:ext xmlns:c16="http://schemas.microsoft.com/office/drawing/2014/chart" uri="{C3380CC4-5D6E-409C-BE32-E72D297353CC}">
              <c16:uniqueId val="{00000000-C931-4331-BBE9-E396EAD25922}"/>
            </c:ext>
          </c:extLst>
        </c:ser>
        <c:ser>
          <c:idx val="1"/>
          <c:order val="1"/>
          <c:tx>
            <c:strRef>
              <c:f>Analysis!$J$6:$J$7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Analysis!$H$8:$H$9</c:f>
              <c:strCache>
                <c:ptCount val="2"/>
                <c:pt idx="0">
                  <c:v>No</c:v>
                </c:pt>
                <c:pt idx="1">
                  <c:v>Yes</c:v>
                </c:pt>
              </c:strCache>
            </c:strRef>
          </c:cat>
          <c:val>
            <c:numRef>
              <c:f>Analysis!$J$8:$J$9</c:f>
              <c:numCache>
                <c:formatCode>0.00%</c:formatCode>
                <c:ptCount val="2"/>
                <c:pt idx="0">
                  <c:v>0.10436432637571158</c:v>
                </c:pt>
                <c:pt idx="1">
                  <c:v>0.30528846153846156</c:v>
                </c:pt>
              </c:numCache>
            </c:numRef>
          </c:val>
          <c:extLst>
            <c:ext xmlns:c16="http://schemas.microsoft.com/office/drawing/2014/chart" uri="{C3380CC4-5D6E-409C-BE32-E72D297353CC}">
              <c16:uniqueId val="{00000001-C931-4331-BBE9-E396EAD25922}"/>
            </c:ext>
          </c:extLst>
        </c:ser>
        <c:dLbls>
          <c:dLblPos val="ctr"/>
          <c:showLegendKey val="0"/>
          <c:showVal val="1"/>
          <c:showCatName val="0"/>
          <c:showSerName val="0"/>
          <c:showPercent val="0"/>
          <c:showBubbleSize val="0"/>
        </c:dLbls>
        <c:gapWidth val="79"/>
        <c:overlap val="100"/>
        <c:axId val="1809603215"/>
        <c:axId val="1809593615"/>
      </c:barChart>
      <c:catAx>
        <c:axId val="180960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09593615"/>
        <c:crosses val="autoZero"/>
        <c:auto val="1"/>
        <c:lblAlgn val="ctr"/>
        <c:lblOffset val="100"/>
        <c:noMultiLvlLbl val="0"/>
      </c:catAx>
      <c:valAx>
        <c:axId val="1809593615"/>
        <c:scaling>
          <c:orientation val="minMax"/>
        </c:scaling>
        <c:delete val="1"/>
        <c:axPos val="l"/>
        <c:numFmt formatCode="0%" sourceLinked="1"/>
        <c:majorTickMark val="none"/>
        <c:minorTickMark val="none"/>
        <c:tickLblPos val="nextTo"/>
        <c:crossAx val="18096032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rPr>
              <a:t>Years at Company vs Attrition</a:t>
            </a:r>
            <a:endParaRPr lang="en-IN">
              <a:solidFill>
                <a:schemeClr val="tx1"/>
              </a:solidFill>
            </a:endParaRPr>
          </a:p>
        </c:rich>
      </c:tx>
      <c:layout>
        <c:manualLayout>
          <c:xMode val="edge"/>
          <c:yMode val="edge"/>
          <c:x val="0.30198061780738944"/>
          <c:y val="3.7046598683361298E-2"/>
        </c:manualLayout>
      </c:layout>
      <c:overlay val="0"/>
      <c:spPr>
        <a:solidFill>
          <a:schemeClr val="bg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7139758356651"/>
          <c:y val="0.20098102491286951"/>
          <c:w val="0.68309526908310014"/>
          <c:h val="0.54490555483843206"/>
        </c:manualLayout>
      </c:layout>
      <c:lineChart>
        <c:grouping val="standard"/>
        <c:varyColors val="0"/>
        <c:ser>
          <c:idx val="0"/>
          <c:order val="0"/>
          <c:tx>
            <c:strRef>
              <c:f>Analysis!$M$6:$M$7</c:f>
              <c:strCache>
                <c:ptCount val="1"/>
                <c:pt idx="0">
                  <c:v>No</c:v>
                </c:pt>
              </c:strCache>
            </c:strRef>
          </c:tx>
          <c:spPr>
            <a:ln w="28575" cap="rnd">
              <a:solidFill>
                <a:schemeClr val="accent1"/>
              </a:solidFill>
              <a:round/>
            </a:ln>
            <a:effectLst/>
          </c:spPr>
          <c:marker>
            <c:symbol val="none"/>
          </c:marker>
          <c:cat>
            <c:strRef>
              <c:f>Analysis!$L$8:$L$44</c:f>
              <c:strCache>
                <c:ptCount val="37"/>
                <c:pt idx="0">
                  <c:v>1.00</c:v>
                </c:pt>
                <c:pt idx="1">
                  <c:v>2.00</c:v>
                </c:pt>
                <c:pt idx="2">
                  <c:v>5.00</c:v>
                </c:pt>
                <c:pt idx="3">
                  <c:v>3.00</c:v>
                </c:pt>
                <c:pt idx="4">
                  <c:v>4.00</c:v>
                </c:pt>
                <c:pt idx="5">
                  <c:v>10.00</c:v>
                </c:pt>
                <c:pt idx="6">
                  <c:v>0.00</c:v>
                </c:pt>
                <c:pt idx="7">
                  <c:v>7.00</c:v>
                </c:pt>
                <c:pt idx="8">
                  <c:v>8.00</c:v>
                </c:pt>
                <c:pt idx="9">
                  <c:v>6.00</c:v>
                </c:pt>
                <c:pt idx="10">
                  <c:v>9.00</c:v>
                </c:pt>
                <c:pt idx="11">
                  <c:v>13.00</c:v>
                </c:pt>
                <c:pt idx="12">
                  <c:v>11.00</c:v>
                </c:pt>
                <c:pt idx="13">
                  <c:v>14.00</c:v>
                </c:pt>
                <c:pt idx="14">
                  <c:v>22.00</c:v>
                </c:pt>
                <c:pt idx="15">
                  <c:v>32.00</c:v>
                </c:pt>
                <c:pt idx="16">
                  <c:v>24.00</c:v>
                </c:pt>
                <c:pt idx="17">
                  <c:v>16.00</c:v>
                </c:pt>
                <c:pt idx="18">
                  <c:v>15.00</c:v>
                </c:pt>
                <c:pt idx="19">
                  <c:v>17.00</c:v>
                </c:pt>
                <c:pt idx="20">
                  <c:v>23.00</c:v>
                </c:pt>
                <c:pt idx="21">
                  <c:v>40.00</c:v>
                </c:pt>
                <c:pt idx="22">
                  <c:v>31.00</c:v>
                </c:pt>
                <c:pt idx="23">
                  <c:v>19.00</c:v>
                </c:pt>
                <c:pt idx="24">
                  <c:v>33.00</c:v>
                </c:pt>
                <c:pt idx="25">
                  <c:v>20.00</c:v>
                </c:pt>
                <c:pt idx="26">
                  <c:v>21.00</c:v>
                </c:pt>
                <c:pt idx="27">
                  <c:v>18.00</c:v>
                </c:pt>
                <c:pt idx="28">
                  <c:v>37.00</c:v>
                </c:pt>
                <c:pt idx="29">
                  <c:v>34.00</c:v>
                </c:pt>
                <c:pt idx="30">
                  <c:v>29.00</c:v>
                </c:pt>
                <c:pt idx="31">
                  <c:v>30.00</c:v>
                </c:pt>
                <c:pt idx="32">
                  <c:v>36.00</c:v>
                </c:pt>
                <c:pt idx="33">
                  <c:v>12.00</c:v>
                </c:pt>
                <c:pt idx="34">
                  <c:v>27.00</c:v>
                </c:pt>
                <c:pt idx="35">
                  <c:v>25.00</c:v>
                </c:pt>
                <c:pt idx="36">
                  <c:v>26.00</c:v>
                </c:pt>
              </c:strCache>
            </c:strRef>
          </c:cat>
          <c:val>
            <c:numRef>
              <c:f>Analysis!$M$8:$M$44</c:f>
              <c:numCache>
                <c:formatCode>General</c:formatCode>
                <c:ptCount val="37"/>
                <c:pt idx="0">
                  <c:v>112</c:v>
                </c:pt>
                <c:pt idx="1">
                  <c:v>100</c:v>
                </c:pt>
                <c:pt idx="2">
                  <c:v>175</c:v>
                </c:pt>
                <c:pt idx="3">
                  <c:v>108</c:v>
                </c:pt>
                <c:pt idx="4">
                  <c:v>91</c:v>
                </c:pt>
                <c:pt idx="5">
                  <c:v>102</c:v>
                </c:pt>
                <c:pt idx="6">
                  <c:v>28</c:v>
                </c:pt>
                <c:pt idx="7">
                  <c:v>79</c:v>
                </c:pt>
                <c:pt idx="8">
                  <c:v>71</c:v>
                </c:pt>
                <c:pt idx="9">
                  <c:v>67</c:v>
                </c:pt>
                <c:pt idx="10">
                  <c:v>74</c:v>
                </c:pt>
                <c:pt idx="11">
                  <c:v>22</c:v>
                </c:pt>
                <c:pt idx="12">
                  <c:v>30</c:v>
                </c:pt>
                <c:pt idx="13">
                  <c:v>16</c:v>
                </c:pt>
                <c:pt idx="14">
                  <c:v>14</c:v>
                </c:pt>
                <c:pt idx="15">
                  <c:v>2</c:v>
                </c:pt>
                <c:pt idx="16">
                  <c:v>5</c:v>
                </c:pt>
                <c:pt idx="17">
                  <c:v>11</c:v>
                </c:pt>
                <c:pt idx="18">
                  <c:v>19</c:v>
                </c:pt>
                <c:pt idx="19">
                  <c:v>8</c:v>
                </c:pt>
                <c:pt idx="20">
                  <c:v>1</c:v>
                </c:pt>
                <c:pt idx="22">
                  <c:v>2</c:v>
                </c:pt>
                <c:pt idx="23">
                  <c:v>10</c:v>
                </c:pt>
                <c:pt idx="24">
                  <c:v>4</c:v>
                </c:pt>
                <c:pt idx="25">
                  <c:v>26</c:v>
                </c:pt>
                <c:pt idx="26">
                  <c:v>13</c:v>
                </c:pt>
                <c:pt idx="27">
                  <c:v>12</c:v>
                </c:pt>
                <c:pt idx="28">
                  <c:v>1</c:v>
                </c:pt>
                <c:pt idx="29">
                  <c:v>1</c:v>
                </c:pt>
                <c:pt idx="30">
                  <c:v>2</c:v>
                </c:pt>
                <c:pt idx="31">
                  <c:v>1</c:v>
                </c:pt>
                <c:pt idx="32">
                  <c:v>2</c:v>
                </c:pt>
                <c:pt idx="33">
                  <c:v>14</c:v>
                </c:pt>
                <c:pt idx="34">
                  <c:v>2</c:v>
                </c:pt>
                <c:pt idx="35">
                  <c:v>4</c:v>
                </c:pt>
                <c:pt idx="36">
                  <c:v>4</c:v>
                </c:pt>
              </c:numCache>
            </c:numRef>
          </c:val>
          <c:smooth val="0"/>
          <c:extLst>
            <c:ext xmlns:c16="http://schemas.microsoft.com/office/drawing/2014/chart" uri="{C3380CC4-5D6E-409C-BE32-E72D297353CC}">
              <c16:uniqueId val="{00000000-A452-4C29-AB0D-E63656B441B6}"/>
            </c:ext>
          </c:extLst>
        </c:ser>
        <c:ser>
          <c:idx val="1"/>
          <c:order val="1"/>
          <c:tx>
            <c:strRef>
              <c:f>Analysis!$N$6:$N$7</c:f>
              <c:strCache>
                <c:ptCount val="1"/>
                <c:pt idx="0">
                  <c:v>Yes</c:v>
                </c:pt>
              </c:strCache>
            </c:strRef>
          </c:tx>
          <c:spPr>
            <a:ln w="28575" cap="rnd">
              <a:solidFill>
                <a:schemeClr val="accent2"/>
              </a:solidFill>
              <a:round/>
            </a:ln>
            <a:effectLst/>
          </c:spPr>
          <c:marker>
            <c:symbol val="none"/>
          </c:marker>
          <c:cat>
            <c:strRef>
              <c:f>Analysis!$L$8:$L$44</c:f>
              <c:strCache>
                <c:ptCount val="37"/>
                <c:pt idx="0">
                  <c:v>1.00</c:v>
                </c:pt>
                <c:pt idx="1">
                  <c:v>2.00</c:v>
                </c:pt>
                <c:pt idx="2">
                  <c:v>5.00</c:v>
                </c:pt>
                <c:pt idx="3">
                  <c:v>3.00</c:v>
                </c:pt>
                <c:pt idx="4">
                  <c:v>4.00</c:v>
                </c:pt>
                <c:pt idx="5">
                  <c:v>10.00</c:v>
                </c:pt>
                <c:pt idx="6">
                  <c:v>0.00</c:v>
                </c:pt>
                <c:pt idx="7">
                  <c:v>7.00</c:v>
                </c:pt>
                <c:pt idx="8">
                  <c:v>8.00</c:v>
                </c:pt>
                <c:pt idx="9">
                  <c:v>6.00</c:v>
                </c:pt>
                <c:pt idx="10">
                  <c:v>9.00</c:v>
                </c:pt>
                <c:pt idx="11">
                  <c:v>13.00</c:v>
                </c:pt>
                <c:pt idx="12">
                  <c:v>11.00</c:v>
                </c:pt>
                <c:pt idx="13">
                  <c:v>14.00</c:v>
                </c:pt>
                <c:pt idx="14">
                  <c:v>22.00</c:v>
                </c:pt>
                <c:pt idx="15">
                  <c:v>32.00</c:v>
                </c:pt>
                <c:pt idx="16">
                  <c:v>24.00</c:v>
                </c:pt>
                <c:pt idx="17">
                  <c:v>16.00</c:v>
                </c:pt>
                <c:pt idx="18">
                  <c:v>15.00</c:v>
                </c:pt>
                <c:pt idx="19">
                  <c:v>17.00</c:v>
                </c:pt>
                <c:pt idx="20">
                  <c:v>23.00</c:v>
                </c:pt>
                <c:pt idx="21">
                  <c:v>40.00</c:v>
                </c:pt>
                <c:pt idx="22">
                  <c:v>31.00</c:v>
                </c:pt>
                <c:pt idx="23">
                  <c:v>19.00</c:v>
                </c:pt>
                <c:pt idx="24">
                  <c:v>33.00</c:v>
                </c:pt>
                <c:pt idx="25">
                  <c:v>20.00</c:v>
                </c:pt>
                <c:pt idx="26">
                  <c:v>21.00</c:v>
                </c:pt>
                <c:pt idx="27">
                  <c:v>18.00</c:v>
                </c:pt>
                <c:pt idx="28">
                  <c:v>37.00</c:v>
                </c:pt>
                <c:pt idx="29">
                  <c:v>34.00</c:v>
                </c:pt>
                <c:pt idx="30">
                  <c:v>29.00</c:v>
                </c:pt>
                <c:pt idx="31">
                  <c:v>30.00</c:v>
                </c:pt>
                <c:pt idx="32">
                  <c:v>36.00</c:v>
                </c:pt>
                <c:pt idx="33">
                  <c:v>12.00</c:v>
                </c:pt>
                <c:pt idx="34">
                  <c:v>27.00</c:v>
                </c:pt>
                <c:pt idx="35">
                  <c:v>25.00</c:v>
                </c:pt>
                <c:pt idx="36">
                  <c:v>26.00</c:v>
                </c:pt>
              </c:strCache>
            </c:strRef>
          </c:cat>
          <c:val>
            <c:numRef>
              <c:f>Analysis!$N$8:$N$44</c:f>
              <c:numCache>
                <c:formatCode>General</c:formatCode>
                <c:ptCount val="37"/>
                <c:pt idx="0">
                  <c:v>59</c:v>
                </c:pt>
                <c:pt idx="1">
                  <c:v>27</c:v>
                </c:pt>
                <c:pt idx="2">
                  <c:v>21</c:v>
                </c:pt>
                <c:pt idx="3">
                  <c:v>20</c:v>
                </c:pt>
                <c:pt idx="4">
                  <c:v>19</c:v>
                </c:pt>
                <c:pt idx="5">
                  <c:v>18</c:v>
                </c:pt>
                <c:pt idx="6">
                  <c:v>16</c:v>
                </c:pt>
                <c:pt idx="7">
                  <c:v>11</c:v>
                </c:pt>
                <c:pt idx="8">
                  <c:v>9</c:v>
                </c:pt>
                <c:pt idx="9">
                  <c:v>9</c:v>
                </c:pt>
                <c:pt idx="10">
                  <c:v>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1-A452-4C29-AB0D-E63656B441B6}"/>
            </c:ext>
          </c:extLst>
        </c:ser>
        <c:dLbls>
          <c:showLegendKey val="0"/>
          <c:showVal val="0"/>
          <c:showCatName val="0"/>
          <c:showSerName val="0"/>
          <c:showPercent val="0"/>
          <c:showBubbleSize val="0"/>
        </c:dLbls>
        <c:smooth val="0"/>
        <c:axId val="1515289855"/>
        <c:axId val="1515285055"/>
      </c:lineChart>
      <c:catAx>
        <c:axId val="151528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85055"/>
        <c:crosses val="autoZero"/>
        <c:auto val="1"/>
        <c:lblAlgn val="ctr"/>
        <c:lblOffset val="100"/>
        <c:noMultiLvlLbl val="0"/>
      </c:catAx>
      <c:valAx>
        <c:axId val="1515285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8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655320</xdr:colOff>
      <xdr:row>3</xdr:row>
      <xdr:rowOff>160020</xdr:rowOff>
    </xdr:to>
    <xdr:sp macro="" textlink="">
      <xdr:nvSpPr>
        <xdr:cNvPr id="2" name="Rectangle: Rounded Corners 1">
          <a:extLst>
            <a:ext uri="{FF2B5EF4-FFF2-40B4-BE49-F238E27FC236}">
              <a16:creationId xmlns:a16="http://schemas.microsoft.com/office/drawing/2014/main" id="{647A2790-8E22-F3D4-5A30-AC3530A9A6EF}"/>
            </a:ext>
          </a:extLst>
        </xdr:cNvPr>
        <xdr:cNvSpPr/>
      </xdr:nvSpPr>
      <xdr:spPr>
        <a:xfrm>
          <a:off x="0" y="0"/>
          <a:ext cx="14066520" cy="75438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0</xdr:row>
      <xdr:rowOff>0</xdr:rowOff>
    </xdr:from>
    <xdr:to>
      <xdr:col>20</xdr:col>
      <xdr:colOff>640080</xdr:colOff>
      <xdr:row>3</xdr:row>
      <xdr:rowOff>182880</xdr:rowOff>
    </xdr:to>
    <xdr:sp macro="" textlink="">
      <xdr:nvSpPr>
        <xdr:cNvPr id="3" name="TextBox 2">
          <a:extLst>
            <a:ext uri="{FF2B5EF4-FFF2-40B4-BE49-F238E27FC236}">
              <a16:creationId xmlns:a16="http://schemas.microsoft.com/office/drawing/2014/main" id="{24CBC170-0A2E-3C7A-6543-0C804429E6F0}"/>
            </a:ext>
          </a:extLst>
        </xdr:cNvPr>
        <xdr:cNvSpPr txBox="1"/>
      </xdr:nvSpPr>
      <xdr:spPr>
        <a:xfrm>
          <a:off x="22860" y="0"/>
          <a:ext cx="14028420" cy="7924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Employee Attrition Analysis Dashboard</a:t>
          </a:r>
        </a:p>
      </xdr:txBody>
    </xdr:sp>
    <xdr:clientData/>
  </xdr:twoCellAnchor>
  <xdr:twoCellAnchor>
    <xdr:from>
      <xdr:col>2</xdr:col>
      <xdr:colOff>403860</xdr:colOff>
      <xdr:row>9</xdr:row>
      <xdr:rowOff>15240</xdr:rowOff>
    </xdr:from>
    <xdr:to>
      <xdr:col>8</xdr:col>
      <xdr:colOff>160020</xdr:colOff>
      <xdr:row>26</xdr:row>
      <xdr:rowOff>167640</xdr:rowOff>
    </xdr:to>
    <xdr:graphicFrame macro="">
      <xdr:nvGraphicFramePr>
        <xdr:cNvPr id="4" name="Chart 3">
          <a:extLst>
            <a:ext uri="{FF2B5EF4-FFF2-40B4-BE49-F238E27FC236}">
              <a16:creationId xmlns:a16="http://schemas.microsoft.com/office/drawing/2014/main" id="{29B3200D-09CF-4722-80C0-2F9FA6F82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297180</xdr:colOff>
      <xdr:row>8</xdr:row>
      <xdr:rowOff>99060</xdr:rowOff>
    </xdr:from>
    <xdr:to>
      <xdr:col>14</xdr:col>
      <xdr:colOff>647700</xdr:colOff>
      <xdr:row>15</xdr:row>
      <xdr:rowOff>144780</xdr:rowOff>
    </xdr:to>
    <xdr:graphicFrame macro="">
      <xdr:nvGraphicFramePr>
        <xdr:cNvPr id="5" name="Chart 4">
          <a:extLst>
            <a:ext uri="{FF2B5EF4-FFF2-40B4-BE49-F238E27FC236}">
              <a16:creationId xmlns:a16="http://schemas.microsoft.com/office/drawing/2014/main" id="{C5F10474-712A-4233-9299-7923AF38D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327660</xdr:colOff>
      <xdr:row>16</xdr:row>
      <xdr:rowOff>68580</xdr:rowOff>
    </xdr:from>
    <xdr:to>
      <xdr:col>15</xdr:col>
      <xdr:colOff>106680</xdr:colOff>
      <xdr:row>26</xdr:row>
      <xdr:rowOff>129540</xdr:rowOff>
    </xdr:to>
    <xdr:graphicFrame macro="">
      <xdr:nvGraphicFramePr>
        <xdr:cNvPr id="6" name="Chart 5">
          <a:extLst>
            <a:ext uri="{FF2B5EF4-FFF2-40B4-BE49-F238E27FC236}">
              <a16:creationId xmlns:a16="http://schemas.microsoft.com/office/drawing/2014/main" id="{3F25502A-87BF-4979-B4F3-31C15C2D2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60960</xdr:colOff>
      <xdr:row>4</xdr:row>
      <xdr:rowOff>60960</xdr:rowOff>
    </xdr:from>
    <xdr:to>
      <xdr:col>20</xdr:col>
      <xdr:colOff>601980</xdr:colOff>
      <xdr:row>26</xdr:row>
      <xdr:rowOff>45720</xdr:rowOff>
    </xdr:to>
    <xdr:graphicFrame macro="">
      <xdr:nvGraphicFramePr>
        <xdr:cNvPr id="7" name="Chart 6">
          <a:extLst>
            <a:ext uri="{FF2B5EF4-FFF2-40B4-BE49-F238E27FC236}">
              <a16:creationId xmlns:a16="http://schemas.microsoft.com/office/drawing/2014/main" id="{5922A7B6-4582-4396-BB35-8F48FCAEF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53339</xdr:colOff>
      <xdr:row>4</xdr:row>
      <xdr:rowOff>91439</xdr:rowOff>
    </xdr:from>
    <xdr:to>
      <xdr:col>5</xdr:col>
      <xdr:colOff>113942</xdr:colOff>
      <xdr:row>8</xdr:row>
      <xdr:rowOff>53340</xdr:rowOff>
    </xdr:to>
    <xdr:sp macro="" textlink="">
      <xdr:nvSpPr>
        <xdr:cNvPr id="8" name="Rectangle: Rounded Corners 7">
          <a:extLst>
            <a:ext uri="{FF2B5EF4-FFF2-40B4-BE49-F238E27FC236}">
              <a16:creationId xmlns:a16="http://schemas.microsoft.com/office/drawing/2014/main" id="{49F16C58-E6EA-280F-2001-F671AC32F6D2}"/>
            </a:ext>
          </a:extLst>
        </xdr:cNvPr>
        <xdr:cNvSpPr/>
      </xdr:nvSpPr>
      <xdr:spPr>
        <a:xfrm>
          <a:off x="2065019" y="899159"/>
          <a:ext cx="1401723" cy="754381"/>
        </a:xfrm>
        <a:prstGeom prst="roundRect">
          <a:avLst/>
        </a:prstGeom>
        <a:solidFill>
          <a:srgbClr val="FFC000"/>
        </a:solidFill>
        <a:ln>
          <a:solidFill>
            <a:srgbClr val="FFC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Attrition Count</a:t>
          </a:r>
          <a:r>
            <a:rPr lang="en-IN" sz="1400" b="1">
              <a:solidFill>
                <a:schemeClr val="tx1"/>
              </a:solidFill>
              <a:effectLst/>
              <a:latin typeface="+mn-lt"/>
              <a:ea typeface="+mn-ea"/>
              <a:cs typeface="+mn-cs"/>
            </a:rPr>
            <a:t> -</a:t>
          </a:r>
          <a:r>
            <a:rPr lang="en-IN" sz="1400" b="1" i="0">
              <a:solidFill>
                <a:schemeClr val="tx1"/>
              </a:solidFill>
              <a:effectLst/>
              <a:latin typeface="+mn-lt"/>
              <a:ea typeface="+mn-ea"/>
              <a:cs typeface="+mn-cs"/>
            </a:rPr>
            <a:t>237</a:t>
          </a:r>
          <a:r>
            <a:rPr lang="en-IN" sz="1400" b="1">
              <a:solidFill>
                <a:schemeClr val="tx1"/>
              </a:solidFill>
              <a:effectLst/>
              <a:latin typeface="+mn-lt"/>
              <a:ea typeface="+mn-ea"/>
              <a:cs typeface="+mn-cs"/>
            </a:rPr>
            <a:t> </a:t>
          </a:r>
          <a:endParaRPr lang="en-IN" sz="1400" b="1">
            <a:solidFill>
              <a:schemeClr val="tx1"/>
            </a:solidFill>
            <a:effectLst/>
          </a:endParaRPr>
        </a:p>
        <a:p>
          <a:pPr algn="l"/>
          <a:endParaRPr lang="en-IN" sz="1100"/>
        </a:p>
      </xdr:txBody>
    </xdr:sp>
    <xdr:clientData/>
  </xdr:twoCellAnchor>
  <xdr:twoCellAnchor>
    <xdr:from>
      <xdr:col>7</xdr:col>
      <xdr:colOff>76200</xdr:colOff>
      <xdr:row>4</xdr:row>
      <xdr:rowOff>83820</xdr:rowOff>
    </xdr:from>
    <xdr:to>
      <xdr:col>9</xdr:col>
      <xdr:colOff>205740</xdr:colOff>
      <xdr:row>8</xdr:row>
      <xdr:rowOff>15240</xdr:rowOff>
    </xdr:to>
    <xdr:sp macro="" textlink="">
      <xdr:nvSpPr>
        <xdr:cNvPr id="9" name="Rectangle: Rounded Corners 8">
          <a:extLst>
            <a:ext uri="{FF2B5EF4-FFF2-40B4-BE49-F238E27FC236}">
              <a16:creationId xmlns:a16="http://schemas.microsoft.com/office/drawing/2014/main" id="{14C5FD2A-894F-C825-9018-07FD96DBE865}"/>
            </a:ext>
          </a:extLst>
        </xdr:cNvPr>
        <xdr:cNvSpPr/>
      </xdr:nvSpPr>
      <xdr:spPr>
        <a:xfrm>
          <a:off x="4770120" y="891540"/>
          <a:ext cx="1470660" cy="723900"/>
        </a:xfrm>
        <a:prstGeom prst="roundRect">
          <a:avLst/>
        </a:prstGeom>
        <a:solidFill>
          <a:srgbClr val="FFC000"/>
        </a:solidFill>
        <a:ln>
          <a:solidFill>
            <a:srgbClr val="FFC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Attrition Rate</a:t>
          </a:r>
          <a:r>
            <a:rPr lang="en-IN" sz="1400" b="1">
              <a:solidFill>
                <a:schemeClr val="tx1"/>
              </a:solidFill>
              <a:effectLst/>
              <a:latin typeface="+mn-lt"/>
              <a:ea typeface="+mn-ea"/>
              <a:cs typeface="+mn-cs"/>
            </a:rPr>
            <a:t> </a:t>
          </a:r>
          <a:r>
            <a:rPr lang="en-IN" sz="1400" b="1" i="0">
              <a:solidFill>
                <a:schemeClr val="tx1"/>
              </a:solidFill>
              <a:effectLst/>
              <a:latin typeface="+mn-lt"/>
              <a:ea typeface="+mn-ea"/>
              <a:cs typeface="+mn-cs"/>
            </a:rPr>
            <a:t>16.12%</a:t>
          </a:r>
          <a:r>
            <a:rPr lang="en-IN" sz="1400" b="1">
              <a:solidFill>
                <a:schemeClr val="tx1"/>
              </a:solidFill>
              <a:effectLst/>
              <a:latin typeface="+mn-lt"/>
              <a:ea typeface="+mn-ea"/>
              <a:cs typeface="+mn-cs"/>
            </a:rPr>
            <a:t> </a:t>
          </a:r>
          <a:endParaRPr lang="en-IN" sz="1400" b="1">
            <a:solidFill>
              <a:schemeClr val="tx1"/>
            </a:solidFill>
            <a:effectLst/>
          </a:endParaRPr>
        </a:p>
        <a:p>
          <a:pPr algn="l"/>
          <a:endParaRPr lang="en-IN" sz="1100"/>
        </a:p>
      </xdr:txBody>
    </xdr:sp>
    <xdr:clientData/>
  </xdr:twoCellAnchor>
  <xdr:twoCellAnchor>
    <xdr:from>
      <xdr:col>11</xdr:col>
      <xdr:colOff>160020</xdr:colOff>
      <xdr:row>4</xdr:row>
      <xdr:rowOff>76199</xdr:rowOff>
    </xdr:from>
    <xdr:to>
      <xdr:col>13</xdr:col>
      <xdr:colOff>289560</xdr:colOff>
      <xdr:row>8</xdr:row>
      <xdr:rowOff>45720</xdr:rowOff>
    </xdr:to>
    <xdr:sp macro="" textlink="">
      <xdr:nvSpPr>
        <xdr:cNvPr id="10" name="Rectangle: Rounded Corners 9">
          <a:extLst>
            <a:ext uri="{FF2B5EF4-FFF2-40B4-BE49-F238E27FC236}">
              <a16:creationId xmlns:a16="http://schemas.microsoft.com/office/drawing/2014/main" id="{0E476024-30EF-1A21-04B8-AB4C44988747}"/>
            </a:ext>
          </a:extLst>
        </xdr:cNvPr>
        <xdr:cNvSpPr/>
      </xdr:nvSpPr>
      <xdr:spPr>
        <a:xfrm>
          <a:off x="7536180" y="883919"/>
          <a:ext cx="1470660" cy="762001"/>
        </a:xfrm>
        <a:prstGeom prst="roundRect">
          <a:avLst/>
        </a:prstGeom>
        <a:solidFill>
          <a:srgbClr val="FFC000"/>
        </a:solidFill>
        <a:ln>
          <a:solidFill>
            <a:srgbClr val="FFC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Average Salary</a:t>
          </a:r>
          <a:r>
            <a:rPr lang="en-IN" sz="1400" b="1">
              <a:solidFill>
                <a:schemeClr val="tx1"/>
              </a:solidFill>
              <a:effectLst/>
              <a:latin typeface="+mn-lt"/>
              <a:ea typeface="+mn-ea"/>
              <a:cs typeface="+mn-cs"/>
            </a:rPr>
            <a:t> </a:t>
          </a:r>
          <a:r>
            <a:rPr lang="en-IN" sz="1400" b="1" i="0">
              <a:solidFill>
                <a:schemeClr val="tx1"/>
              </a:solidFill>
              <a:effectLst/>
              <a:latin typeface="+mn-lt"/>
              <a:ea typeface="+mn-ea"/>
              <a:cs typeface="+mn-cs"/>
            </a:rPr>
            <a:t>6502.93</a:t>
          </a:r>
          <a:r>
            <a:rPr lang="en-IN" sz="1400" b="1">
              <a:solidFill>
                <a:schemeClr val="tx1"/>
              </a:solidFill>
              <a:effectLst/>
              <a:latin typeface="+mn-lt"/>
              <a:ea typeface="+mn-ea"/>
              <a:cs typeface="+mn-cs"/>
            </a:rPr>
            <a:t> </a:t>
          </a:r>
          <a:endParaRPr lang="en-IN" sz="1400" b="1">
            <a:solidFill>
              <a:schemeClr val="tx1"/>
            </a:solidFill>
            <a:effectLst/>
          </a:endParaRPr>
        </a:p>
        <a:p>
          <a:pPr algn="l"/>
          <a:endParaRPr lang="en-IN" sz="1100"/>
        </a:p>
      </xdr:txBody>
    </xdr:sp>
    <xdr:clientData/>
  </xdr:twoCellAnchor>
  <xdr:twoCellAnchor>
    <xdr:from>
      <xdr:col>4</xdr:col>
      <xdr:colOff>533400</xdr:colOff>
      <xdr:row>30</xdr:row>
      <xdr:rowOff>121918</xdr:rowOff>
    </xdr:from>
    <xdr:to>
      <xdr:col>4</xdr:col>
      <xdr:colOff>579119</xdr:colOff>
      <xdr:row>30</xdr:row>
      <xdr:rowOff>167637</xdr:rowOff>
    </xdr:to>
    <xdr:sp macro="" textlink="">
      <xdr:nvSpPr>
        <xdr:cNvPr id="11" name="TextBox 10">
          <a:extLst>
            <a:ext uri="{FF2B5EF4-FFF2-40B4-BE49-F238E27FC236}">
              <a16:creationId xmlns:a16="http://schemas.microsoft.com/office/drawing/2014/main" id="{4C8A1D8D-B12B-64EB-C05E-E107AB56F6A2}"/>
            </a:ext>
          </a:extLst>
        </xdr:cNvPr>
        <xdr:cNvSpPr txBox="1"/>
      </xdr:nvSpPr>
      <xdr:spPr>
        <a:xfrm flipV="1">
          <a:off x="3215640" y="6080758"/>
          <a:ext cx="45719" cy="45719"/>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7</xdr:col>
      <xdr:colOff>662939</xdr:colOff>
      <xdr:row>31</xdr:row>
      <xdr:rowOff>152400</xdr:rowOff>
    </xdr:from>
    <xdr:to>
      <xdr:col>8</xdr:col>
      <xdr:colOff>38098</xdr:colOff>
      <xdr:row>32</xdr:row>
      <xdr:rowOff>30480</xdr:rowOff>
    </xdr:to>
    <xdr:sp macro="" textlink="">
      <xdr:nvSpPr>
        <xdr:cNvPr id="12" name="TextBox 11">
          <a:extLst>
            <a:ext uri="{FF2B5EF4-FFF2-40B4-BE49-F238E27FC236}">
              <a16:creationId xmlns:a16="http://schemas.microsoft.com/office/drawing/2014/main" id="{35840025-A29A-B3B1-E8E5-DA7A75A531B6}"/>
            </a:ext>
          </a:extLst>
        </xdr:cNvPr>
        <xdr:cNvSpPr txBox="1"/>
      </xdr:nvSpPr>
      <xdr:spPr>
        <a:xfrm flipH="1" flipV="1">
          <a:off x="5356859" y="6309360"/>
          <a:ext cx="45719" cy="762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13</xdr:col>
      <xdr:colOff>243840</xdr:colOff>
      <xdr:row>29</xdr:row>
      <xdr:rowOff>114300</xdr:rowOff>
    </xdr:from>
    <xdr:to>
      <xdr:col>13</xdr:col>
      <xdr:colOff>289559</xdr:colOff>
      <xdr:row>29</xdr:row>
      <xdr:rowOff>160019</xdr:rowOff>
    </xdr:to>
    <xdr:sp macro="" textlink="">
      <xdr:nvSpPr>
        <xdr:cNvPr id="13" name="TextBox 12">
          <a:extLst>
            <a:ext uri="{FF2B5EF4-FFF2-40B4-BE49-F238E27FC236}">
              <a16:creationId xmlns:a16="http://schemas.microsoft.com/office/drawing/2014/main" id="{CAA5A1FB-E045-6185-5BAC-3743DCDD377C}"/>
            </a:ext>
          </a:extLst>
        </xdr:cNvPr>
        <xdr:cNvSpPr txBox="1"/>
      </xdr:nvSpPr>
      <xdr:spPr>
        <a:xfrm>
          <a:off x="8961120" y="5875020"/>
          <a:ext cx="45719" cy="45719"/>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editAs="oneCell">
    <xdr:from>
      <xdr:col>0</xdr:col>
      <xdr:colOff>45720</xdr:colOff>
      <xdr:row>10</xdr:row>
      <xdr:rowOff>137161</xdr:rowOff>
    </xdr:from>
    <xdr:to>
      <xdr:col>2</xdr:col>
      <xdr:colOff>167640</xdr:colOff>
      <xdr:row>15</xdr:row>
      <xdr:rowOff>121921</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BE86BAEB-E4A7-35CB-87FD-EC5662A3DAC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720" y="2133601"/>
              <a:ext cx="146304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4</xdr:row>
      <xdr:rowOff>7621</xdr:rowOff>
    </xdr:from>
    <xdr:to>
      <xdr:col>2</xdr:col>
      <xdr:colOff>198120</xdr:colOff>
      <xdr:row>10</xdr:row>
      <xdr:rowOff>53341</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00F3C2C6-CA04-E00E-4753-089D8C8F218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100" y="815341"/>
              <a:ext cx="15011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16</xdr:row>
      <xdr:rowOff>38100</xdr:rowOff>
    </xdr:from>
    <xdr:to>
      <xdr:col>2</xdr:col>
      <xdr:colOff>99060</xdr:colOff>
      <xdr:row>26</xdr:row>
      <xdr:rowOff>175260</xdr:rowOff>
    </xdr:to>
    <mc:AlternateContent xmlns:mc="http://schemas.openxmlformats.org/markup-compatibility/2006" xmlns:a14="http://schemas.microsoft.com/office/drawing/2010/main">
      <mc:Choice Requires="a14">
        <xdr:graphicFrame macro="">
          <xdr:nvGraphicFramePr>
            <xdr:cNvPr id="16" name="Job Role">
              <a:extLst>
                <a:ext uri="{FF2B5EF4-FFF2-40B4-BE49-F238E27FC236}">
                  <a16:creationId xmlns:a16="http://schemas.microsoft.com/office/drawing/2014/main" id="{13CEC884-014D-B673-BDC5-DF4904CA77BC}"/>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60960" y="3223260"/>
              <a:ext cx="137922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keshri" refreshedDate="46078.450261226855" createdVersion="8" refreshedVersion="8" minRefreshableVersion="3" recordCount="1470" xr:uid="{0C4136A7-DB90-4DA6-B641-9E6791DC06E7}">
  <cacheSource type="worksheet">
    <worksheetSource name="Table1"/>
  </cacheSource>
  <cacheFields count="11">
    <cacheField name="Emp ID" numFmtId="0">
      <sharedItems/>
    </cacheField>
    <cacheField name="Age" numFmtId="0">
      <sharedItems containsSemiMixedTypes="0" containsString="0" containsNumber="1" containsInteger="1" minValue="18" maxValue="60"/>
    </cacheField>
    <cacheField name="Gender" numFmtId="0">
      <sharedItems count="2">
        <s v="Female"/>
        <s v="Male"/>
      </sharedItems>
    </cacheField>
    <cacheField name="Department" numFmtId="0">
      <sharedItems count="3">
        <s v="Sales"/>
        <s v="R&amp;D"/>
        <s v="HR"/>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onthly Income" numFmtId="164">
      <sharedItems containsSemiMixedTypes="0" containsString="0" containsNumber="1" containsInteger="1" minValue="1009" maxValue="19999"/>
    </cacheField>
    <cacheField name="Years At Company" numFmtId="2">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Job Satisfaction" numFmtId="0">
      <sharedItems containsSemiMixedTypes="0" containsString="0" containsNumber="1" containsInteger="1" minValue="1" maxValue="4"/>
    </cacheField>
    <cacheField name="Over Time" numFmtId="0">
      <sharedItems count="2">
        <s v="Yes"/>
        <s v="No"/>
      </sharedItems>
    </cacheField>
    <cacheField name="Attrition" numFmtId="0">
      <sharedItems count="2">
        <s v="Yes"/>
        <s v="No"/>
      </sharedItems>
    </cacheField>
    <cacheField name="Salary Range" numFmtId="0">
      <sharedItems count="3">
        <s v="Medium"/>
        <s v="Low"/>
        <s v="High"/>
      </sharedItems>
    </cacheField>
  </cacheFields>
  <extLst>
    <ext xmlns:x14="http://schemas.microsoft.com/office/spreadsheetml/2009/9/main" uri="{725AE2AE-9491-48be-B2B4-4EB974FC3084}">
      <x14:pivotCacheDefinition pivotCacheId="640572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STAFF-1"/>
    <n v="41"/>
    <x v="0"/>
    <x v="0"/>
    <x v="0"/>
    <n v="5993"/>
    <x v="0"/>
    <n v="4"/>
    <x v="0"/>
    <x v="0"/>
    <x v="0"/>
  </r>
  <r>
    <s v="STAFF-2"/>
    <n v="49"/>
    <x v="1"/>
    <x v="1"/>
    <x v="1"/>
    <n v="5130"/>
    <x v="1"/>
    <n v="2"/>
    <x v="1"/>
    <x v="1"/>
    <x v="0"/>
  </r>
  <r>
    <s v="STAFF-4"/>
    <n v="37"/>
    <x v="1"/>
    <x v="1"/>
    <x v="2"/>
    <n v="2090"/>
    <x v="2"/>
    <n v="3"/>
    <x v="0"/>
    <x v="0"/>
    <x v="1"/>
  </r>
  <r>
    <s v="STAFF-5"/>
    <n v="33"/>
    <x v="0"/>
    <x v="1"/>
    <x v="1"/>
    <n v="2909"/>
    <x v="3"/>
    <n v="3"/>
    <x v="0"/>
    <x v="1"/>
    <x v="1"/>
  </r>
  <r>
    <s v="STAFF-7"/>
    <n v="27"/>
    <x v="1"/>
    <x v="1"/>
    <x v="2"/>
    <n v="3468"/>
    <x v="4"/>
    <n v="2"/>
    <x v="1"/>
    <x v="1"/>
    <x v="0"/>
  </r>
  <r>
    <s v="STAFF-8"/>
    <n v="32"/>
    <x v="1"/>
    <x v="1"/>
    <x v="2"/>
    <n v="3068"/>
    <x v="5"/>
    <n v="4"/>
    <x v="1"/>
    <x v="1"/>
    <x v="0"/>
  </r>
  <r>
    <s v="STAFF-10"/>
    <n v="59"/>
    <x v="0"/>
    <x v="1"/>
    <x v="2"/>
    <n v="2670"/>
    <x v="6"/>
    <n v="1"/>
    <x v="0"/>
    <x v="1"/>
    <x v="1"/>
  </r>
  <r>
    <s v="STAFF-11"/>
    <n v="30"/>
    <x v="1"/>
    <x v="1"/>
    <x v="2"/>
    <n v="2693"/>
    <x v="6"/>
    <n v="3"/>
    <x v="1"/>
    <x v="1"/>
    <x v="1"/>
  </r>
  <r>
    <s v="STAFF-12"/>
    <n v="38"/>
    <x v="1"/>
    <x v="1"/>
    <x v="3"/>
    <n v="9526"/>
    <x v="7"/>
    <n v="3"/>
    <x v="1"/>
    <x v="1"/>
    <x v="2"/>
  </r>
  <r>
    <s v="STAFF-13"/>
    <n v="36"/>
    <x v="1"/>
    <x v="1"/>
    <x v="4"/>
    <n v="5237"/>
    <x v="5"/>
    <n v="3"/>
    <x v="1"/>
    <x v="1"/>
    <x v="0"/>
  </r>
  <r>
    <s v="STAFF-14"/>
    <n v="35"/>
    <x v="1"/>
    <x v="1"/>
    <x v="2"/>
    <n v="2426"/>
    <x v="8"/>
    <n v="2"/>
    <x v="1"/>
    <x v="1"/>
    <x v="1"/>
  </r>
  <r>
    <s v="STAFF-15"/>
    <n v="29"/>
    <x v="0"/>
    <x v="1"/>
    <x v="2"/>
    <n v="4193"/>
    <x v="7"/>
    <n v="3"/>
    <x v="0"/>
    <x v="1"/>
    <x v="0"/>
  </r>
  <r>
    <s v="STAFF-16"/>
    <n v="31"/>
    <x v="1"/>
    <x v="1"/>
    <x v="1"/>
    <n v="2911"/>
    <x v="8"/>
    <n v="3"/>
    <x v="1"/>
    <x v="1"/>
    <x v="1"/>
  </r>
  <r>
    <s v="STAFF-18"/>
    <n v="34"/>
    <x v="1"/>
    <x v="1"/>
    <x v="2"/>
    <n v="2661"/>
    <x v="4"/>
    <n v="4"/>
    <x v="1"/>
    <x v="1"/>
    <x v="1"/>
  </r>
  <r>
    <s v="STAFF-19"/>
    <n v="28"/>
    <x v="1"/>
    <x v="1"/>
    <x v="2"/>
    <n v="2028"/>
    <x v="9"/>
    <n v="3"/>
    <x v="0"/>
    <x v="0"/>
    <x v="1"/>
  </r>
  <r>
    <s v="STAFF-20"/>
    <n v="29"/>
    <x v="0"/>
    <x v="1"/>
    <x v="3"/>
    <n v="9980"/>
    <x v="1"/>
    <n v="1"/>
    <x v="1"/>
    <x v="1"/>
    <x v="2"/>
  </r>
  <r>
    <s v="STAFF-21"/>
    <n v="32"/>
    <x v="1"/>
    <x v="1"/>
    <x v="1"/>
    <n v="3298"/>
    <x v="0"/>
    <n v="2"/>
    <x v="0"/>
    <x v="1"/>
    <x v="0"/>
  </r>
  <r>
    <s v="STAFF-22"/>
    <n v="22"/>
    <x v="1"/>
    <x v="1"/>
    <x v="2"/>
    <n v="2935"/>
    <x v="6"/>
    <n v="4"/>
    <x v="0"/>
    <x v="1"/>
    <x v="1"/>
  </r>
  <r>
    <s v="STAFF-23"/>
    <n v="53"/>
    <x v="0"/>
    <x v="0"/>
    <x v="5"/>
    <n v="15427"/>
    <x v="10"/>
    <n v="4"/>
    <x v="1"/>
    <x v="1"/>
    <x v="2"/>
  </r>
  <r>
    <s v="STAFF-24"/>
    <n v="38"/>
    <x v="1"/>
    <x v="1"/>
    <x v="1"/>
    <n v="3944"/>
    <x v="11"/>
    <n v="4"/>
    <x v="0"/>
    <x v="1"/>
    <x v="0"/>
  </r>
  <r>
    <s v="STAFF-26"/>
    <n v="24"/>
    <x v="0"/>
    <x v="1"/>
    <x v="3"/>
    <n v="4011"/>
    <x v="9"/>
    <n v="3"/>
    <x v="1"/>
    <x v="1"/>
    <x v="0"/>
  </r>
  <r>
    <s v="STAFF-27"/>
    <n v="36"/>
    <x v="1"/>
    <x v="0"/>
    <x v="6"/>
    <n v="3407"/>
    <x v="8"/>
    <n v="1"/>
    <x v="1"/>
    <x v="0"/>
    <x v="0"/>
  </r>
  <r>
    <s v="STAFF-28"/>
    <n v="34"/>
    <x v="0"/>
    <x v="1"/>
    <x v="7"/>
    <n v="11994"/>
    <x v="12"/>
    <n v="2"/>
    <x v="1"/>
    <x v="1"/>
    <x v="2"/>
  </r>
  <r>
    <s v="STAFF-30"/>
    <n v="21"/>
    <x v="1"/>
    <x v="1"/>
    <x v="1"/>
    <n v="1232"/>
    <x v="2"/>
    <n v="4"/>
    <x v="1"/>
    <x v="1"/>
    <x v="1"/>
  </r>
  <r>
    <s v="STAFF-31"/>
    <n v="34"/>
    <x v="1"/>
    <x v="1"/>
    <x v="1"/>
    <n v="2960"/>
    <x v="9"/>
    <n v="1"/>
    <x v="1"/>
    <x v="0"/>
    <x v="1"/>
  </r>
  <r>
    <s v="STAFF-32"/>
    <n v="53"/>
    <x v="0"/>
    <x v="1"/>
    <x v="5"/>
    <n v="19094"/>
    <x v="13"/>
    <n v="3"/>
    <x v="1"/>
    <x v="1"/>
    <x v="2"/>
  </r>
  <r>
    <s v="STAFF-33"/>
    <n v="32"/>
    <x v="0"/>
    <x v="1"/>
    <x v="1"/>
    <n v="3919"/>
    <x v="1"/>
    <n v="1"/>
    <x v="0"/>
    <x v="0"/>
    <x v="0"/>
  </r>
  <r>
    <s v="STAFF-35"/>
    <n v="42"/>
    <x v="1"/>
    <x v="0"/>
    <x v="0"/>
    <n v="6825"/>
    <x v="7"/>
    <n v="2"/>
    <x v="1"/>
    <x v="1"/>
    <x v="0"/>
  </r>
  <r>
    <s v="STAFF-36"/>
    <n v="44"/>
    <x v="0"/>
    <x v="1"/>
    <x v="4"/>
    <n v="10248"/>
    <x v="14"/>
    <n v="4"/>
    <x v="1"/>
    <x v="1"/>
    <x v="2"/>
  </r>
  <r>
    <s v="STAFF-38"/>
    <n v="46"/>
    <x v="0"/>
    <x v="0"/>
    <x v="5"/>
    <n v="18947"/>
    <x v="4"/>
    <n v="1"/>
    <x v="1"/>
    <x v="1"/>
    <x v="2"/>
  </r>
  <r>
    <s v="STAFF-39"/>
    <n v="33"/>
    <x v="1"/>
    <x v="1"/>
    <x v="2"/>
    <n v="2496"/>
    <x v="6"/>
    <n v="4"/>
    <x v="1"/>
    <x v="1"/>
    <x v="1"/>
  </r>
  <r>
    <s v="STAFF-40"/>
    <n v="44"/>
    <x v="1"/>
    <x v="1"/>
    <x v="4"/>
    <n v="6465"/>
    <x v="9"/>
    <n v="4"/>
    <x v="0"/>
    <x v="1"/>
    <x v="0"/>
  </r>
  <r>
    <s v="STAFF-41"/>
    <n v="30"/>
    <x v="1"/>
    <x v="1"/>
    <x v="2"/>
    <n v="2206"/>
    <x v="1"/>
    <n v="3"/>
    <x v="1"/>
    <x v="1"/>
    <x v="1"/>
  </r>
  <r>
    <s v="STAFF-42"/>
    <n v="39"/>
    <x v="1"/>
    <x v="0"/>
    <x v="6"/>
    <n v="2086"/>
    <x v="6"/>
    <n v="4"/>
    <x v="1"/>
    <x v="0"/>
    <x v="1"/>
  </r>
  <r>
    <s v="STAFF-45"/>
    <n v="24"/>
    <x v="1"/>
    <x v="1"/>
    <x v="1"/>
    <n v="2293"/>
    <x v="4"/>
    <n v="4"/>
    <x v="0"/>
    <x v="0"/>
    <x v="1"/>
  </r>
  <r>
    <s v="STAFF-46"/>
    <n v="43"/>
    <x v="0"/>
    <x v="1"/>
    <x v="1"/>
    <n v="2645"/>
    <x v="8"/>
    <n v="3"/>
    <x v="1"/>
    <x v="1"/>
    <x v="1"/>
  </r>
  <r>
    <s v="STAFF-47"/>
    <n v="50"/>
    <x v="1"/>
    <x v="0"/>
    <x v="6"/>
    <n v="2683"/>
    <x v="11"/>
    <n v="3"/>
    <x v="0"/>
    <x v="0"/>
    <x v="1"/>
  </r>
  <r>
    <s v="STAFF-49"/>
    <n v="35"/>
    <x v="0"/>
    <x v="0"/>
    <x v="6"/>
    <n v="2014"/>
    <x v="4"/>
    <n v="4"/>
    <x v="1"/>
    <x v="1"/>
    <x v="1"/>
  </r>
  <r>
    <s v="STAFF-51"/>
    <n v="36"/>
    <x v="0"/>
    <x v="1"/>
    <x v="1"/>
    <n v="3419"/>
    <x v="6"/>
    <n v="1"/>
    <x v="0"/>
    <x v="1"/>
    <x v="0"/>
  </r>
  <r>
    <s v="STAFF-52"/>
    <n v="33"/>
    <x v="0"/>
    <x v="0"/>
    <x v="0"/>
    <n v="5376"/>
    <x v="8"/>
    <n v="1"/>
    <x v="1"/>
    <x v="1"/>
    <x v="0"/>
  </r>
  <r>
    <s v="STAFF-53"/>
    <n v="35"/>
    <x v="1"/>
    <x v="1"/>
    <x v="2"/>
    <n v="1951"/>
    <x v="6"/>
    <n v="4"/>
    <x v="1"/>
    <x v="1"/>
    <x v="1"/>
  </r>
  <r>
    <s v="STAFF-54"/>
    <n v="27"/>
    <x v="0"/>
    <x v="1"/>
    <x v="2"/>
    <n v="2341"/>
    <x v="6"/>
    <n v="1"/>
    <x v="1"/>
    <x v="1"/>
    <x v="1"/>
  </r>
  <r>
    <s v="STAFF-55"/>
    <n v="26"/>
    <x v="1"/>
    <x v="1"/>
    <x v="2"/>
    <n v="2293"/>
    <x v="6"/>
    <n v="3"/>
    <x v="1"/>
    <x v="0"/>
    <x v="1"/>
  </r>
  <r>
    <s v="STAFF-56"/>
    <n v="27"/>
    <x v="1"/>
    <x v="0"/>
    <x v="0"/>
    <n v="8726"/>
    <x v="7"/>
    <n v="3"/>
    <x v="1"/>
    <x v="1"/>
    <x v="2"/>
  </r>
  <r>
    <s v="STAFF-57"/>
    <n v="30"/>
    <x v="0"/>
    <x v="1"/>
    <x v="2"/>
    <n v="4011"/>
    <x v="12"/>
    <n v="4"/>
    <x v="1"/>
    <x v="1"/>
    <x v="0"/>
  </r>
  <r>
    <s v="STAFF-58"/>
    <n v="41"/>
    <x v="0"/>
    <x v="1"/>
    <x v="7"/>
    <n v="19545"/>
    <x v="14"/>
    <n v="3"/>
    <x v="1"/>
    <x v="0"/>
    <x v="2"/>
  </r>
  <r>
    <s v="STAFF-60"/>
    <n v="34"/>
    <x v="1"/>
    <x v="0"/>
    <x v="0"/>
    <n v="4568"/>
    <x v="7"/>
    <n v="3"/>
    <x v="1"/>
    <x v="1"/>
    <x v="0"/>
  </r>
  <r>
    <s v="STAFF-61"/>
    <n v="37"/>
    <x v="1"/>
    <x v="1"/>
    <x v="1"/>
    <n v="3022"/>
    <x v="6"/>
    <n v="2"/>
    <x v="1"/>
    <x v="1"/>
    <x v="0"/>
  </r>
  <r>
    <s v="STAFF-62"/>
    <n v="46"/>
    <x v="1"/>
    <x v="0"/>
    <x v="0"/>
    <n v="5772"/>
    <x v="7"/>
    <n v="4"/>
    <x v="0"/>
    <x v="1"/>
    <x v="0"/>
  </r>
  <r>
    <s v="STAFF-63"/>
    <n v="35"/>
    <x v="1"/>
    <x v="1"/>
    <x v="2"/>
    <n v="2269"/>
    <x v="6"/>
    <n v="4"/>
    <x v="1"/>
    <x v="1"/>
    <x v="1"/>
  </r>
  <r>
    <s v="STAFF-64"/>
    <n v="48"/>
    <x v="1"/>
    <x v="1"/>
    <x v="2"/>
    <n v="5381"/>
    <x v="6"/>
    <n v="3"/>
    <x v="0"/>
    <x v="0"/>
    <x v="0"/>
  </r>
  <r>
    <s v="STAFF-65"/>
    <n v="28"/>
    <x v="1"/>
    <x v="1"/>
    <x v="2"/>
    <n v="3441"/>
    <x v="4"/>
    <n v="3"/>
    <x v="0"/>
    <x v="0"/>
    <x v="0"/>
  </r>
  <r>
    <s v="STAFF-68"/>
    <n v="44"/>
    <x v="0"/>
    <x v="0"/>
    <x v="0"/>
    <n v="5454"/>
    <x v="9"/>
    <n v="1"/>
    <x v="0"/>
    <x v="1"/>
    <x v="0"/>
  </r>
  <r>
    <s v="STAFF-70"/>
    <n v="35"/>
    <x v="1"/>
    <x v="1"/>
    <x v="4"/>
    <n v="9884"/>
    <x v="9"/>
    <n v="1"/>
    <x v="0"/>
    <x v="1"/>
    <x v="2"/>
  </r>
  <r>
    <s v="STAFF-72"/>
    <n v="26"/>
    <x v="0"/>
    <x v="0"/>
    <x v="0"/>
    <n v="4157"/>
    <x v="4"/>
    <n v="4"/>
    <x v="0"/>
    <x v="1"/>
    <x v="0"/>
  </r>
  <r>
    <s v="STAFF-73"/>
    <n v="33"/>
    <x v="0"/>
    <x v="1"/>
    <x v="7"/>
    <n v="13458"/>
    <x v="15"/>
    <n v="4"/>
    <x v="0"/>
    <x v="1"/>
    <x v="2"/>
  </r>
  <r>
    <s v="STAFF-74"/>
    <n v="35"/>
    <x v="1"/>
    <x v="0"/>
    <x v="0"/>
    <n v="9069"/>
    <x v="7"/>
    <n v="1"/>
    <x v="1"/>
    <x v="1"/>
    <x v="2"/>
  </r>
  <r>
    <s v="STAFF-75"/>
    <n v="35"/>
    <x v="0"/>
    <x v="1"/>
    <x v="2"/>
    <n v="4014"/>
    <x v="4"/>
    <n v="1"/>
    <x v="0"/>
    <x v="1"/>
    <x v="0"/>
  </r>
  <r>
    <s v="STAFF-76"/>
    <n v="31"/>
    <x v="1"/>
    <x v="1"/>
    <x v="2"/>
    <n v="5915"/>
    <x v="5"/>
    <n v="4"/>
    <x v="1"/>
    <x v="1"/>
    <x v="0"/>
  </r>
  <r>
    <s v="STAFF-77"/>
    <n v="37"/>
    <x v="1"/>
    <x v="1"/>
    <x v="3"/>
    <n v="5993"/>
    <x v="5"/>
    <n v="3"/>
    <x v="1"/>
    <x v="1"/>
    <x v="0"/>
  </r>
  <r>
    <s v="STAFF-78"/>
    <n v="32"/>
    <x v="1"/>
    <x v="1"/>
    <x v="3"/>
    <n v="6162"/>
    <x v="7"/>
    <n v="4"/>
    <x v="0"/>
    <x v="1"/>
    <x v="0"/>
  </r>
  <r>
    <s v="STAFF-79"/>
    <n v="38"/>
    <x v="0"/>
    <x v="1"/>
    <x v="2"/>
    <n v="2406"/>
    <x v="1"/>
    <n v="4"/>
    <x v="1"/>
    <x v="1"/>
    <x v="1"/>
  </r>
  <r>
    <s v="STAFF-80"/>
    <n v="50"/>
    <x v="0"/>
    <x v="1"/>
    <x v="7"/>
    <n v="18740"/>
    <x v="16"/>
    <n v="3"/>
    <x v="0"/>
    <x v="1"/>
    <x v="2"/>
  </r>
  <r>
    <s v="STAFF-81"/>
    <n v="59"/>
    <x v="0"/>
    <x v="0"/>
    <x v="0"/>
    <n v="7637"/>
    <x v="17"/>
    <n v="1"/>
    <x v="1"/>
    <x v="1"/>
    <x v="2"/>
  </r>
  <r>
    <s v="STAFF-83"/>
    <n v="36"/>
    <x v="0"/>
    <x v="1"/>
    <x v="4"/>
    <n v="10096"/>
    <x v="18"/>
    <n v="3"/>
    <x v="1"/>
    <x v="1"/>
    <x v="2"/>
  </r>
  <r>
    <s v="STAFF-84"/>
    <n v="55"/>
    <x v="0"/>
    <x v="1"/>
    <x v="5"/>
    <n v="14756"/>
    <x v="8"/>
    <n v="3"/>
    <x v="0"/>
    <x v="1"/>
    <x v="2"/>
  </r>
  <r>
    <s v="STAFF-85"/>
    <n v="36"/>
    <x v="1"/>
    <x v="1"/>
    <x v="3"/>
    <n v="6499"/>
    <x v="0"/>
    <n v="2"/>
    <x v="1"/>
    <x v="1"/>
    <x v="0"/>
  </r>
  <r>
    <s v="STAFF-86"/>
    <n v="45"/>
    <x v="1"/>
    <x v="1"/>
    <x v="1"/>
    <n v="9724"/>
    <x v="6"/>
    <n v="1"/>
    <x v="1"/>
    <x v="1"/>
    <x v="2"/>
  </r>
  <r>
    <s v="STAFF-88"/>
    <n v="35"/>
    <x v="1"/>
    <x v="1"/>
    <x v="1"/>
    <n v="2194"/>
    <x v="11"/>
    <n v="1"/>
    <x v="1"/>
    <x v="1"/>
    <x v="1"/>
  </r>
  <r>
    <s v="STAFF-90"/>
    <n v="36"/>
    <x v="1"/>
    <x v="1"/>
    <x v="1"/>
    <n v="3388"/>
    <x v="6"/>
    <n v="3"/>
    <x v="0"/>
    <x v="0"/>
    <x v="0"/>
  </r>
  <r>
    <s v="STAFF-91"/>
    <n v="59"/>
    <x v="0"/>
    <x v="0"/>
    <x v="0"/>
    <n v="5473"/>
    <x v="9"/>
    <n v="3"/>
    <x v="1"/>
    <x v="1"/>
    <x v="0"/>
  </r>
  <r>
    <s v="STAFF-94"/>
    <n v="29"/>
    <x v="1"/>
    <x v="1"/>
    <x v="1"/>
    <n v="2703"/>
    <x v="8"/>
    <n v="2"/>
    <x v="1"/>
    <x v="1"/>
    <x v="1"/>
  </r>
  <r>
    <s v="STAFF-95"/>
    <n v="31"/>
    <x v="1"/>
    <x v="1"/>
    <x v="1"/>
    <n v="2501"/>
    <x v="6"/>
    <n v="2"/>
    <x v="1"/>
    <x v="1"/>
    <x v="1"/>
  </r>
  <r>
    <s v="STAFF-96"/>
    <n v="32"/>
    <x v="1"/>
    <x v="1"/>
    <x v="1"/>
    <n v="6220"/>
    <x v="1"/>
    <n v="2"/>
    <x v="1"/>
    <x v="1"/>
    <x v="0"/>
  </r>
  <r>
    <s v="STAFF-97"/>
    <n v="36"/>
    <x v="0"/>
    <x v="1"/>
    <x v="2"/>
    <n v="3038"/>
    <x v="6"/>
    <n v="4"/>
    <x v="1"/>
    <x v="1"/>
    <x v="0"/>
  </r>
  <r>
    <s v="STAFF-98"/>
    <n v="31"/>
    <x v="0"/>
    <x v="1"/>
    <x v="3"/>
    <n v="4424"/>
    <x v="19"/>
    <n v="4"/>
    <x v="1"/>
    <x v="1"/>
    <x v="0"/>
  </r>
  <r>
    <s v="STAFF-100"/>
    <n v="35"/>
    <x v="1"/>
    <x v="0"/>
    <x v="0"/>
    <n v="4312"/>
    <x v="15"/>
    <n v="1"/>
    <x v="1"/>
    <x v="1"/>
    <x v="0"/>
  </r>
  <r>
    <s v="STAFF-101"/>
    <n v="45"/>
    <x v="1"/>
    <x v="1"/>
    <x v="7"/>
    <n v="13245"/>
    <x v="2"/>
    <n v="1"/>
    <x v="0"/>
    <x v="1"/>
    <x v="2"/>
  </r>
  <r>
    <s v="STAFF-102"/>
    <n v="37"/>
    <x v="1"/>
    <x v="1"/>
    <x v="7"/>
    <n v="13664"/>
    <x v="8"/>
    <n v="3"/>
    <x v="1"/>
    <x v="1"/>
    <x v="2"/>
  </r>
  <r>
    <s v="STAFF-103"/>
    <n v="46"/>
    <x v="1"/>
    <x v="2"/>
    <x v="8"/>
    <n v="5021"/>
    <x v="9"/>
    <n v="2"/>
    <x v="0"/>
    <x v="1"/>
    <x v="0"/>
  </r>
  <r>
    <s v="STAFF-104"/>
    <n v="30"/>
    <x v="1"/>
    <x v="1"/>
    <x v="2"/>
    <n v="5126"/>
    <x v="1"/>
    <n v="4"/>
    <x v="0"/>
    <x v="1"/>
    <x v="0"/>
  </r>
  <r>
    <s v="STAFF-105"/>
    <n v="35"/>
    <x v="1"/>
    <x v="1"/>
    <x v="1"/>
    <n v="2859"/>
    <x v="0"/>
    <n v="3"/>
    <x v="1"/>
    <x v="1"/>
    <x v="1"/>
  </r>
  <r>
    <s v="STAFF-106"/>
    <n v="55"/>
    <x v="1"/>
    <x v="0"/>
    <x v="0"/>
    <n v="10239"/>
    <x v="6"/>
    <n v="4"/>
    <x v="1"/>
    <x v="1"/>
    <x v="2"/>
  </r>
  <r>
    <s v="STAFF-107"/>
    <n v="38"/>
    <x v="0"/>
    <x v="1"/>
    <x v="1"/>
    <n v="5329"/>
    <x v="20"/>
    <n v="4"/>
    <x v="0"/>
    <x v="1"/>
    <x v="0"/>
  </r>
  <r>
    <s v="STAFF-110"/>
    <n v="34"/>
    <x v="1"/>
    <x v="1"/>
    <x v="3"/>
    <n v="4325"/>
    <x v="8"/>
    <n v="2"/>
    <x v="1"/>
    <x v="1"/>
    <x v="0"/>
  </r>
  <r>
    <s v="STAFF-112"/>
    <n v="56"/>
    <x v="1"/>
    <x v="1"/>
    <x v="3"/>
    <n v="7260"/>
    <x v="0"/>
    <n v="4"/>
    <x v="1"/>
    <x v="1"/>
    <x v="2"/>
  </r>
  <r>
    <s v="STAFF-113"/>
    <n v="23"/>
    <x v="1"/>
    <x v="0"/>
    <x v="6"/>
    <n v="2322"/>
    <x v="2"/>
    <n v="1"/>
    <x v="1"/>
    <x v="1"/>
    <x v="1"/>
  </r>
  <r>
    <s v="STAFF-116"/>
    <n v="51"/>
    <x v="1"/>
    <x v="1"/>
    <x v="2"/>
    <n v="2075"/>
    <x v="9"/>
    <n v="4"/>
    <x v="1"/>
    <x v="1"/>
    <x v="1"/>
  </r>
  <r>
    <s v="STAFF-117"/>
    <n v="30"/>
    <x v="1"/>
    <x v="1"/>
    <x v="4"/>
    <n v="4152"/>
    <x v="19"/>
    <n v="4"/>
    <x v="1"/>
    <x v="1"/>
    <x v="0"/>
  </r>
  <r>
    <s v="STAFF-118"/>
    <n v="46"/>
    <x v="1"/>
    <x v="0"/>
    <x v="0"/>
    <n v="9619"/>
    <x v="7"/>
    <n v="4"/>
    <x v="1"/>
    <x v="0"/>
    <x v="2"/>
  </r>
  <r>
    <s v="STAFF-119"/>
    <n v="40"/>
    <x v="1"/>
    <x v="1"/>
    <x v="4"/>
    <n v="13503"/>
    <x v="14"/>
    <n v="2"/>
    <x v="1"/>
    <x v="1"/>
    <x v="2"/>
  </r>
  <r>
    <s v="STAFF-120"/>
    <n v="51"/>
    <x v="1"/>
    <x v="0"/>
    <x v="0"/>
    <n v="5441"/>
    <x v="1"/>
    <n v="4"/>
    <x v="0"/>
    <x v="1"/>
    <x v="0"/>
  </r>
  <r>
    <s v="STAFF-121"/>
    <n v="30"/>
    <x v="0"/>
    <x v="0"/>
    <x v="0"/>
    <n v="5209"/>
    <x v="19"/>
    <n v="2"/>
    <x v="0"/>
    <x v="1"/>
    <x v="0"/>
  </r>
  <r>
    <s v="STAFF-124"/>
    <n v="46"/>
    <x v="1"/>
    <x v="1"/>
    <x v="4"/>
    <n v="10673"/>
    <x v="1"/>
    <n v="1"/>
    <x v="0"/>
    <x v="1"/>
    <x v="2"/>
  </r>
  <r>
    <s v="STAFF-125"/>
    <n v="32"/>
    <x v="1"/>
    <x v="0"/>
    <x v="0"/>
    <n v="5010"/>
    <x v="19"/>
    <n v="3"/>
    <x v="1"/>
    <x v="1"/>
    <x v="0"/>
  </r>
  <r>
    <s v="STAFF-126"/>
    <n v="54"/>
    <x v="0"/>
    <x v="1"/>
    <x v="7"/>
    <n v="13549"/>
    <x v="9"/>
    <n v="3"/>
    <x v="1"/>
    <x v="1"/>
    <x v="2"/>
  </r>
  <r>
    <s v="STAFF-128"/>
    <n v="24"/>
    <x v="0"/>
    <x v="0"/>
    <x v="0"/>
    <n v="4999"/>
    <x v="11"/>
    <n v="3"/>
    <x v="1"/>
    <x v="1"/>
    <x v="0"/>
  </r>
  <r>
    <s v="STAFF-129"/>
    <n v="28"/>
    <x v="1"/>
    <x v="0"/>
    <x v="0"/>
    <n v="4221"/>
    <x v="8"/>
    <n v="3"/>
    <x v="1"/>
    <x v="1"/>
    <x v="0"/>
  </r>
  <r>
    <s v="STAFF-131"/>
    <n v="58"/>
    <x v="1"/>
    <x v="0"/>
    <x v="0"/>
    <n v="13872"/>
    <x v="21"/>
    <n v="3"/>
    <x v="1"/>
    <x v="1"/>
    <x v="2"/>
  </r>
  <r>
    <s v="STAFF-132"/>
    <n v="44"/>
    <x v="1"/>
    <x v="1"/>
    <x v="2"/>
    <n v="2042"/>
    <x v="11"/>
    <n v="2"/>
    <x v="1"/>
    <x v="1"/>
    <x v="1"/>
  </r>
  <r>
    <s v="STAFF-133"/>
    <n v="37"/>
    <x v="1"/>
    <x v="2"/>
    <x v="8"/>
    <n v="2073"/>
    <x v="11"/>
    <n v="1"/>
    <x v="0"/>
    <x v="0"/>
    <x v="1"/>
  </r>
  <r>
    <s v="STAFF-134"/>
    <n v="32"/>
    <x v="1"/>
    <x v="1"/>
    <x v="1"/>
    <n v="2956"/>
    <x v="6"/>
    <n v="1"/>
    <x v="1"/>
    <x v="1"/>
    <x v="1"/>
  </r>
  <r>
    <s v="STAFF-137"/>
    <n v="20"/>
    <x v="0"/>
    <x v="1"/>
    <x v="2"/>
    <n v="2926"/>
    <x v="6"/>
    <n v="4"/>
    <x v="0"/>
    <x v="0"/>
    <x v="1"/>
  </r>
  <r>
    <s v="STAFF-138"/>
    <n v="34"/>
    <x v="0"/>
    <x v="1"/>
    <x v="1"/>
    <n v="4809"/>
    <x v="22"/>
    <n v="3"/>
    <x v="1"/>
    <x v="1"/>
    <x v="0"/>
  </r>
  <r>
    <s v="STAFF-139"/>
    <n v="37"/>
    <x v="1"/>
    <x v="1"/>
    <x v="4"/>
    <n v="5163"/>
    <x v="6"/>
    <n v="4"/>
    <x v="1"/>
    <x v="1"/>
    <x v="0"/>
  </r>
  <r>
    <s v="STAFF-140"/>
    <n v="59"/>
    <x v="0"/>
    <x v="2"/>
    <x v="5"/>
    <n v="18844"/>
    <x v="11"/>
    <n v="4"/>
    <x v="1"/>
    <x v="1"/>
    <x v="2"/>
  </r>
  <r>
    <s v="STAFF-141"/>
    <n v="50"/>
    <x v="0"/>
    <x v="1"/>
    <x v="7"/>
    <n v="18172"/>
    <x v="3"/>
    <n v="2"/>
    <x v="0"/>
    <x v="1"/>
    <x v="2"/>
  </r>
  <r>
    <s v="STAFF-142"/>
    <n v="25"/>
    <x v="1"/>
    <x v="0"/>
    <x v="0"/>
    <n v="5744"/>
    <x v="0"/>
    <n v="3"/>
    <x v="0"/>
    <x v="0"/>
    <x v="0"/>
  </r>
  <r>
    <s v="STAFF-143"/>
    <n v="25"/>
    <x v="1"/>
    <x v="1"/>
    <x v="1"/>
    <n v="2889"/>
    <x v="4"/>
    <n v="4"/>
    <x v="1"/>
    <x v="1"/>
    <x v="1"/>
  </r>
  <r>
    <s v="STAFF-144"/>
    <n v="22"/>
    <x v="0"/>
    <x v="1"/>
    <x v="2"/>
    <n v="2871"/>
    <x v="2"/>
    <n v="4"/>
    <x v="1"/>
    <x v="1"/>
    <x v="1"/>
  </r>
  <r>
    <s v="STAFF-145"/>
    <n v="51"/>
    <x v="0"/>
    <x v="1"/>
    <x v="4"/>
    <n v="7484"/>
    <x v="20"/>
    <n v="1"/>
    <x v="1"/>
    <x v="1"/>
    <x v="2"/>
  </r>
  <r>
    <s v="STAFF-147"/>
    <n v="34"/>
    <x v="1"/>
    <x v="1"/>
    <x v="2"/>
    <n v="6074"/>
    <x v="7"/>
    <n v="3"/>
    <x v="0"/>
    <x v="0"/>
    <x v="0"/>
  </r>
  <r>
    <s v="STAFF-148"/>
    <n v="54"/>
    <x v="0"/>
    <x v="2"/>
    <x v="5"/>
    <n v="17328"/>
    <x v="8"/>
    <n v="4"/>
    <x v="0"/>
    <x v="1"/>
    <x v="2"/>
  </r>
  <r>
    <s v="STAFF-150"/>
    <n v="24"/>
    <x v="1"/>
    <x v="1"/>
    <x v="2"/>
    <n v="2774"/>
    <x v="8"/>
    <n v="3"/>
    <x v="1"/>
    <x v="1"/>
    <x v="1"/>
  </r>
  <r>
    <s v="STAFF-151"/>
    <n v="34"/>
    <x v="0"/>
    <x v="1"/>
    <x v="1"/>
    <n v="4505"/>
    <x v="6"/>
    <n v="2"/>
    <x v="1"/>
    <x v="1"/>
    <x v="0"/>
  </r>
  <r>
    <s v="STAFF-152"/>
    <n v="37"/>
    <x v="1"/>
    <x v="0"/>
    <x v="0"/>
    <n v="7428"/>
    <x v="8"/>
    <n v="4"/>
    <x v="1"/>
    <x v="1"/>
    <x v="2"/>
  </r>
  <r>
    <s v="STAFF-153"/>
    <n v="34"/>
    <x v="0"/>
    <x v="1"/>
    <x v="5"/>
    <n v="11631"/>
    <x v="19"/>
    <n v="1"/>
    <x v="1"/>
    <x v="1"/>
    <x v="2"/>
  </r>
  <r>
    <s v="STAFF-154"/>
    <n v="36"/>
    <x v="0"/>
    <x v="0"/>
    <x v="0"/>
    <n v="9738"/>
    <x v="7"/>
    <n v="4"/>
    <x v="1"/>
    <x v="1"/>
    <x v="2"/>
  </r>
  <r>
    <s v="STAFF-155"/>
    <n v="36"/>
    <x v="0"/>
    <x v="1"/>
    <x v="2"/>
    <n v="2835"/>
    <x v="6"/>
    <n v="4"/>
    <x v="1"/>
    <x v="1"/>
    <x v="1"/>
  </r>
  <r>
    <s v="STAFF-158"/>
    <n v="43"/>
    <x v="1"/>
    <x v="0"/>
    <x v="5"/>
    <n v="16959"/>
    <x v="10"/>
    <n v="4"/>
    <x v="0"/>
    <x v="1"/>
    <x v="2"/>
  </r>
  <r>
    <s v="STAFF-159"/>
    <n v="30"/>
    <x v="1"/>
    <x v="1"/>
    <x v="1"/>
    <n v="2613"/>
    <x v="1"/>
    <n v="3"/>
    <x v="1"/>
    <x v="1"/>
    <x v="1"/>
  </r>
  <r>
    <s v="STAFF-160"/>
    <n v="33"/>
    <x v="1"/>
    <x v="0"/>
    <x v="0"/>
    <n v="6146"/>
    <x v="5"/>
    <n v="2"/>
    <x v="1"/>
    <x v="1"/>
    <x v="0"/>
  </r>
  <r>
    <s v="STAFF-161"/>
    <n v="56"/>
    <x v="0"/>
    <x v="1"/>
    <x v="1"/>
    <n v="4963"/>
    <x v="8"/>
    <n v="2"/>
    <x v="0"/>
    <x v="0"/>
    <x v="0"/>
  </r>
  <r>
    <s v="STAFF-162"/>
    <n v="51"/>
    <x v="1"/>
    <x v="1"/>
    <x v="7"/>
    <n v="19537"/>
    <x v="23"/>
    <n v="3"/>
    <x v="1"/>
    <x v="1"/>
    <x v="2"/>
  </r>
  <r>
    <s v="STAFF-163"/>
    <n v="31"/>
    <x v="1"/>
    <x v="0"/>
    <x v="0"/>
    <n v="6172"/>
    <x v="5"/>
    <n v="3"/>
    <x v="0"/>
    <x v="0"/>
    <x v="0"/>
  </r>
  <r>
    <s v="STAFF-164"/>
    <n v="26"/>
    <x v="0"/>
    <x v="1"/>
    <x v="1"/>
    <n v="2368"/>
    <x v="8"/>
    <n v="2"/>
    <x v="1"/>
    <x v="1"/>
    <x v="1"/>
  </r>
  <r>
    <s v="STAFF-165"/>
    <n v="58"/>
    <x v="0"/>
    <x v="1"/>
    <x v="4"/>
    <n v="10312"/>
    <x v="24"/>
    <n v="4"/>
    <x v="1"/>
    <x v="0"/>
    <x v="2"/>
  </r>
  <r>
    <s v="STAFF-167"/>
    <n v="19"/>
    <x v="1"/>
    <x v="0"/>
    <x v="6"/>
    <n v="1675"/>
    <x v="2"/>
    <n v="3"/>
    <x v="0"/>
    <x v="0"/>
    <x v="1"/>
  </r>
  <r>
    <s v="STAFF-169"/>
    <n v="22"/>
    <x v="1"/>
    <x v="1"/>
    <x v="2"/>
    <n v="2523"/>
    <x v="4"/>
    <n v="4"/>
    <x v="1"/>
    <x v="1"/>
    <x v="1"/>
  </r>
  <r>
    <s v="STAFF-170"/>
    <n v="49"/>
    <x v="0"/>
    <x v="1"/>
    <x v="3"/>
    <n v="6567"/>
    <x v="15"/>
    <n v="1"/>
    <x v="1"/>
    <x v="1"/>
    <x v="0"/>
  </r>
  <r>
    <s v="STAFF-171"/>
    <n v="43"/>
    <x v="0"/>
    <x v="1"/>
    <x v="1"/>
    <n v="4739"/>
    <x v="11"/>
    <n v="3"/>
    <x v="1"/>
    <x v="1"/>
    <x v="0"/>
  </r>
  <r>
    <s v="STAFF-174"/>
    <n v="50"/>
    <x v="0"/>
    <x v="0"/>
    <x v="0"/>
    <n v="9208"/>
    <x v="4"/>
    <n v="4"/>
    <x v="1"/>
    <x v="1"/>
    <x v="2"/>
  </r>
  <r>
    <s v="STAFF-175"/>
    <n v="31"/>
    <x v="0"/>
    <x v="0"/>
    <x v="0"/>
    <n v="4559"/>
    <x v="4"/>
    <n v="3"/>
    <x v="0"/>
    <x v="0"/>
    <x v="0"/>
  </r>
  <r>
    <s v="STAFF-176"/>
    <n v="41"/>
    <x v="1"/>
    <x v="0"/>
    <x v="0"/>
    <n v="8189"/>
    <x v="7"/>
    <n v="3"/>
    <x v="0"/>
    <x v="1"/>
    <x v="2"/>
  </r>
  <r>
    <s v="STAFF-177"/>
    <n v="26"/>
    <x v="0"/>
    <x v="2"/>
    <x v="8"/>
    <n v="2942"/>
    <x v="3"/>
    <n v="3"/>
    <x v="1"/>
    <x v="1"/>
    <x v="1"/>
  </r>
  <r>
    <s v="STAFF-178"/>
    <n v="36"/>
    <x v="1"/>
    <x v="1"/>
    <x v="3"/>
    <n v="4941"/>
    <x v="11"/>
    <n v="2"/>
    <x v="1"/>
    <x v="1"/>
    <x v="0"/>
  </r>
  <r>
    <s v="STAFF-179"/>
    <n v="51"/>
    <x v="1"/>
    <x v="1"/>
    <x v="3"/>
    <n v="10650"/>
    <x v="9"/>
    <n v="4"/>
    <x v="1"/>
    <x v="0"/>
    <x v="2"/>
  </r>
  <r>
    <s v="STAFF-182"/>
    <n v="39"/>
    <x v="0"/>
    <x v="0"/>
    <x v="0"/>
    <n v="5902"/>
    <x v="15"/>
    <n v="3"/>
    <x v="1"/>
    <x v="1"/>
    <x v="0"/>
  </r>
  <r>
    <s v="STAFF-183"/>
    <n v="25"/>
    <x v="1"/>
    <x v="0"/>
    <x v="0"/>
    <n v="8639"/>
    <x v="4"/>
    <n v="3"/>
    <x v="1"/>
    <x v="1"/>
    <x v="2"/>
  </r>
  <r>
    <s v="STAFF-184"/>
    <n v="30"/>
    <x v="1"/>
    <x v="2"/>
    <x v="8"/>
    <n v="6347"/>
    <x v="19"/>
    <n v="4"/>
    <x v="0"/>
    <x v="1"/>
    <x v="0"/>
  </r>
  <r>
    <s v="STAFF-190"/>
    <n v="32"/>
    <x v="0"/>
    <x v="1"/>
    <x v="2"/>
    <n v="4200"/>
    <x v="8"/>
    <n v="1"/>
    <x v="1"/>
    <x v="0"/>
    <x v="0"/>
  </r>
  <r>
    <s v="STAFF-192"/>
    <n v="45"/>
    <x v="1"/>
    <x v="1"/>
    <x v="1"/>
    <n v="3452"/>
    <x v="0"/>
    <n v="4"/>
    <x v="1"/>
    <x v="1"/>
    <x v="0"/>
  </r>
  <r>
    <s v="STAFF-193"/>
    <n v="38"/>
    <x v="0"/>
    <x v="1"/>
    <x v="1"/>
    <n v="4317"/>
    <x v="11"/>
    <n v="3"/>
    <x v="0"/>
    <x v="1"/>
    <x v="0"/>
  </r>
  <r>
    <s v="STAFF-194"/>
    <n v="30"/>
    <x v="0"/>
    <x v="1"/>
    <x v="1"/>
    <n v="2632"/>
    <x v="8"/>
    <n v="3"/>
    <x v="1"/>
    <x v="1"/>
    <x v="1"/>
  </r>
  <r>
    <s v="STAFF-195"/>
    <n v="32"/>
    <x v="1"/>
    <x v="0"/>
    <x v="0"/>
    <n v="4668"/>
    <x v="3"/>
    <n v="4"/>
    <x v="1"/>
    <x v="1"/>
    <x v="0"/>
  </r>
  <r>
    <s v="STAFF-197"/>
    <n v="30"/>
    <x v="0"/>
    <x v="1"/>
    <x v="1"/>
    <n v="3204"/>
    <x v="11"/>
    <n v="1"/>
    <x v="1"/>
    <x v="1"/>
    <x v="0"/>
  </r>
  <r>
    <s v="STAFF-198"/>
    <n v="30"/>
    <x v="1"/>
    <x v="1"/>
    <x v="2"/>
    <n v="2720"/>
    <x v="8"/>
    <n v="4"/>
    <x v="1"/>
    <x v="1"/>
    <x v="1"/>
  </r>
  <r>
    <s v="STAFF-199"/>
    <n v="41"/>
    <x v="1"/>
    <x v="1"/>
    <x v="5"/>
    <n v="17181"/>
    <x v="5"/>
    <n v="1"/>
    <x v="1"/>
    <x v="1"/>
    <x v="2"/>
  </r>
  <r>
    <s v="STAFF-200"/>
    <n v="41"/>
    <x v="1"/>
    <x v="1"/>
    <x v="2"/>
    <n v="2238"/>
    <x v="8"/>
    <n v="1"/>
    <x v="1"/>
    <x v="1"/>
    <x v="1"/>
  </r>
  <r>
    <s v="STAFF-201"/>
    <n v="19"/>
    <x v="0"/>
    <x v="1"/>
    <x v="2"/>
    <n v="1483"/>
    <x v="6"/>
    <n v="2"/>
    <x v="1"/>
    <x v="1"/>
    <x v="1"/>
  </r>
  <r>
    <s v="STAFF-202"/>
    <n v="40"/>
    <x v="0"/>
    <x v="1"/>
    <x v="1"/>
    <n v="5605"/>
    <x v="23"/>
    <n v="2"/>
    <x v="1"/>
    <x v="1"/>
    <x v="0"/>
  </r>
  <r>
    <s v="STAFF-204"/>
    <n v="35"/>
    <x v="1"/>
    <x v="0"/>
    <x v="0"/>
    <n v="7295"/>
    <x v="1"/>
    <n v="2"/>
    <x v="1"/>
    <x v="1"/>
    <x v="2"/>
  </r>
  <r>
    <s v="STAFF-205"/>
    <n v="53"/>
    <x v="1"/>
    <x v="0"/>
    <x v="6"/>
    <n v="2306"/>
    <x v="5"/>
    <n v="3"/>
    <x v="0"/>
    <x v="1"/>
    <x v="1"/>
  </r>
  <r>
    <s v="STAFF-206"/>
    <n v="45"/>
    <x v="1"/>
    <x v="1"/>
    <x v="2"/>
    <n v="2348"/>
    <x v="18"/>
    <n v="2"/>
    <x v="1"/>
    <x v="1"/>
    <x v="1"/>
  </r>
  <r>
    <s v="STAFF-207"/>
    <n v="32"/>
    <x v="0"/>
    <x v="0"/>
    <x v="0"/>
    <n v="8998"/>
    <x v="7"/>
    <n v="4"/>
    <x v="1"/>
    <x v="1"/>
    <x v="2"/>
  </r>
  <r>
    <s v="STAFF-208"/>
    <n v="29"/>
    <x v="1"/>
    <x v="1"/>
    <x v="3"/>
    <n v="4319"/>
    <x v="1"/>
    <n v="3"/>
    <x v="1"/>
    <x v="1"/>
    <x v="0"/>
  </r>
  <r>
    <s v="STAFF-211"/>
    <n v="51"/>
    <x v="1"/>
    <x v="1"/>
    <x v="3"/>
    <n v="6132"/>
    <x v="6"/>
    <n v="3"/>
    <x v="1"/>
    <x v="1"/>
    <x v="0"/>
  </r>
  <r>
    <s v="STAFF-214"/>
    <n v="58"/>
    <x v="0"/>
    <x v="1"/>
    <x v="1"/>
    <n v="3346"/>
    <x v="6"/>
    <n v="2"/>
    <x v="0"/>
    <x v="1"/>
    <x v="0"/>
  </r>
  <r>
    <s v="STAFF-215"/>
    <n v="40"/>
    <x v="1"/>
    <x v="0"/>
    <x v="0"/>
    <n v="10855"/>
    <x v="12"/>
    <n v="4"/>
    <x v="1"/>
    <x v="1"/>
    <x v="2"/>
  </r>
  <r>
    <s v="STAFF-216"/>
    <n v="34"/>
    <x v="0"/>
    <x v="0"/>
    <x v="6"/>
    <n v="2231"/>
    <x v="9"/>
    <n v="3"/>
    <x v="1"/>
    <x v="1"/>
    <x v="1"/>
  </r>
  <r>
    <s v="STAFF-217"/>
    <n v="22"/>
    <x v="1"/>
    <x v="1"/>
    <x v="1"/>
    <n v="2323"/>
    <x v="4"/>
    <n v="4"/>
    <x v="1"/>
    <x v="1"/>
    <x v="1"/>
  </r>
  <r>
    <s v="STAFF-218"/>
    <n v="27"/>
    <x v="1"/>
    <x v="1"/>
    <x v="1"/>
    <n v="2024"/>
    <x v="4"/>
    <n v="2"/>
    <x v="1"/>
    <x v="1"/>
    <x v="1"/>
  </r>
  <r>
    <s v="STAFF-221"/>
    <n v="28"/>
    <x v="1"/>
    <x v="1"/>
    <x v="1"/>
    <n v="2713"/>
    <x v="8"/>
    <n v="4"/>
    <x v="1"/>
    <x v="1"/>
    <x v="1"/>
  </r>
  <r>
    <s v="STAFF-223"/>
    <n v="57"/>
    <x v="1"/>
    <x v="1"/>
    <x v="4"/>
    <n v="9439"/>
    <x v="8"/>
    <n v="4"/>
    <x v="0"/>
    <x v="1"/>
    <x v="2"/>
  </r>
  <r>
    <s v="STAFF-224"/>
    <n v="27"/>
    <x v="1"/>
    <x v="1"/>
    <x v="1"/>
    <n v="2566"/>
    <x v="6"/>
    <n v="3"/>
    <x v="0"/>
    <x v="1"/>
    <x v="1"/>
  </r>
  <r>
    <s v="STAFF-226"/>
    <n v="50"/>
    <x v="0"/>
    <x v="1"/>
    <x v="5"/>
    <n v="19926"/>
    <x v="8"/>
    <n v="2"/>
    <x v="1"/>
    <x v="1"/>
    <x v="2"/>
  </r>
  <r>
    <s v="STAFF-227"/>
    <n v="41"/>
    <x v="1"/>
    <x v="1"/>
    <x v="1"/>
    <n v="2451"/>
    <x v="7"/>
    <n v="3"/>
    <x v="1"/>
    <x v="1"/>
    <x v="1"/>
  </r>
  <r>
    <s v="STAFF-228"/>
    <n v="30"/>
    <x v="0"/>
    <x v="0"/>
    <x v="0"/>
    <n v="9419"/>
    <x v="1"/>
    <n v="4"/>
    <x v="1"/>
    <x v="1"/>
    <x v="2"/>
  </r>
  <r>
    <s v="STAFF-230"/>
    <n v="38"/>
    <x v="0"/>
    <x v="0"/>
    <x v="0"/>
    <n v="8686"/>
    <x v="3"/>
    <n v="4"/>
    <x v="1"/>
    <x v="1"/>
    <x v="2"/>
  </r>
  <r>
    <s v="STAFF-231"/>
    <n v="32"/>
    <x v="1"/>
    <x v="1"/>
    <x v="1"/>
    <n v="3038"/>
    <x v="8"/>
    <n v="3"/>
    <x v="1"/>
    <x v="1"/>
    <x v="0"/>
  </r>
  <r>
    <s v="STAFF-233"/>
    <n v="27"/>
    <x v="1"/>
    <x v="1"/>
    <x v="1"/>
    <n v="3058"/>
    <x v="8"/>
    <n v="2"/>
    <x v="0"/>
    <x v="1"/>
    <x v="0"/>
  </r>
  <r>
    <s v="STAFF-235"/>
    <n v="19"/>
    <x v="0"/>
    <x v="0"/>
    <x v="6"/>
    <n v="2325"/>
    <x v="2"/>
    <n v="1"/>
    <x v="1"/>
    <x v="0"/>
    <x v="1"/>
  </r>
  <r>
    <s v="STAFF-238"/>
    <n v="36"/>
    <x v="1"/>
    <x v="1"/>
    <x v="2"/>
    <n v="2088"/>
    <x v="3"/>
    <n v="2"/>
    <x v="1"/>
    <x v="1"/>
    <x v="1"/>
  </r>
  <r>
    <s v="STAFF-239"/>
    <n v="30"/>
    <x v="1"/>
    <x v="1"/>
    <x v="2"/>
    <n v="3072"/>
    <x v="12"/>
    <n v="1"/>
    <x v="1"/>
    <x v="1"/>
    <x v="0"/>
  </r>
  <r>
    <s v="STAFF-240"/>
    <n v="45"/>
    <x v="0"/>
    <x v="0"/>
    <x v="0"/>
    <n v="5006"/>
    <x v="8"/>
    <n v="1"/>
    <x v="0"/>
    <x v="1"/>
    <x v="0"/>
  </r>
  <r>
    <s v="STAFF-241"/>
    <n v="56"/>
    <x v="0"/>
    <x v="1"/>
    <x v="1"/>
    <n v="4257"/>
    <x v="4"/>
    <n v="1"/>
    <x v="0"/>
    <x v="1"/>
    <x v="0"/>
  </r>
  <r>
    <s v="STAFF-242"/>
    <n v="33"/>
    <x v="1"/>
    <x v="1"/>
    <x v="1"/>
    <n v="2500"/>
    <x v="11"/>
    <n v="4"/>
    <x v="1"/>
    <x v="1"/>
    <x v="1"/>
  </r>
  <r>
    <s v="STAFF-243"/>
    <n v="19"/>
    <x v="1"/>
    <x v="1"/>
    <x v="2"/>
    <n v="1102"/>
    <x v="6"/>
    <n v="4"/>
    <x v="1"/>
    <x v="0"/>
    <x v="1"/>
  </r>
  <r>
    <s v="STAFF-244"/>
    <n v="46"/>
    <x v="0"/>
    <x v="0"/>
    <x v="0"/>
    <n v="10453"/>
    <x v="25"/>
    <n v="1"/>
    <x v="1"/>
    <x v="1"/>
    <x v="2"/>
  </r>
  <r>
    <s v="STAFF-245"/>
    <n v="38"/>
    <x v="0"/>
    <x v="1"/>
    <x v="2"/>
    <n v="2288"/>
    <x v="4"/>
    <n v="4"/>
    <x v="1"/>
    <x v="1"/>
    <x v="1"/>
  </r>
  <r>
    <s v="STAFF-246"/>
    <n v="31"/>
    <x v="0"/>
    <x v="1"/>
    <x v="1"/>
    <n v="3929"/>
    <x v="9"/>
    <n v="4"/>
    <x v="0"/>
    <x v="1"/>
    <x v="0"/>
  </r>
  <r>
    <s v="STAFF-247"/>
    <n v="34"/>
    <x v="0"/>
    <x v="1"/>
    <x v="1"/>
    <n v="2311"/>
    <x v="11"/>
    <n v="2"/>
    <x v="1"/>
    <x v="1"/>
    <x v="1"/>
  </r>
  <r>
    <s v="STAFF-248"/>
    <n v="41"/>
    <x v="0"/>
    <x v="0"/>
    <x v="6"/>
    <n v="3140"/>
    <x v="9"/>
    <n v="2"/>
    <x v="0"/>
    <x v="0"/>
    <x v="0"/>
  </r>
  <r>
    <s v="STAFF-249"/>
    <n v="50"/>
    <x v="1"/>
    <x v="1"/>
    <x v="2"/>
    <n v="3690"/>
    <x v="11"/>
    <n v="3"/>
    <x v="1"/>
    <x v="1"/>
    <x v="0"/>
  </r>
  <r>
    <s v="STAFF-250"/>
    <n v="53"/>
    <x v="0"/>
    <x v="1"/>
    <x v="3"/>
    <n v="4450"/>
    <x v="9"/>
    <n v="1"/>
    <x v="1"/>
    <x v="1"/>
    <x v="0"/>
  </r>
  <r>
    <s v="STAFF-252"/>
    <n v="33"/>
    <x v="0"/>
    <x v="1"/>
    <x v="1"/>
    <n v="2756"/>
    <x v="3"/>
    <n v="2"/>
    <x v="1"/>
    <x v="1"/>
    <x v="1"/>
  </r>
  <r>
    <s v="STAFF-253"/>
    <n v="40"/>
    <x v="0"/>
    <x v="1"/>
    <x v="5"/>
    <n v="19033"/>
    <x v="23"/>
    <n v="3"/>
    <x v="1"/>
    <x v="1"/>
    <x v="2"/>
  </r>
  <r>
    <s v="STAFF-254"/>
    <n v="55"/>
    <x v="1"/>
    <x v="1"/>
    <x v="7"/>
    <n v="18722"/>
    <x v="25"/>
    <n v="2"/>
    <x v="1"/>
    <x v="1"/>
    <x v="2"/>
  </r>
  <r>
    <s v="STAFF-256"/>
    <n v="34"/>
    <x v="1"/>
    <x v="1"/>
    <x v="3"/>
    <n v="9547"/>
    <x v="1"/>
    <n v="3"/>
    <x v="1"/>
    <x v="1"/>
    <x v="2"/>
  </r>
  <r>
    <s v="STAFF-258"/>
    <n v="51"/>
    <x v="0"/>
    <x v="1"/>
    <x v="4"/>
    <n v="13734"/>
    <x v="5"/>
    <n v="2"/>
    <x v="1"/>
    <x v="1"/>
    <x v="2"/>
  </r>
  <r>
    <s v="STAFF-259"/>
    <n v="52"/>
    <x v="1"/>
    <x v="1"/>
    <x v="5"/>
    <n v="19999"/>
    <x v="26"/>
    <n v="3"/>
    <x v="1"/>
    <x v="1"/>
    <x v="2"/>
  </r>
  <r>
    <s v="STAFF-260"/>
    <n v="27"/>
    <x v="0"/>
    <x v="1"/>
    <x v="1"/>
    <n v="2279"/>
    <x v="5"/>
    <n v="2"/>
    <x v="1"/>
    <x v="1"/>
    <x v="1"/>
  </r>
  <r>
    <s v="STAFF-261"/>
    <n v="35"/>
    <x v="1"/>
    <x v="1"/>
    <x v="3"/>
    <n v="5916"/>
    <x v="6"/>
    <n v="3"/>
    <x v="0"/>
    <x v="0"/>
    <x v="0"/>
  </r>
  <r>
    <s v="STAFF-262"/>
    <n v="43"/>
    <x v="1"/>
    <x v="1"/>
    <x v="1"/>
    <n v="2089"/>
    <x v="8"/>
    <n v="4"/>
    <x v="1"/>
    <x v="1"/>
    <x v="1"/>
  </r>
  <r>
    <s v="STAFF-264"/>
    <n v="45"/>
    <x v="1"/>
    <x v="1"/>
    <x v="5"/>
    <n v="16792"/>
    <x v="23"/>
    <n v="4"/>
    <x v="1"/>
    <x v="1"/>
    <x v="2"/>
  </r>
  <r>
    <s v="STAFF-267"/>
    <n v="37"/>
    <x v="1"/>
    <x v="1"/>
    <x v="1"/>
    <n v="3564"/>
    <x v="3"/>
    <n v="1"/>
    <x v="0"/>
    <x v="1"/>
    <x v="0"/>
  </r>
  <r>
    <s v="STAFF-269"/>
    <n v="35"/>
    <x v="0"/>
    <x v="1"/>
    <x v="2"/>
    <n v="4425"/>
    <x v="0"/>
    <n v="2"/>
    <x v="1"/>
    <x v="1"/>
    <x v="0"/>
  </r>
  <r>
    <s v="STAFF-270"/>
    <n v="42"/>
    <x v="0"/>
    <x v="1"/>
    <x v="3"/>
    <n v="5265"/>
    <x v="8"/>
    <n v="3"/>
    <x v="1"/>
    <x v="1"/>
    <x v="0"/>
  </r>
  <r>
    <s v="STAFF-271"/>
    <n v="38"/>
    <x v="1"/>
    <x v="1"/>
    <x v="3"/>
    <n v="6553"/>
    <x v="6"/>
    <n v="3"/>
    <x v="1"/>
    <x v="1"/>
    <x v="0"/>
  </r>
  <r>
    <s v="STAFF-273"/>
    <n v="38"/>
    <x v="1"/>
    <x v="1"/>
    <x v="3"/>
    <n v="6261"/>
    <x v="5"/>
    <n v="4"/>
    <x v="1"/>
    <x v="1"/>
    <x v="0"/>
  </r>
  <r>
    <s v="STAFF-274"/>
    <n v="27"/>
    <x v="1"/>
    <x v="1"/>
    <x v="3"/>
    <n v="4298"/>
    <x v="4"/>
    <n v="1"/>
    <x v="1"/>
    <x v="1"/>
    <x v="0"/>
  </r>
  <r>
    <s v="STAFF-275"/>
    <n v="49"/>
    <x v="1"/>
    <x v="1"/>
    <x v="3"/>
    <n v="6804"/>
    <x v="5"/>
    <n v="4"/>
    <x v="0"/>
    <x v="1"/>
    <x v="0"/>
  </r>
  <r>
    <s v="STAFF-277"/>
    <n v="34"/>
    <x v="1"/>
    <x v="1"/>
    <x v="1"/>
    <n v="3815"/>
    <x v="8"/>
    <n v="3"/>
    <x v="0"/>
    <x v="1"/>
    <x v="0"/>
  </r>
  <r>
    <s v="STAFF-281"/>
    <n v="40"/>
    <x v="1"/>
    <x v="1"/>
    <x v="2"/>
    <n v="2741"/>
    <x v="5"/>
    <n v="4"/>
    <x v="0"/>
    <x v="1"/>
    <x v="1"/>
  </r>
  <r>
    <s v="STAFF-282"/>
    <n v="38"/>
    <x v="1"/>
    <x v="1"/>
    <x v="4"/>
    <n v="6673"/>
    <x v="6"/>
    <n v="1"/>
    <x v="0"/>
    <x v="0"/>
    <x v="0"/>
  </r>
  <r>
    <s v="STAFF-283"/>
    <n v="29"/>
    <x v="0"/>
    <x v="0"/>
    <x v="0"/>
    <n v="7639"/>
    <x v="1"/>
    <n v="4"/>
    <x v="1"/>
    <x v="0"/>
    <x v="2"/>
  </r>
  <r>
    <s v="STAFF-284"/>
    <n v="22"/>
    <x v="1"/>
    <x v="1"/>
    <x v="1"/>
    <n v="2328"/>
    <x v="9"/>
    <n v="2"/>
    <x v="0"/>
    <x v="1"/>
    <x v="1"/>
  </r>
  <r>
    <s v="STAFF-286"/>
    <n v="36"/>
    <x v="0"/>
    <x v="1"/>
    <x v="2"/>
    <n v="2153"/>
    <x v="3"/>
    <n v="4"/>
    <x v="1"/>
    <x v="1"/>
    <x v="1"/>
  </r>
  <r>
    <s v="STAFF-287"/>
    <n v="40"/>
    <x v="1"/>
    <x v="1"/>
    <x v="4"/>
    <n v="4876"/>
    <x v="11"/>
    <n v="4"/>
    <x v="1"/>
    <x v="1"/>
    <x v="0"/>
  </r>
  <r>
    <s v="STAFF-288"/>
    <n v="46"/>
    <x v="1"/>
    <x v="1"/>
    <x v="4"/>
    <n v="9396"/>
    <x v="9"/>
    <n v="1"/>
    <x v="1"/>
    <x v="1"/>
    <x v="2"/>
  </r>
  <r>
    <s v="STAFF-291"/>
    <n v="32"/>
    <x v="1"/>
    <x v="0"/>
    <x v="0"/>
    <n v="10400"/>
    <x v="13"/>
    <n v="4"/>
    <x v="1"/>
    <x v="0"/>
    <x v="2"/>
  </r>
  <r>
    <s v="STAFF-292"/>
    <n v="30"/>
    <x v="1"/>
    <x v="1"/>
    <x v="3"/>
    <n v="8474"/>
    <x v="19"/>
    <n v="3"/>
    <x v="1"/>
    <x v="1"/>
    <x v="2"/>
  </r>
  <r>
    <s v="STAFF-293"/>
    <n v="27"/>
    <x v="0"/>
    <x v="0"/>
    <x v="0"/>
    <n v="9981"/>
    <x v="5"/>
    <n v="3"/>
    <x v="1"/>
    <x v="1"/>
    <x v="2"/>
  </r>
  <r>
    <s v="STAFF-296"/>
    <n v="51"/>
    <x v="1"/>
    <x v="1"/>
    <x v="7"/>
    <n v="12490"/>
    <x v="1"/>
    <n v="2"/>
    <x v="1"/>
    <x v="1"/>
    <x v="2"/>
  </r>
  <r>
    <s v="STAFF-297"/>
    <n v="30"/>
    <x v="0"/>
    <x v="1"/>
    <x v="1"/>
    <n v="2657"/>
    <x v="8"/>
    <n v="1"/>
    <x v="0"/>
    <x v="0"/>
    <x v="1"/>
  </r>
  <r>
    <s v="STAFF-298"/>
    <n v="41"/>
    <x v="0"/>
    <x v="0"/>
    <x v="5"/>
    <n v="13591"/>
    <x v="6"/>
    <n v="4"/>
    <x v="0"/>
    <x v="1"/>
    <x v="2"/>
  </r>
  <r>
    <s v="STAFF-299"/>
    <n v="30"/>
    <x v="0"/>
    <x v="0"/>
    <x v="0"/>
    <n v="6696"/>
    <x v="0"/>
    <n v="1"/>
    <x v="1"/>
    <x v="0"/>
    <x v="0"/>
  </r>
  <r>
    <s v="STAFF-300"/>
    <n v="29"/>
    <x v="1"/>
    <x v="1"/>
    <x v="1"/>
    <n v="2058"/>
    <x v="0"/>
    <n v="3"/>
    <x v="1"/>
    <x v="0"/>
    <x v="1"/>
  </r>
  <r>
    <s v="STAFF-302"/>
    <n v="45"/>
    <x v="0"/>
    <x v="0"/>
    <x v="0"/>
    <n v="8865"/>
    <x v="27"/>
    <n v="4"/>
    <x v="1"/>
    <x v="1"/>
    <x v="2"/>
  </r>
  <r>
    <s v="STAFF-303"/>
    <n v="54"/>
    <x v="0"/>
    <x v="0"/>
    <x v="0"/>
    <n v="5940"/>
    <x v="0"/>
    <n v="1"/>
    <x v="1"/>
    <x v="1"/>
    <x v="0"/>
  </r>
  <r>
    <s v="STAFF-304"/>
    <n v="36"/>
    <x v="1"/>
    <x v="1"/>
    <x v="2"/>
    <n v="5914"/>
    <x v="20"/>
    <n v="2"/>
    <x v="1"/>
    <x v="1"/>
    <x v="0"/>
  </r>
  <r>
    <s v="STAFF-305"/>
    <n v="33"/>
    <x v="0"/>
    <x v="1"/>
    <x v="1"/>
    <n v="2622"/>
    <x v="11"/>
    <n v="2"/>
    <x v="1"/>
    <x v="1"/>
    <x v="1"/>
  </r>
  <r>
    <s v="STAFF-306"/>
    <n v="37"/>
    <x v="1"/>
    <x v="1"/>
    <x v="7"/>
    <n v="12185"/>
    <x v="1"/>
    <n v="4"/>
    <x v="0"/>
    <x v="1"/>
    <x v="2"/>
  </r>
  <r>
    <s v="STAFF-307"/>
    <n v="38"/>
    <x v="1"/>
    <x v="0"/>
    <x v="0"/>
    <n v="10609"/>
    <x v="22"/>
    <n v="3"/>
    <x v="1"/>
    <x v="1"/>
    <x v="2"/>
  </r>
  <r>
    <s v="STAFF-308"/>
    <n v="31"/>
    <x v="1"/>
    <x v="1"/>
    <x v="3"/>
    <n v="4345"/>
    <x v="8"/>
    <n v="3"/>
    <x v="1"/>
    <x v="1"/>
    <x v="0"/>
  </r>
  <r>
    <s v="STAFF-309"/>
    <n v="59"/>
    <x v="1"/>
    <x v="1"/>
    <x v="1"/>
    <n v="2177"/>
    <x v="6"/>
    <n v="4"/>
    <x v="1"/>
    <x v="1"/>
    <x v="1"/>
  </r>
  <r>
    <s v="STAFF-311"/>
    <n v="37"/>
    <x v="1"/>
    <x v="0"/>
    <x v="6"/>
    <n v="2793"/>
    <x v="7"/>
    <n v="4"/>
    <x v="1"/>
    <x v="1"/>
    <x v="1"/>
  </r>
  <r>
    <s v="STAFF-312"/>
    <n v="29"/>
    <x v="0"/>
    <x v="0"/>
    <x v="0"/>
    <n v="7918"/>
    <x v="19"/>
    <n v="4"/>
    <x v="1"/>
    <x v="1"/>
    <x v="2"/>
  </r>
  <r>
    <s v="STAFF-314"/>
    <n v="35"/>
    <x v="0"/>
    <x v="0"/>
    <x v="0"/>
    <n v="8789"/>
    <x v="1"/>
    <n v="3"/>
    <x v="1"/>
    <x v="1"/>
    <x v="2"/>
  </r>
  <r>
    <s v="STAFF-315"/>
    <n v="29"/>
    <x v="1"/>
    <x v="1"/>
    <x v="1"/>
    <n v="2389"/>
    <x v="9"/>
    <n v="4"/>
    <x v="0"/>
    <x v="0"/>
    <x v="1"/>
  </r>
  <r>
    <s v="STAFF-316"/>
    <n v="52"/>
    <x v="0"/>
    <x v="1"/>
    <x v="2"/>
    <n v="3212"/>
    <x v="4"/>
    <n v="4"/>
    <x v="1"/>
    <x v="1"/>
    <x v="0"/>
  </r>
  <r>
    <s v="STAFF-319"/>
    <n v="42"/>
    <x v="1"/>
    <x v="1"/>
    <x v="5"/>
    <n v="19232"/>
    <x v="14"/>
    <n v="4"/>
    <x v="1"/>
    <x v="1"/>
    <x v="2"/>
  </r>
  <r>
    <s v="STAFF-321"/>
    <n v="59"/>
    <x v="1"/>
    <x v="2"/>
    <x v="8"/>
    <n v="2267"/>
    <x v="4"/>
    <n v="3"/>
    <x v="1"/>
    <x v="1"/>
    <x v="1"/>
  </r>
  <r>
    <s v="STAFF-323"/>
    <n v="50"/>
    <x v="0"/>
    <x v="0"/>
    <x v="5"/>
    <n v="19517"/>
    <x v="5"/>
    <n v="4"/>
    <x v="1"/>
    <x v="1"/>
    <x v="2"/>
  </r>
  <r>
    <s v="STAFF-325"/>
    <n v="33"/>
    <x v="1"/>
    <x v="1"/>
    <x v="2"/>
    <n v="2436"/>
    <x v="8"/>
    <n v="4"/>
    <x v="0"/>
    <x v="0"/>
    <x v="1"/>
  </r>
  <r>
    <s v="STAFF-327"/>
    <n v="43"/>
    <x v="0"/>
    <x v="0"/>
    <x v="5"/>
    <n v="16064"/>
    <x v="18"/>
    <n v="4"/>
    <x v="0"/>
    <x v="1"/>
    <x v="2"/>
  </r>
  <r>
    <s v="STAFF-328"/>
    <n v="33"/>
    <x v="0"/>
    <x v="1"/>
    <x v="2"/>
    <n v="2707"/>
    <x v="7"/>
    <n v="1"/>
    <x v="1"/>
    <x v="0"/>
    <x v="1"/>
  </r>
  <r>
    <s v="STAFF-329"/>
    <n v="52"/>
    <x v="1"/>
    <x v="0"/>
    <x v="5"/>
    <n v="19068"/>
    <x v="26"/>
    <n v="3"/>
    <x v="0"/>
    <x v="1"/>
    <x v="2"/>
  </r>
  <r>
    <s v="STAFF-330"/>
    <n v="32"/>
    <x v="0"/>
    <x v="0"/>
    <x v="6"/>
    <n v="3931"/>
    <x v="9"/>
    <n v="2"/>
    <x v="1"/>
    <x v="1"/>
    <x v="0"/>
  </r>
  <r>
    <s v="STAFF-331"/>
    <n v="32"/>
    <x v="1"/>
    <x v="1"/>
    <x v="2"/>
    <n v="3730"/>
    <x v="11"/>
    <n v="3"/>
    <x v="0"/>
    <x v="0"/>
    <x v="0"/>
  </r>
  <r>
    <s v="STAFF-332"/>
    <n v="39"/>
    <x v="0"/>
    <x v="1"/>
    <x v="2"/>
    <n v="2232"/>
    <x v="11"/>
    <n v="3"/>
    <x v="1"/>
    <x v="1"/>
    <x v="1"/>
  </r>
  <r>
    <s v="STAFF-333"/>
    <n v="32"/>
    <x v="1"/>
    <x v="0"/>
    <x v="0"/>
    <n v="4465"/>
    <x v="11"/>
    <n v="4"/>
    <x v="1"/>
    <x v="1"/>
    <x v="0"/>
  </r>
  <r>
    <s v="STAFF-334"/>
    <n v="41"/>
    <x v="1"/>
    <x v="1"/>
    <x v="1"/>
    <n v="3072"/>
    <x v="6"/>
    <n v="1"/>
    <x v="1"/>
    <x v="1"/>
    <x v="0"/>
  </r>
  <r>
    <s v="STAFF-335"/>
    <n v="40"/>
    <x v="1"/>
    <x v="1"/>
    <x v="1"/>
    <n v="3319"/>
    <x v="7"/>
    <n v="4"/>
    <x v="1"/>
    <x v="1"/>
    <x v="0"/>
  </r>
  <r>
    <s v="STAFF-336"/>
    <n v="45"/>
    <x v="1"/>
    <x v="1"/>
    <x v="5"/>
    <n v="19202"/>
    <x v="25"/>
    <n v="4"/>
    <x v="1"/>
    <x v="1"/>
    <x v="2"/>
  </r>
  <r>
    <s v="STAFF-337"/>
    <n v="31"/>
    <x v="1"/>
    <x v="1"/>
    <x v="7"/>
    <n v="13675"/>
    <x v="4"/>
    <n v="3"/>
    <x v="1"/>
    <x v="1"/>
    <x v="2"/>
  </r>
  <r>
    <s v="STAFF-338"/>
    <n v="33"/>
    <x v="0"/>
    <x v="1"/>
    <x v="1"/>
    <n v="2911"/>
    <x v="4"/>
    <n v="4"/>
    <x v="1"/>
    <x v="1"/>
    <x v="1"/>
  </r>
  <r>
    <s v="STAFF-339"/>
    <n v="34"/>
    <x v="1"/>
    <x v="1"/>
    <x v="3"/>
    <n v="5957"/>
    <x v="19"/>
    <n v="1"/>
    <x v="1"/>
    <x v="1"/>
    <x v="0"/>
  </r>
  <r>
    <s v="STAFF-340"/>
    <n v="37"/>
    <x v="0"/>
    <x v="1"/>
    <x v="1"/>
    <n v="3920"/>
    <x v="11"/>
    <n v="1"/>
    <x v="1"/>
    <x v="1"/>
    <x v="0"/>
  </r>
  <r>
    <s v="STAFF-341"/>
    <n v="45"/>
    <x v="1"/>
    <x v="1"/>
    <x v="3"/>
    <n v="6434"/>
    <x v="11"/>
    <n v="3"/>
    <x v="1"/>
    <x v="1"/>
    <x v="0"/>
  </r>
  <r>
    <s v="STAFF-342"/>
    <n v="37"/>
    <x v="1"/>
    <x v="1"/>
    <x v="3"/>
    <n v="10048"/>
    <x v="6"/>
    <n v="3"/>
    <x v="1"/>
    <x v="0"/>
    <x v="2"/>
  </r>
  <r>
    <s v="STAFF-343"/>
    <n v="39"/>
    <x v="0"/>
    <x v="1"/>
    <x v="4"/>
    <n v="10938"/>
    <x v="27"/>
    <n v="3"/>
    <x v="1"/>
    <x v="1"/>
    <x v="2"/>
  </r>
  <r>
    <s v="STAFF-346"/>
    <n v="29"/>
    <x v="1"/>
    <x v="1"/>
    <x v="1"/>
    <n v="2340"/>
    <x v="0"/>
    <n v="4"/>
    <x v="1"/>
    <x v="1"/>
    <x v="1"/>
  </r>
  <r>
    <s v="STAFF-347"/>
    <n v="42"/>
    <x v="0"/>
    <x v="1"/>
    <x v="1"/>
    <n v="6545"/>
    <x v="11"/>
    <n v="1"/>
    <x v="0"/>
    <x v="1"/>
    <x v="0"/>
  </r>
  <r>
    <s v="STAFF-349"/>
    <n v="29"/>
    <x v="1"/>
    <x v="0"/>
    <x v="0"/>
    <n v="6931"/>
    <x v="11"/>
    <n v="4"/>
    <x v="1"/>
    <x v="1"/>
    <x v="0"/>
  </r>
  <r>
    <s v="STAFF-350"/>
    <n v="25"/>
    <x v="0"/>
    <x v="1"/>
    <x v="3"/>
    <n v="4898"/>
    <x v="9"/>
    <n v="3"/>
    <x v="1"/>
    <x v="1"/>
    <x v="0"/>
  </r>
  <r>
    <s v="STAFF-351"/>
    <n v="42"/>
    <x v="0"/>
    <x v="1"/>
    <x v="2"/>
    <n v="2593"/>
    <x v="7"/>
    <n v="1"/>
    <x v="0"/>
    <x v="1"/>
    <x v="1"/>
  </r>
  <r>
    <s v="STAFF-352"/>
    <n v="40"/>
    <x v="1"/>
    <x v="1"/>
    <x v="7"/>
    <n v="19436"/>
    <x v="17"/>
    <n v="3"/>
    <x v="1"/>
    <x v="1"/>
    <x v="2"/>
  </r>
  <r>
    <s v="STAFF-353"/>
    <n v="51"/>
    <x v="1"/>
    <x v="1"/>
    <x v="1"/>
    <n v="2723"/>
    <x v="6"/>
    <n v="4"/>
    <x v="1"/>
    <x v="1"/>
    <x v="1"/>
  </r>
  <r>
    <s v="STAFF-355"/>
    <n v="31"/>
    <x v="1"/>
    <x v="1"/>
    <x v="2"/>
    <n v="3479"/>
    <x v="8"/>
    <n v="2"/>
    <x v="1"/>
    <x v="0"/>
    <x v="0"/>
  </r>
  <r>
    <s v="STAFF-359"/>
    <n v="32"/>
    <x v="1"/>
    <x v="1"/>
    <x v="2"/>
    <n v="2794"/>
    <x v="8"/>
    <n v="2"/>
    <x v="1"/>
    <x v="1"/>
    <x v="1"/>
  </r>
  <r>
    <s v="STAFF-361"/>
    <n v="38"/>
    <x v="1"/>
    <x v="0"/>
    <x v="0"/>
    <n v="5249"/>
    <x v="3"/>
    <n v="4"/>
    <x v="1"/>
    <x v="1"/>
    <x v="0"/>
  </r>
  <r>
    <s v="STAFF-362"/>
    <n v="32"/>
    <x v="1"/>
    <x v="1"/>
    <x v="2"/>
    <n v="2176"/>
    <x v="0"/>
    <n v="1"/>
    <x v="1"/>
    <x v="1"/>
    <x v="1"/>
  </r>
  <r>
    <s v="STAFF-363"/>
    <n v="46"/>
    <x v="0"/>
    <x v="0"/>
    <x v="5"/>
    <n v="16872"/>
    <x v="5"/>
    <n v="2"/>
    <x v="0"/>
    <x v="1"/>
    <x v="2"/>
  </r>
  <r>
    <s v="STAFF-364"/>
    <n v="28"/>
    <x v="1"/>
    <x v="1"/>
    <x v="2"/>
    <n v="3485"/>
    <x v="2"/>
    <n v="3"/>
    <x v="1"/>
    <x v="0"/>
    <x v="0"/>
  </r>
  <r>
    <s v="STAFF-366"/>
    <n v="29"/>
    <x v="1"/>
    <x v="0"/>
    <x v="0"/>
    <n v="6644"/>
    <x v="2"/>
    <n v="2"/>
    <x v="1"/>
    <x v="1"/>
    <x v="0"/>
  </r>
  <r>
    <s v="STAFF-367"/>
    <n v="31"/>
    <x v="1"/>
    <x v="1"/>
    <x v="4"/>
    <n v="5582"/>
    <x v="7"/>
    <n v="4"/>
    <x v="1"/>
    <x v="1"/>
    <x v="0"/>
  </r>
  <r>
    <s v="STAFF-369"/>
    <n v="25"/>
    <x v="1"/>
    <x v="1"/>
    <x v="4"/>
    <n v="4000"/>
    <x v="0"/>
    <n v="1"/>
    <x v="1"/>
    <x v="1"/>
    <x v="0"/>
  </r>
  <r>
    <s v="STAFF-372"/>
    <n v="45"/>
    <x v="1"/>
    <x v="1"/>
    <x v="4"/>
    <n v="13496"/>
    <x v="23"/>
    <n v="4"/>
    <x v="0"/>
    <x v="1"/>
    <x v="2"/>
  </r>
  <r>
    <s v="STAFF-373"/>
    <n v="36"/>
    <x v="1"/>
    <x v="1"/>
    <x v="2"/>
    <n v="3210"/>
    <x v="15"/>
    <n v="4"/>
    <x v="1"/>
    <x v="1"/>
    <x v="0"/>
  </r>
  <r>
    <s v="STAFF-374"/>
    <n v="55"/>
    <x v="1"/>
    <x v="1"/>
    <x v="5"/>
    <n v="19045"/>
    <x v="28"/>
    <n v="1"/>
    <x v="0"/>
    <x v="1"/>
    <x v="2"/>
  </r>
  <r>
    <s v="STAFF-376"/>
    <n v="47"/>
    <x v="1"/>
    <x v="1"/>
    <x v="5"/>
    <n v="11849"/>
    <x v="1"/>
    <n v="2"/>
    <x v="0"/>
    <x v="0"/>
    <x v="2"/>
  </r>
  <r>
    <s v="STAFF-377"/>
    <n v="28"/>
    <x v="1"/>
    <x v="1"/>
    <x v="1"/>
    <n v="2070"/>
    <x v="8"/>
    <n v="4"/>
    <x v="1"/>
    <x v="1"/>
    <x v="1"/>
  </r>
  <r>
    <s v="STAFF-378"/>
    <n v="37"/>
    <x v="1"/>
    <x v="0"/>
    <x v="0"/>
    <n v="6502"/>
    <x v="8"/>
    <n v="4"/>
    <x v="1"/>
    <x v="1"/>
    <x v="0"/>
  </r>
  <r>
    <s v="STAFF-379"/>
    <n v="21"/>
    <x v="1"/>
    <x v="1"/>
    <x v="1"/>
    <n v="3230"/>
    <x v="11"/>
    <n v="3"/>
    <x v="1"/>
    <x v="1"/>
    <x v="0"/>
  </r>
  <r>
    <s v="STAFF-380"/>
    <n v="37"/>
    <x v="0"/>
    <x v="1"/>
    <x v="7"/>
    <n v="13603"/>
    <x v="8"/>
    <n v="4"/>
    <x v="0"/>
    <x v="1"/>
    <x v="2"/>
  </r>
  <r>
    <s v="STAFF-381"/>
    <n v="35"/>
    <x v="0"/>
    <x v="1"/>
    <x v="5"/>
    <n v="11996"/>
    <x v="5"/>
    <n v="2"/>
    <x v="1"/>
    <x v="1"/>
    <x v="2"/>
  </r>
  <r>
    <s v="STAFF-382"/>
    <n v="38"/>
    <x v="0"/>
    <x v="0"/>
    <x v="0"/>
    <n v="5605"/>
    <x v="3"/>
    <n v="1"/>
    <x v="0"/>
    <x v="1"/>
    <x v="0"/>
  </r>
  <r>
    <s v="STAFF-384"/>
    <n v="26"/>
    <x v="0"/>
    <x v="1"/>
    <x v="3"/>
    <n v="6397"/>
    <x v="0"/>
    <n v="2"/>
    <x v="1"/>
    <x v="1"/>
    <x v="0"/>
  </r>
  <r>
    <s v="STAFF-385"/>
    <n v="50"/>
    <x v="1"/>
    <x v="1"/>
    <x v="7"/>
    <n v="19144"/>
    <x v="1"/>
    <n v="2"/>
    <x v="1"/>
    <x v="1"/>
    <x v="2"/>
  </r>
  <r>
    <s v="STAFF-386"/>
    <n v="53"/>
    <x v="1"/>
    <x v="1"/>
    <x v="7"/>
    <n v="17584"/>
    <x v="8"/>
    <n v="3"/>
    <x v="0"/>
    <x v="1"/>
    <x v="2"/>
  </r>
  <r>
    <s v="STAFF-387"/>
    <n v="42"/>
    <x v="1"/>
    <x v="0"/>
    <x v="0"/>
    <n v="4907"/>
    <x v="23"/>
    <n v="3"/>
    <x v="1"/>
    <x v="1"/>
    <x v="0"/>
  </r>
  <r>
    <s v="STAFF-388"/>
    <n v="29"/>
    <x v="1"/>
    <x v="0"/>
    <x v="0"/>
    <n v="4554"/>
    <x v="1"/>
    <n v="4"/>
    <x v="1"/>
    <x v="1"/>
    <x v="0"/>
  </r>
  <r>
    <s v="STAFF-389"/>
    <n v="55"/>
    <x v="1"/>
    <x v="1"/>
    <x v="2"/>
    <n v="5415"/>
    <x v="1"/>
    <n v="4"/>
    <x v="0"/>
    <x v="1"/>
    <x v="0"/>
  </r>
  <r>
    <s v="STAFF-390"/>
    <n v="26"/>
    <x v="1"/>
    <x v="1"/>
    <x v="4"/>
    <n v="4741"/>
    <x v="8"/>
    <n v="1"/>
    <x v="0"/>
    <x v="1"/>
    <x v="0"/>
  </r>
  <r>
    <s v="STAFF-391"/>
    <n v="37"/>
    <x v="0"/>
    <x v="1"/>
    <x v="1"/>
    <n v="2115"/>
    <x v="18"/>
    <n v="4"/>
    <x v="1"/>
    <x v="1"/>
    <x v="1"/>
  </r>
  <r>
    <s v="STAFF-392"/>
    <n v="44"/>
    <x v="1"/>
    <x v="1"/>
    <x v="2"/>
    <n v="3161"/>
    <x v="6"/>
    <n v="3"/>
    <x v="0"/>
    <x v="0"/>
    <x v="0"/>
  </r>
  <r>
    <s v="STAFF-393"/>
    <n v="38"/>
    <x v="1"/>
    <x v="1"/>
    <x v="4"/>
    <n v="5745"/>
    <x v="4"/>
    <n v="4"/>
    <x v="1"/>
    <x v="1"/>
    <x v="0"/>
  </r>
  <r>
    <s v="STAFF-394"/>
    <n v="26"/>
    <x v="1"/>
    <x v="1"/>
    <x v="2"/>
    <n v="2373"/>
    <x v="11"/>
    <n v="2"/>
    <x v="0"/>
    <x v="0"/>
    <x v="1"/>
  </r>
  <r>
    <s v="STAFF-395"/>
    <n v="28"/>
    <x v="0"/>
    <x v="1"/>
    <x v="1"/>
    <n v="3310"/>
    <x v="8"/>
    <n v="4"/>
    <x v="1"/>
    <x v="1"/>
    <x v="0"/>
  </r>
  <r>
    <s v="STAFF-396"/>
    <n v="49"/>
    <x v="0"/>
    <x v="1"/>
    <x v="7"/>
    <n v="18665"/>
    <x v="11"/>
    <n v="1"/>
    <x v="0"/>
    <x v="1"/>
    <x v="2"/>
  </r>
  <r>
    <s v="STAFF-397"/>
    <n v="36"/>
    <x v="1"/>
    <x v="1"/>
    <x v="1"/>
    <n v="4485"/>
    <x v="3"/>
    <n v="2"/>
    <x v="1"/>
    <x v="1"/>
    <x v="0"/>
  </r>
  <r>
    <s v="STAFF-399"/>
    <n v="31"/>
    <x v="0"/>
    <x v="0"/>
    <x v="6"/>
    <n v="2789"/>
    <x v="4"/>
    <n v="2"/>
    <x v="1"/>
    <x v="1"/>
    <x v="1"/>
  </r>
  <r>
    <s v="STAFF-401"/>
    <n v="26"/>
    <x v="1"/>
    <x v="0"/>
    <x v="0"/>
    <n v="5828"/>
    <x v="3"/>
    <n v="4"/>
    <x v="0"/>
    <x v="0"/>
    <x v="0"/>
  </r>
  <r>
    <s v="STAFF-403"/>
    <n v="37"/>
    <x v="1"/>
    <x v="1"/>
    <x v="1"/>
    <n v="2326"/>
    <x v="9"/>
    <n v="4"/>
    <x v="0"/>
    <x v="1"/>
    <x v="1"/>
  </r>
  <r>
    <s v="STAFF-404"/>
    <n v="42"/>
    <x v="0"/>
    <x v="0"/>
    <x v="0"/>
    <n v="13525"/>
    <x v="23"/>
    <n v="2"/>
    <x v="1"/>
    <x v="1"/>
    <x v="2"/>
  </r>
  <r>
    <s v="STAFF-405"/>
    <n v="18"/>
    <x v="1"/>
    <x v="1"/>
    <x v="2"/>
    <n v="1420"/>
    <x v="2"/>
    <n v="3"/>
    <x v="1"/>
    <x v="0"/>
    <x v="1"/>
  </r>
  <r>
    <s v="STAFF-406"/>
    <n v="35"/>
    <x v="1"/>
    <x v="0"/>
    <x v="0"/>
    <n v="8020"/>
    <x v="19"/>
    <n v="2"/>
    <x v="1"/>
    <x v="1"/>
    <x v="2"/>
  </r>
  <r>
    <s v="STAFF-407"/>
    <n v="36"/>
    <x v="1"/>
    <x v="1"/>
    <x v="2"/>
    <n v="3688"/>
    <x v="6"/>
    <n v="4"/>
    <x v="1"/>
    <x v="1"/>
    <x v="0"/>
  </r>
  <r>
    <s v="STAFF-408"/>
    <n v="51"/>
    <x v="1"/>
    <x v="1"/>
    <x v="3"/>
    <n v="5482"/>
    <x v="9"/>
    <n v="2"/>
    <x v="1"/>
    <x v="1"/>
    <x v="0"/>
  </r>
  <r>
    <s v="STAFF-410"/>
    <n v="41"/>
    <x v="1"/>
    <x v="0"/>
    <x v="5"/>
    <n v="16015"/>
    <x v="14"/>
    <n v="2"/>
    <x v="1"/>
    <x v="1"/>
    <x v="2"/>
  </r>
  <r>
    <s v="STAFF-411"/>
    <n v="18"/>
    <x v="0"/>
    <x v="0"/>
    <x v="6"/>
    <n v="1200"/>
    <x v="2"/>
    <n v="3"/>
    <x v="1"/>
    <x v="1"/>
    <x v="1"/>
  </r>
  <r>
    <s v="STAFF-412"/>
    <n v="28"/>
    <x v="1"/>
    <x v="1"/>
    <x v="4"/>
    <n v="5661"/>
    <x v="3"/>
    <n v="1"/>
    <x v="1"/>
    <x v="1"/>
    <x v="0"/>
  </r>
  <r>
    <s v="STAFF-416"/>
    <n v="31"/>
    <x v="1"/>
    <x v="0"/>
    <x v="0"/>
    <n v="6929"/>
    <x v="3"/>
    <n v="4"/>
    <x v="1"/>
    <x v="1"/>
    <x v="0"/>
  </r>
  <r>
    <s v="STAFF-417"/>
    <n v="39"/>
    <x v="1"/>
    <x v="1"/>
    <x v="4"/>
    <n v="9613"/>
    <x v="29"/>
    <n v="4"/>
    <x v="1"/>
    <x v="1"/>
    <x v="2"/>
  </r>
  <r>
    <s v="STAFF-419"/>
    <n v="36"/>
    <x v="0"/>
    <x v="1"/>
    <x v="2"/>
    <n v="5674"/>
    <x v="7"/>
    <n v="2"/>
    <x v="1"/>
    <x v="1"/>
    <x v="0"/>
  </r>
  <r>
    <s v="STAFF-420"/>
    <n v="32"/>
    <x v="1"/>
    <x v="0"/>
    <x v="0"/>
    <n v="5484"/>
    <x v="20"/>
    <n v="3"/>
    <x v="1"/>
    <x v="1"/>
    <x v="0"/>
  </r>
  <r>
    <s v="STAFF-421"/>
    <n v="38"/>
    <x v="0"/>
    <x v="1"/>
    <x v="7"/>
    <n v="12061"/>
    <x v="1"/>
    <n v="2"/>
    <x v="1"/>
    <x v="1"/>
    <x v="2"/>
  </r>
  <r>
    <s v="STAFF-422"/>
    <n v="58"/>
    <x v="1"/>
    <x v="1"/>
    <x v="4"/>
    <n v="5660"/>
    <x v="8"/>
    <n v="3"/>
    <x v="0"/>
    <x v="1"/>
    <x v="0"/>
  </r>
  <r>
    <s v="STAFF-423"/>
    <n v="31"/>
    <x v="1"/>
    <x v="1"/>
    <x v="1"/>
    <n v="4821"/>
    <x v="8"/>
    <n v="4"/>
    <x v="0"/>
    <x v="1"/>
    <x v="0"/>
  </r>
  <r>
    <s v="STAFF-424"/>
    <n v="31"/>
    <x v="1"/>
    <x v="2"/>
    <x v="8"/>
    <n v="6410"/>
    <x v="4"/>
    <n v="1"/>
    <x v="1"/>
    <x v="1"/>
    <x v="0"/>
  </r>
  <r>
    <s v="STAFF-425"/>
    <n v="45"/>
    <x v="1"/>
    <x v="1"/>
    <x v="2"/>
    <n v="5210"/>
    <x v="25"/>
    <n v="1"/>
    <x v="1"/>
    <x v="1"/>
    <x v="0"/>
  </r>
  <r>
    <s v="STAFF-426"/>
    <n v="31"/>
    <x v="1"/>
    <x v="1"/>
    <x v="1"/>
    <n v="2695"/>
    <x v="4"/>
    <n v="4"/>
    <x v="0"/>
    <x v="1"/>
    <x v="1"/>
  </r>
  <r>
    <s v="STAFF-428"/>
    <n v="33"/>
    <x v="0"/>
    <x v="1"/>
    <x v="5"/>
    <n v="11878"/>
    <x v="1"/>
    <n v="2"/>
    <x v="1"/>
    <x v="1"/>
    <x v="2"/>
  </r>
  <r>
    <s v="STAFF-429"/>
    <n v="39"/>
    <x v="1"/>
    <x v="1"/>
    <x v="5"/>
    <n v="17068"/>
    <x v="17"/>
    <n v="1"/>
    <x v="0"/>
    <x v="1"/>
    <x v="2"/>
  </r>
  <r>
    <s v="STAFF-430"/>
    <n v="43"/>
    <x v="0"/>
    <x v="1"/>
    <x v="2"/>
    <n v="2455"/>
    <x v="3"/>
    <n v="4"/>
    <x v="1"/>
    <x v="1"/>
    <x v="1"/>
  </r>
  <r>
    <s v="STAFF-431"/>
    <n v="49"/>
    <x v="0"/>
    <x v="1"/>
    <x v="4"/>
    <n v="13964"/>
    <x v="5"/>
    <n v="3"/>
    <x v="0"/>
    <x v="1"/>
    <x v="2"/>
  </r>
  <r>
    <s v="STAFF-433"/>
    <n v="52"/>
    <x v="1"/>
    <x v="1"/>
    <x v="1"/>
    <n v="4941"/>
    <x v="3"/>
    <n v="2"/>
    <x v="1"/>
    <x v="0"/>
    <x v="0"/>
  </r>
  <r>
    <s v="STAFF-434"/>
    <n v="27"/>
    <x v="0"/>
    <x v="1"/>
    <x v="1"/>
    <n v="2478"/>
    <x v="9"/>
    <n v="2"/>
    <x v="0"/>
    <x v="1"/>
    <x v="1"/>
  </r>
  <r>
    <s v="STAFF-436"/>
    <n v="32"/>
    <x v="0"/>
    <x v="0"/>
    <x v="0"/>
    <n v="5228"/>
    <x v="20"/>
    <n v="2"/>
    <x v="0"/>
    <x v="1"/>
    <x v="0"/>
  </r>
  <r>
    <s v="STAFF-437"/>
    <n v="27"/>
    <x v="1"/>
    <x v="0"/>
    <x v="0"/>
    <n v="4478"/>
    <x v="8"/>
    <n v="3"/>
    <x v="0"/>
    <x v="1"/>
    <x v="0"/>
  </r>
  <r>
    <s v="STAFF-438"/>
    <n v="31"/>
    <x v="1"/>
    <x v="0"/>
    <x v="0"/>
    <n v="7547"/>
    <x v="5"/>
    <n v="4"/>
    <x v="1"/>
    <x v="1"/>
    <x v="2"/>
  </r>
  <r>
    <s v="STAFF-439"/>
    <n v="32"/>
    <x v="0"/>
    <x v="1"/>
    <x v="1"/>
    <n v="5055"/>
    <x v="5"/>
    <n v="4"/>
    <x v="1"/>
    <x v="1"/>
    <x v="0"/>
  </r>
  <r>
    <s v="STAFF-440"/>
    <n v="28"/>
    <x v="1"/>
    <x v="1"/>
    <x v="1"/>
    <n v="3464"/>
    <x v="11"/>
    <n v="4"/>
    <x v="0"/>
    <x v="0"/>
    <x v="0"/>
  </r>
  <r>
    <s v="STAFF-441"/>
    <n v="30"/>
    <x v="0"/>
    <x v="1"/>
    <x v="1"/>
    <n v="5775"/>
    <x v="1"/>
    <n v="4"/>
    <x v="1"/>
    <x v="1"/>
    <x v="0"/>
  </r>
  <r>
    <s v="STAFF-442"/>
    <n v="31"/>
    <x v="0"/>
    <x v="1"/>
    <x v="3"/>
    <n v="8943"/>
    <x v="1"/>
    <n v="3"/>
    <x v="1"/>
    <x v="1"/>
    <x v="2"/>
  </r>
  <r>
    <s v="STAFF-444"/>
    <n v="39"/>
    <x v="1"/>
    <x v="1"/>
    <x v="5"/>
    <n v="19272"/>
    <x v="17"/>
    <n v="4"/>
    <x v="1"/>
    <x v="1"/>
    <x v="2"/>
  </r>
  <r>
    <s v="STAFF-445"/>
    <n v="39"/>
    <x v="0"/>
    <x v="0"/>
    <x v="0"/>
    <n v="5238"/>
    <x v="6"/>
    <n v="3"/>
    <x v="0"/>
    <x v="0"/>
    <x v="0"/>
  </r>
  <r>
    <s v="STAFF-446"/>
    <n v="33"/>
    <x v="1"/>
    <x v="0"/>
    <x v="0"/>
    <n v="4682"/>
    <x v="5"/>
    <n v="4"/>
    <x v="1"/>
    <x v="1"/>
    <x v="0"/>
  </r>
  <r>
    <s v="STAFF-447"/>
    <n v="47"/>
    <x v="1"/>
    <x v="1"/>
    <x v="7"/>
    <n v="18300"/>
    <x v="11"/>
    <n v="3"/>
    <x v="1"/>
    <x v="1"/>
    <x v="2"/>
  </r>
  <r>
    <s v="STAFF-448"/>
    <n v="43"/>
    <x v="0"/>
    <x v="1"/>
    <x v="2"/>
    <n v="5257"/>
    <x v="7"/>
    <n v="3"/>
    <x v="1"/>
    <x v="1"/>
    <x v="0"/>
  </r>
  <r>
    <s v="STAFF-449"/>
    <n v="27"/>
    <x v="1"/>
    <x v="0"/>
    <x v="0"/>
    <n v="6349"/>
    <x v="8"/>
    <n v="2"/>
    <x v="0"/>
    <x v="1"/>
    <x v="0"/>
  </r>
  <r>
    <s v="STAFF-450"/>
    <n v="54"/>
    <x v="0"/>
    <x v="1"/>
    <x v="1"/>
    <n v="4869"/>
    <x v="9"/>
    <n v="3"/>
    <x v="1"/>
    <x v="1"/>
    <x v="0"/>
  </r>
  <r>
    <s v="STAFF-451"/>
    <n v="43"/>
    <x v="0"/>
    <x v="1"/>
    <x v="4"/>
    <n v="9985"/>
    <x v="6"/>
    <n v="1"/>
    <x v="1"/>
    <x v="1"/>
    <x v="2"/>
  </r>
  <r>
    <s v="STAFF-452"/>
    <n v="45"/>
    <x v="1"/>
    <x v="1"/>
    <x v="1"/>
    <n v="3697"/>
    <x v="1"/>
    <n v="4"/>
    <x v="1"/>
    <x v="1"/>
    <x v="0"/>
  </r>
  <r>
    <s v="STAFF-453"/>
    <n v="40"/>
    <x v="1"/>
    <x v="0"/>
    <x v="0"/>
    <n v="7457"/>
    <x v="9"/>
    <n v="4"/>
    <x v="0"/>
    <x v="1"/>
    <x v="2"/>
  </r>
  <r>
    <s v="STAFF-454"/>
    <n v="29"/>
    <x v="1"/>
    <x v="1"/>
    <x v="2"/>
    <n v="2119"/>
    <x v="5"/>
    <n v="1"/>
    <x v="0"/>
    <x v="0"/>
    <x v="1"/>
  </r>
  <r>
    <s v="STAFF-455"/>
    <n v="29"/>
    <x v="1"/>
    <x v="1"/>
    <x v="2"/>
    <n v="3983"/>
    <x v="11"/>
    <n v="4"/>
    <x v="1"/>
    <x v="1"/>
    <x v="0"/>
  </r>
  <r>
    <s v="STAFF-456"/>
    <n v="30"/>
    <x v="0"/>
    <x v="0"/>
    <x v="0"/>
    <n v="6118"/>
    <x v="1"/>
    <n v="3"/>
    <x v="1"/>
    <x v="1"/>
    <x v="0"/>
  </r>
  <r>
    <s v="STAFF-458"/>
    <n v="27"/>
    <x v="0"/>
    <x v="0"/>
    <x v="0"/>
    <n v="6214"/>
    <x v="3"/>
    <n v="2"/>
    <x v="1"/>
    <x v="1"/>
    <x v="0"/>
  </r>
  <r>
    <s v="STAFF-460"/>
    <n v="37"/>
    <x v="1"/>
    <x v="1"/>
    <x v="3"/>
    <n v="6347"/>
    <x v="0"/>
    <n v="4"/>
    <x v="1"/>
    <x v="1"/>
    <x v="0"/>
  </r>
  <r>
    <s v="STAFF-461"/>
    <n v="38"/>
    <x v="1"/>
    <x v="1"/>
    <x v="7"/>
    <n v="11510"/>
    <x v="19"/>
    <n v="4"/>
    <x v="0"/>
    <x v="1"/>
    <x v="2"/>
  </r>
  <r>
    <s v="STAFF-462"/>
    <n v="31"/>
    <x v="0"/>
    <x v="1"/>
    <x v="3"/>
    <n v="7143"/>
    <x v="19"/>
    <n v="4"/>
    <x v="0"/>
    <x v="1"/>
    <x v="2"/>
  </r>
  <r>
    <s v="STAFF-463"/>
    <n v="29"/>
    <x v="0"/>
    <x v="0"/>
    <x v="0"/>
    <n v="8268"/>
    <x v="5"/>
    <n v="2"/>
    <x v="0"/>
    <x v="1"/>
    <x v="2"/>
  </r>
  <r>
    <s v="STAFF-464"/>
    <n v="35"/>
    <x v="1"/>
    <x v="1"/>
    <x v="3"/>
    <n v="8095"/>
    <x v="22"/>
    <n v="2"/>
    <x v="1"/>
    <x v="1"/>
    <x v="2"/>
  </r>
  <r>
    <s v="STAFF-465"/>
    <n v="23"/>
    <x v="1"/>
    <x v="1"/>
    <x v="1"/>
    <n v="2904"/>
    <x v="9"/>
    <n v="4"/>
    <x v="1"/>
    <x v="1"/>
    <x v="1"/>
  </r>
  <r>
    <s v="STAFF-466"/>
    <n v="41"/>
    <x v="1"/>
    <x v="1"/>
    <x v="3"/>
    <n v="6032"/>
    <x v="8"/>
    <n v="2"/>
    <x v="0"/>
    <x v="1"/>
    <x v="0"/>
  </r>
  <r>
    <s v="STAFF-467"/>
    <n v="47"/>
    <x v="1"/>
    <x v="0"/>
    <x v="6"/>
    <n v="2976"/>
    <x v="2"/>
    <n v="3"/>
    <x v="1"/>
    <x v="1"/>
    <x v="1"/>
  </r>
  <r>
    <s v="STAFF-468"/>
    <n v="42"/>
    <x v="0"/>
    <x v="1"/>
    <x v="7"/>
    <n v="15992"/>
    <x v="6"/>
    <n v="4"/>
    <x v="1"/>
    <x v="1"/>
    <x v="2"/>
  </r>
  <r>
    <s v="STAFF-469"/>
    <n v="29"/>
    <x v="1"/>
    <x v="0"/>
    <x v="0"/>
    <n v="4649"/>
    <x v="9"/>
    <n v="3"/>
    <x v="1"/>
    <x v="1"/>
    <x v="0"/>
  </r>
  <r>
    <s v="STAFF-470"/>
    <n v="42"/>
    <x v="1"/>
    <x v="2"/>
    <x v="8"/>
    <n v="2696"/>
    <x v="11"/>
    <n v="3"/>
    <x v="0"/>
    <x v="1"/>
    <x v="1"/>
  </r>
  <r>
    <s v="STAFF-471"/>
    <n v="32"/>
    <x v="0"/>
    <x v="1"/>
    <x v="2"/>
    <n v="2370"/>
    <x v="3"/>
    <n v="2"/>
    <x v="1"/>
    <x v="1"/>
    <x v="1"/>
  </r>
  <r>
    <s v="STAFF-473"/>
    <n v="48"/>
    <x v="0"/>
    <x v="0"/>
    <x v="5"/>
    <n v="12504"/>
    <x v="2"/>
    <n v="3"/>
    <x v="1"/>
    <x v="1"/>
    <x v="2"/>
  </r>
  <r>
    <s v="STAFF-474"/>
    <n v="37"/>
    <x v="1"/>
    <x v="1"/>
    <x v="1"/>
    <n v="5974"/>
    <x v="5"/>
    <n v="1"/>
    <x v="0"/>
    <x v="1"/>
    <x v="0"/>
  </r>
  <r>
    <s v="STAFF-475"/>
    <n v="30"/>
    <x v="0"/>
    <x v="0"/>
    <x v="0"/>
    <n v="4736"/>
    <x v="4"/>
    <n v="3"/>
    <x v="0"/>
    <x v="1"/>
    <x v="0"/>
  </r>
  <r>
    <s v="STAFF-476"/>
    <n v="26"/>
    <x v="1"/>
    <x v="0"/>
    <x v="0"/>
    <n v="5296"/>
    <x v="3"/>
    <n v="3"/>
    <x v="1"/>
    <x v="1"/>
    <x v="0"/>
  </r>
  <r>
    <s v="STAFF-477"/>
    <n v="42"/>
    <x v="1"/>
    <x v="1"/>
    <x v="4"/>
    <n v="6781"/>
    <x v="6"/>
    <n v="4"/>
    <x v="1"/>
    <x v="1"/>
    <x v="0"/>
  </r>
  <r>
    <s v="STAFF-478"/>
    <n v="21"/>
    <x v="0"/>
    <x v="0"/>
    <x v="6"/>
    <n v="2174"/>
    <x v="11"/>
    <n v="2"/>
    <x v="0"/>
    <x v="0"/>
    <x v="1"/>
  </r>
  <r>
    <s v="STAFF-479"/>
    <n v="36"/>
    <x v="0"/>
    <x v="0"/>
    <x v="0"/>
    <n v="6653"/>
    <x v="6"/>
    <n v="4"/>
    <x v="1"/>
    <x v="1"/>
    <x v="0"/>
  </r>
  <r>
    <s v="STAFF-481"/>
    <n v="36"/>
    <x v="1"/>
    <x v="0"/>
    <x v="0"/>
    <n v="9699"/>
    <x v="20"/>
    <n v="4"/>
    <x v="1"/>
    <x v="1"/>
    <x v="2"/>
  </r>
  <r>
    <s v="STAFF-482"/>
    <n v="57"/>
    <x v="1"/>
    <x v="1"/>
    <x v="4"/>
    <n v="6755"/>
    <x v="11"/>
    <n v="3"/>
    <x v="1"/>
    <x v="1"/>
    <x v="0"/>
  </r>
  <r>
    <s v="STAFF-483"/>
    <n v="40"/>
    <x v="0"/>
    <x v="1"/>
    <x v="2"/>
    <n v="2213"/>
    <x v="5"/>
    <n v="3"/>
    <x v="0"/>
    <x v="1"/>
    <x v="1"/>
  </r>
  <r>
    <s v="STAFF-484"/>
    <n v="21"/>
    <x v="1"/>
    <x v="0"/>
    <x v="6"/>
    <n v="2610"/>
    <x v="11"/>
    <n v="4"/>
    <x v="1"/>
    <x v="1"/>
    <x v="1"/>
  </r>
  <r>
    <s v="STAFF-485"/>
    <n v="33"/>
    <x v="0"/>
    <x v="0"/>
    <x v="6"/>
    <n v="2851"/>
    <x v="6"/>
    <n v="3"/>
    <x v="0"/>
    <x v="0"/>
    <x v="1"/>
  </r>
  <r>
    <s v="STAFF-486"/>
    <n v="37"/>
    <x v="0"/>
    <x v="1"/>
    <x v="2"/>
    <n v="3452"/>
    <x v="8"/>
    <n v="1"/>
    <x v="1"/>
    <x v="1"/>
    <x v="0"/>
  </r>
  <r>
    <s v="STAFF-487"/>
    <n v="46"/>
    <x v="0"/>
    <x v="1"/>
    <x v="3"/>
    <n v="5258"/>
    <x v="6"/>
    <n v="3"/>
    <x v="1"/>
    <x v="1"/>
    <x v="0"/>
  </r>
  <r>
    <s v="STAFF-488"/>
    <n v="41"/>
    <x v="1"/>
    <x v="0"/>
    <x v="0"/>
    <n v="9355"/>
    <x v="3"/>
    <n v="2"/>
    <x v="1"/>
    <x v="0"/>
    <x v="2"/>
  </r>
  <r>
    <s v="STAFF-491"/>
    <n v="50"/>
    <x v="1"/>
    <x v="1"/>
    <x v="4"/>
    <n v="10496"/>
    <x v="9"/>
    <n v="4"/>
    <x v="1"/>
    <x v="1"/>
    <x v="2"/>
  </r>
  <r>
    <s v="STAFF-492"/>
    <n v="40"/>
    <x v="1"/>
    <x v="0"/>
    <x v="0"/>
    <n v="6380"/>
    <x v="0"/>
    <n v="3"/>
    <x v="0"/>
    <x v="0"/>
    <x v="0"/>
  </r>
  <r>
    <s v="STAFF-493"/>
    <n v="31"/>
    <x v="1"/>
    <x v="1"/>
    <x v="1"/>
    <n v="2657"/>
    <x v="4"/>
    <n v="2"/>
    <x v="0"/>
    <x v="1"/>
    <x v="1"/>
  </r>
  <r>
    <s v="STAFF-494"/>
    <n v="21"/>
    <x v="0"/>
    <x v="0"/>
    <x v="6"/>
    <n v="2716"/>
    <x v="6"/>
    <n v="2"/>
    <x v="1"/>
    <x v="0"/>
    <x v="1"/>
  </r>
  <r>
    <s v="STAFF-495"/>
    <n v="29"/>
    <x v="1"/>
    <x v="1"/>
    <x v="1"/>
    <n v="2201"/>
    <x v="11"/>
    <n v="4"/>
    <x v="1"/>
    <x v="1"/>
    <x v="1"/>
  </r>
  <r>
    <s v="STAFF-496"/>
    <n v="35"/>
    <x v="1"/>
    <x v="1"/>
    <x v="4"/>
    <n v="6540"/>
    <x v="6"/>
    <n v="2"/>
    <x v="1"/>
    <x v="1"/>
    <x v="0"/>
  </r>
  <r>
    <s v="STAFF-497"/>
    <n v="27"/>
    <x v="1"/>
    <x v="1"/>
    <x v="2"/>
    <n v="3816"/>
    <x v="8"/>
    <n v="2"/>
    <x v="1"/>
    <x v="1"/>
    <x v="0"/>
  </r>
  <r>
    <s v="STAFF-498"/>
    <n v="28"/>
    <x v="1"/>
    <x v="0"/>
    <x v="0"/>
    <n v="5253"/>
    <x v="5"/>
    <n v="4"/>
    <x v="1"/>
    <x v="1"/>
    <x v="0"/>
  </r>
  <r>
    <s v="STAFF-499"/>
    <n v="49"/>
    <x v="1"/>
    <x v="1"/>
    <x v="4"/>
    <n v="10965"/>
    <x v="8"/>
    <n v="3"/>
    <x v="1"/>
    <x v="1"/>
    <x v="2"/>
  </r>
  <r>
    <s v="STAFF-500"/>
    <n v="51"/>
    <x v="0"/>
    <x v="0"/>
    <x v="0"/>
    <n v="4936"/>
    <x v="5"/>
    <n v="4"/>
    <x v="1"/>
    <x v="1"/>
    <x v="0"/>
  </r>
  <r>
    <s v="STAFF-501"/>
    <n v="36"/>
    <x v="0"/>
    <x v="1"/>
    <x v="1"/>
    <n v="2543"/>
    <x v="4"/>
    <n v="3"/>
    <x v="1"/>
    <x v="1"/>
    <x v="1"/>
  </r>
  <r>
    <s v="STAFF-502"/>
    <n v="34"/>
    <x v="1"/>
    <x v="0"/>
    <x v="0"/>
    <n v="5304"/>
    <x v="8"/>
    <n v="4"/>
    <x v="0"/>
    <x v="0"/>
    <x v="0"/>
  </r>
  <r>
    <s v="STAFF-505"/>
    <n v="55"/>
    <x v="0"/>
    <x v="1"/>
    <x v="5"/>
    <n v="16659"/>
    <x v="8"/>
    <n v="4"/>
    <x v="0"/>
    <x v="1"/>
    <x v="2"/>
  </r>
  <r>
    <s v="STAFF-507"/>
    <n v="24"/>
    <x v="0"/>
    <x v="0"/>
    <x v="0"/>
    <n v="4260"/>
    <x v="8"/>
    <n v="3"/>
    <x v="0"/>
    <x v="1"/>
    <x v="0"/>
  </r>
  <r>
    <s v="STAFF-508"/>
    <n v="30"/>
    <x v="1"/>
    <x v="0"/>
    <x v="6"/>
    <n v="2476"/>
    <x v="6"/>
    <n v="2"/>
    <x v="1"/>
    <x v="1"/>
    <x v="1"/>
  </r>
  <r>
    <s v="STAFF-510"/>
    <n v="26"/>
    <x v="1"/>
    <x v="1"/>
    <x v="1"/>
    <n v="3102"/>
    <x v="0"/>
    <n v="1"/>
    <x v="1"/>
    <x v="0"/>
    <x v="0"/>
  </r>
  <r>
    <s v="STAFF-511"/>
    <n v="22"/>
    <x v="0"/>
    <x v="1"/>
    <x v="1"/>
    <n v="2244"/>
    <x v="4"/>
    <n v="2"/>
    <x v="1"/>
    <x v="1"/>
    <x v="1"/>
  </r>
  <r>
    <s v="STAFF-513"/>
    <n v="36"/>
    <x v="1"/>
    <x v="0"/>
    <x v="0"/>
    <n v="7596"/>
    <x v="1"/>
    <n v="3"/>
    <x v="1"/>
    <x v="1"/>
    <x v="2"/>
  </r>
  <r>
    <s v="STAFF-514"/>
    <n v="30"/>
    <x v="1"/>
    <x v="1"/>
    <x v="1"/>
    <n v="2285"/>
    <x v="6"/>
    <n v="4"/>
    <x v="0"/>
    <x v="0"/>
    <x v="1"/>
  </r>
  <r>
    <s v="STAFF-515"/>
    <n v="37"/>
    <x v="0"/>
    <x v="1"/>
    <x v="2"/>
    <n v="3034"/>
    <x v="29"/>
    <n v="1"/>
    <x v="1"/>
    <x v="1"/>
    <x v="0"/>
  </r>
  <r>
    <s v="STAFF-516"/>
    <n v="40"/>
    <x v="0"/>
    <x v="0"/>
    <x v="0"/>
    <n v="5715"/>
    <x v="8"/>
    <n v="2"/>
    <x v="1"/>
    <x v="1"/>
    <x v="0"/>
  </r>
  <r>
    <s v="STAFF-517"/>
    <n v="42"/>
    <x v="0"/>
    <x v="1"/>
    <x v="2"/>
    <n v="2576"/>
    <x v="8"/>
    <n v="1"/>
    <x v="1"/>
    <x v="1"/>
    <x v="1"/>
  </r>
  <r>
    <s v="STAFF-518"/>
    <n v="37"/>
    <x v="1"/>
    <x v="1"/>
    <x v="3"/>
    <n v="4197"/>
    <x v="6"/>
    <n v="2"/>
    <x v="0"/>
    <x v="1"/>
    <x v="0"/>
  </r>
  <r>
    <s v="STAFF-520"/>
    <n v="43"/>
    <x v="1"/>
    <x v="1"/>
    <x v="7"/>
    <n v="14336"/>
    <x v="10"/>
    <n v="2"/>
    <x v="1"/>
    <x v="1"/>
    <x v="2"/>
  </r>
  <r>
    <s v="STAFF-521"/>
    <n v="40"/>
    <x v="0"/>
    <x v="1"/>
    <x v="2"/>
    <n v="3448"/>
    <x v="6"/>
    <n v="3"/>
    <x v="1"/>
    <x v="1"/>
    <x v="0"/>
  </r>
  <r>
    <s v="STAFF-522"/>
    <n v="54"/>
    <x v="1"/>
    <x v="1"/>
    <x v="7"/>
    <n v="19406"/>
    <x v="9"/>
    <n v="1"/>
    <x v="1"/>
    <x v="1"/>
    <x v="2"/>
  </r>
  <r>
    <s v="STAFF-523"/>
    <n v="34"/>
    <x v="0"/>
    <x v="0"/>
    <x v="0"/>
    <n v="6538"/>
    <x v="11"/>
    <n v="3"/>
    <x v="1"/>
    <x v="1"/>
    <x v="0"/>
  </r>
  <r>
    <s v="STAFF-524"/>
    <n v="31"/>
    <x v="0"/>
    <x v="1"/>
    <x v="3"/>
    <n v="4306"/>
    <x v="20"/>
    <n v="1"/>
    <x v="1"/>
    <x v="1"/>
    <x v="0"/>
  </r>
  <r>
    <s v="STAFF-525"/>
    <n v="43"/>
    <x v="1"/>
    <x v="1"/>
    <x v="2"/>
    <n v="2258"/>
    <x v="11"/>
    <n v="4"/>
    <x v="1"/>
    <x v="1"/>
    <x v="1"/>
  </r>
  <r>
    <s v="STAFF-526"/>
    <n v="43"/>
    <x v="0"/>
    <x v="1"/>
    <x v="4"/>
    <n v="4522"/>
    <x v="8"/>
    <n v="3"/>
    <x v="0"/>
    <x v="1"/>
    <x v="0"/>
  </r>
  <r>
    <s v="STAFF-527"/>
    <n v="25"/>
    <x v="0"/>
    <x v="0"/>
    <x v="0"/>
    <n v="4487"/>
    <x v="8"/>
    <n v="4"/>
    <x v="0"/>
    <x v="1"/>
    <x v="0"/>
  </r>
  <r>
    <s v="STAFF-529"/>
    <n v="37"/>
    <x v="0"/>
    <x v="1"/>
    <x v="1"/>
    <n v="4449"/>
    <x v="20"/>
    <n v="3"/>
    <x v="0"/>
    <x v="1"/>
    <x v="0"/>
  </r>
  <r>
    <s v="STAFF-530"/>
    <n v="31"/>
    <x v="1"/>
    <x v="1"/>
    <x v="2"/>
    <n v="2218"/>
    <x v="9"/>
    <n v="1"/>
    <x v="1"/>
    <x v="1"/>
    <x v="1"/>
  </r>
  <r>
    <s v="STAFF-531"/>
    <n v="39"/>
    <x v="1"/>
    <x v="1"/>
    <x v="5"/>
    <n v="19197"/>
    <x v="17"/>
    <n v="3"/>
    <x v="0"/>
    <x v="1"/>
    <x v="2"/>
  </r>
  <r>
    <s v="STAFF-532"/>
    <n v="56"/>
    <x v="0"/>
    <x v="0"/>
    <x v="0"/>
    <n v="13212"/>
    <x v="5"/>
    <n v="1"/>
    <x v="1"/>
    <x v="1"/>
    <x v="2"/>
  </r>
  <r>
    <s v="STAFF-533"/>
    <n v="30"/>
    <x v="0"/>
    <x v="0"/>
    <x v="0"/>
    <n v="6577"/>
    <x v="8"/>
    <n v="3"/>
    <x v="1"/>
    <x v="1"/>
    <x v="0"/>
  </r>
  <r>
    <s v="STAFF-534"/>
    <n v="41"/>
    <x v="1"/>
    <x v="0"/>
    <x v="0"/>
    <n v="8392"/>
    <x v="1"/>
    <n v="1"/>
    <x v="1"/>
    <x v="1"/>
    <x v="2"/>
  </r>
  <r>
    <s v="STAFF-536"/>
    <n v="28"/>
    <x v="1"/>
    <x v="1"/>
    <x v="2"/>
    <n v="4558"/>
    <x v="1"/>
    <n v="1"/>
    <x v="1"/>
    <x v="1"/>
    <x v="0"/>
  </r>
  <r>
    <s v="STAFF-538"/>
    <n v="25"/>
    <x v="1"/>
    <x v="1"/>
    <x v="2"/>
    <n v="4031"/>
    <x v="4"/>
    <n v="1"/>
    <x v="1"/>
    <x v="0"/>
    <x v="0"/>
  </r>
  <r>
    <s v="STAFF-543"/>
    <n v="52"/>
    <x v="1"/>
    <x v="1"/>
    <x v="3"/>
    <n v="7969"/>
    <x v="8"/>
    <n v="3"/>
    <x v="0"/>
    <x v="1"/>
    <x v="2"/>
  </r>
  <r>
    <s v="STAFF-544"/>
    <n v="45"/>
    <x v="1"/>
    <x v="1"/>
    <x v="1"/>
    <n v="2654"/>
    <x v="4"/>
    <n v="4"/>
    <x v="1"/>
    <x v="1"/>
    <x v="1"/>
  </r>
  <r>
    <s v="STAFF-546"/>
    <n v="52"/>
    <x v="0"/>
    <x v="1"/>
    <x v="5"/>
    <n v="16555"/>
    <x v="8"/>
    <n v="4"/>
    <x v="1"/>
    <x v="1"/>
    <x v="2"/>
  </r>
  <r>
    <s v="STAFF-547"/>
    <n v="42"/>
    <x v="0"/>
    <x v="1"/>
    <x v="1"/>
    <n v="4556"/>
    <x v="8"/>
    <n v="3"/>
    <x v="1"/>
    <x v="1"/>
    <x v="0"/>
  </r>
  <r>
    <s v="STAFF-548"/>
    <n v="30"/>
    <x v="0"/>
    <x v="1"/>
    <x v="3"/>
    <n v="6091"/>
    <x v="8"/>
    <n v="4"/>
    <x v="1"/>
    <x v="1"/>
    <x v="0"/>
  </r>
  <r>
    <s v="STAFF-549"/>
    <n v="60"/>
    <x v="0"/>
    <x v="1"/>
    <x v="5"/>
    <n v="19566"/>
    <x v="30"/>
    <n v="1"/>
    <x v="1"/>
    <x v="1"/>
    <x v="2"/>
  </r>
  <r>
    <s v="STAFF-550"/>
    <n v="46"/>
    <x v="0"/>
    <x v="1"/>
    <x v="3"/>
    <n v="4810"/>
    <x v="1"/>
    <n v="3"/>
    <x v="1"/>
    <x v="1"/>
    <x v="0"/>
  </r>
  <r>
    <s v="STAFF-551"/>
    <n v="42"/>
    <x v="0"/>
    <x v="1"/>
    <x v="4"/>
    <n v="4523"/>
    <x v="0"/>
    <n v="4"/>
    <x v="1"/>
    <x v="1"/>
    <x v="0"/>
  </r>
  <r>
    <s v="STAFF-554"/>
    <n v="24"/>
    <x v="0"/>
    <x v="0"/>
    <x v="6"/>
    <n v="3202"/>
    <x v="8"/>
    <n v="2"/>
    <x v="0"/>
    <x v="0"/>
    <x v="0"/>
  </r>
  <r>
    <s v="STAFF-555"/>
    <n v="34"/>
    <x v="0"/>
    <x v="0"/>
    <x v="6"/>
    <n v="2351"/>
    <x v="4"/>
    <n v="3"/>
    <x v="1"/>
    <x v="0"/>
    <x v="1"/>
  </r>
  <r>
    <s v="STAFF-556"/>
    <n v="38"/>
    <x v="1"/>
    <x v="1"/>
    <x v="2"/>
    <n v="1702"/>
    <x v="6"/>
    <n v="4"/>
    <x v="0"/>
    <x v="1"/>
    <x v="1"/>
  </r>
  <r>
    <s v="STAFF-558"/>
    <n v="40"/>
    <x v="0"/>
    <x v="0"/>
    <x v="5"/>
    <n v="18041"/>
    <x v="23"/>
    <n v="3"/>
    <x v="1"/>
    <x v="1"/>
    <x v="2"/>
  </r>
  <r>
    <s v="STAFF-560"/>
    <n v="26"/>
    <x v="0"/>
    <x v="1"/>
    <x v="1"/>
    <n v="2886"/>
    <x v="11"/>
    <n v="4"/>
    <x v="1"/>
    <x v="1"/>
    <x v="1"/>
  </r>
  <r>
    <s v="STAFF-562"/>
    <n v="30"/>
    <x v="1"/>
    <x v="1"/>
    <x v="2"/>
    <n v="2097"/>
    <x v="8"/>
    <n v="4"/>
    <x v="1"/>
    <x v="1"/>
    <x v="1"/>
  </r>
  <r>
    <s v="STAFF-564"/>
    <n v="29"/>
    <x v="1"/>
    <x v="1"/>
    <x v="7"/>
    <n v="11935"/>
    <x v="1"/>
    <n v="3"/>
    <x v="1"/>
    <x v="1"/>
    <x v="2"/>
  </r>
  <r>
    <s v="STAFF-565"/>
    <n v="29"/>
    <x v="0"/>
    <x v="1"/>
    <x v="1"/>
    <n v="2546"/>
    <x v="4"/>
    <n v="2"/>
    <x v="1"/>
    <x v="0"/>
    <x v="1"/>
  </r>
  <r>
    <s v="STAFF-566"/>
    <n v="19"/>
    <x v="1"/>
    <x v="2"/>
    <x v="8"/>
    <n v="2564"/>
    <x v="6"/>
    <n v="4"/>
    <x v="1"/>
    <x v="0"/>
    <x v="1"/>
  </r>
  <r>
    <s v="STAFF-567"/>
    <n v="30"/>
    <x v="0"/>
    <x v="0"/>
    <x v="0"/>
    <n v="8412"/>
    <x v="7"/>
    <n v="1"/>
    <x v="1"/>
    <x v="1"/>
    <x v="2"/>
  </r>
  <r>
    <s v="STAFF-568"/>
    <n v="57"/>
    <x v="1"/>
    <x v="0"/>
    <x v="5"/>
    <n v="14118"/>
    <x v="6"/>
    <n v="4"/>
    <x v="1"/>
    <x v="1"/>
    <x v="2"/>
  </r>
  <r>
    <s v="STAFF-569"/>
    <n v="50"/>
    <x v="1"/>
    <x v="1"/>
    <x v="5"/>
    <n v="17046"/>
    <x v="16"/>
    <n v="3"/>
    <x v="1"/>
    <x v="1"/>
    <x v="2"/>
  </r>
  <r>
    <s v="STAFF-571"/>
    <n v="30"/>
    <x v="0"/>
    <x v="1"/>
    <x v="2"/>
    <n v="2564"/>
    <x v="19"/>
    <n v="4"/>
    <x v="1"/>
    <x v="1"/>
    <x v="1"/>
  </r>
  <r>
    <s v="STAFF-573"/>
    <n v="60"/>
    <x v="0"/>
    <x v="0"/>
    <x v="0"/>
    <n v="10266"/>
    <x v="29"/>
    <n v="1"/>
    <x v="1"/>
    <x v="1"/>
    <x v="2"/>
  </r>
  <r>
    <s v="STAFF-574"/>
    <n v="47"/>
    <x v="0"/>
    <x v="1"/>
    <x v="3"/>
    <n v="5070"/>
    <x v="8"/>
    <n v="4"/>
    <x v="1"/>
    <x v="1"/>
    <x v="0"/>
  </r>
  <r>
    <s v="STAFF-575"/>
    <n v="46"/>
    <x v="1"/>
    <x v="1"/>
    <x v="7"/>
    <n v="17861"/>
    <x v="11"/>
    <n v="3"/>
    <x v="1"/>
    <x v="1"/>
    <x v="2"/>
  </r>
  <r>
    <s v="STAFF-577"/>
    <n v="35"/>
    <x v="1"/>
    <x v="1"/>
    <x v="2"/>
    <n v="4230"/>
    <x v="8"/>
    <n v="3"/>
    <x v="1"/>
    <x v="1"/>
    <x v="0"/>
  </r>
  <r>
    <s v="STAFF-578"/>
    <n v="54"/>
    <x v="0"/>
    <x v="1"/>
    <x v="2"/>
    <n v="3780"/>
    <x v="6"/>
    <n v="3"/>
    <x v="1"/>
    <x v="1"/>
    <x v="0"/>
  </r>
  <r>
    <s v="STAFF-579"/>
    <n v="34"/>
    <x v="1"/>
    <x v="1"/>
    <x v="1"/>
    <n v="2768"/>
    <x v="5"/>
    <n v="3"/>
    <x v="1"/>
    <x v="1"/>
    <x v="1"/>
  </r>
  <r>
    <s v="STAFF-580"/>
    <n v="46"/>
    <x v="0"/>
    <x v="0"/>
    <x v="0"/>
    <n v="9071"/>
    <x v="11"/>
    <n v="4"/>
    <x v="0"/>
    <x v="1"/>
    <x v="2"/>
  </r>
  <r>
    <s v="STAFF-581"/>
    <n v="31"/>
    <x v="1"/>
    <x v="1"/>
    <x v="3"/>
    <n v="10648"/>
    <x v="20"/>
    <n v="2"/>
    <x v="1"/>
    <x v="1"/>
    <x v="2"/>
  </r>
  <r>
    <s v="STAFF-582"/>
    <n v="33"/>
    <x v="1"/>
    <x v="1"/>
    <x v="5"/>
    <n v="13610"/>
    <x v="5"/>
    <n v="3"/>
    <x v="0"/>
    <x v="0"/>
    <x v="2"/>
  </r>
  <r>
    <s v="STAFF-584"/>
    <n v="33"/>
    <x v="1"/>
    <x v="1"/>
    <x v="2"/>
    <n v="3408"/>
    <x v="9"/>
    <n v="4"/>
    <x v="1"/>
    <x v="0"/>
    <x v="0"/>
  </r>
  <r>
    <s v="STAFF-585"/>
    <n v="30"/>
    <x v="1"/>
    <x v="0"/>
    <x v="6"/>
    <n v="2983"/>
    <x v="11"/>
    <n v="2"/>
    <x v="1"/>
    <x v="1"/>
    <x v="1"/>
  </r>
  <r>
    <s v="STAFF-586"/>
    <n v="35"/>
    <x v="1"/>
    <x v="1"/>
    <x v="4"/>
    <n v="7632"/>
    <x v="3"/>
    <n v="3"/>
    <x v="0"/>
    <x v="1"/>
    <x v="2"/>
  </r>
  <r>
    <s v="STAFF-587"/>
    <n v="31"/>
    <x v="1"/>
    <x v="1"/>
    <x v="4"/>
    <n v="9824"/>
    <x v="6"/>
    <n v="3"/>
    <x v="1"/>
    <x v="0"/>
    <x v="2"/>
  </r>
  <r>
    <s v="STAFF-590"/>
    <n v="34"/>
    <x v="0"/>
    <x v="2"/>
    <x v="8"/>
    <n v="9950"/>
    <x v="11"/>
    <n v="1"/>
    <x v="0"/>
    <x v="0"/>
    <x v="2"/>
  </r>
  <r>
    <s v="STAFF-591"/>
    <n v="42"/>
    <x v="1"/>
    <x v="1"/>
    <x v="2"/>
    <n v="2093"/>
    <x v="4"/>
    <n v="3"/>
    <x v="1"/>
    <x v="1"/>
    <x v="1"/>
  </r>
  <r>
    <s v="STAFF-592"/>
    <n v="36"/>
    <x v="1"/>
    <x v="0"/>
    <x v="0"/>
    <n v="9980"/>
    <x v="1"/>
    <n v="4"/>
    <x v="1"/>
    <x v="1"/>
    <x v="2"/>
  </r>
  <r>
    <s v="STAFF-593"/>
    <n v="22"/>
    <x v="1"/>
    <x v="1"/>
    <x v="2"/>
    <n v="3894"/>
    <x v="4"/>
    <n v="3"/>
    <x v="1"/>
    <x v="0"/>
    <x v="0"/>
  </r>
  <r>
    <s v="STAFF-595"/>
    <n v="48"/>
    <x v="0"/>
    <x v="0"/>
    <x v="0"/>
    <n v="4051"/>
    <x v="7"/>
    <n v="4"/>
    <x v="1"/>
    <x v="1"/>
    <x v="0"/>
  </r>
  <r>
    <s v="STAFF-597"/>
    <n v="55"/>
    <x v="0"/>
    <x v="0"/>
    <x v="5"/>
    <n v="16835"/>
    <x v="1"/>
    <n v="2"/>
    <x v="1"/>
    <x v="1"/>
    <x v="2"/>
  </r>
  <r>
    <s v="STAFF-599"/>
    <n v="41"/>
    <x v="1"/>
    <x v="0"/>
    <x v="0"/>
    <n v="6230"/>
    <x v="13"/>
    <n v="4"/>
    <x v="1"/>
    <x v="1"/>
    <x v="0"/>
  </r>
  <r>
    <s v="STAFF-600"/>
    <n v="35"/>
    <x v="1"/>
    <x v="0"/>
    <x v="0"/>
    <n v="4717"/>
    <x v="19"/>
    <n v="3"/>
    <x v="1"/>
    <x v="1"/>
    <x v="0"/>
  </r>
  <r>
    <s v="STAFF-601"/>
    <n v="40"/>
    <x v="0"/>
    <x v="1"/>
    <x v="3"/>
    <n v="13237"/>
    <x v="23"/>
    <n v="3"/>
    <x v="1"/>
    <x v="1"/>
    <x v="2"/>
  </r>
  <r>
    <s v="STAFF-602"/>
    <n v="39"/>
    <x v="0"/>
    <x v="1"/>
    <x v="2"/>
    <n v="3755"/>
    <x v="3"/>
    <n v="3"/>
    <x v="1"/>
    <x v="1"/>
    <x v="0"/>
  </r>
  <r>
    <s v="STAFF-604"/>
    <n v="31"/>
    <x v="1"/>
    <x v="0"/>
    <x v="0"/>
    <n v="6582"/>
    <x v="0"/>
    <n v="4"/>
    <x v="0"/>
    <x v="1"/>
    <x v="0"/>
  </r>
  <r>
    <s v="STAFF-605"/>
    <n v="42"/>
    <x v="1"/>
    <x v="1"/>
    <x v="3"/>
    <n v="7406"/>
    <x v="1"/>
    <n v="1"/>
    <x v="0"/>
    <x v="1"/>
    <x v="2"/>
  </r>
  <r>
    <s v="STAFF-606"/>
    <n v="45"/>
    <x v="1"/>
    <x v="0"/>
    <x v="0"/>
    <n v="4805"/>
    <x v="3"/>
    <n v="2"/>
    <x v="1"/>
    <x v="1"/>
    <x v="0"/>
  </r>
  <r>
    <s v="STAFF-608"/>
    <n v="26"/>
    <x v="0"/>
    <x v="2"/>
    <x v="8"/>
    <n v="2741"/>
    <x v="5"/>
    <n v="3"/>
    <x v="0"/>
    <x v="0"/>
    <x v="1"/>
  </r>
  <r>
    <s v="STAFF-611"/>
    <n v="29"/>
    <x v="1"/>
    <x v="1"/>
    <x v="3"/>
    <n v="4262"/>
    <x v="11"/>
    <n v="4"/>
    <x v="1"/>
    <x v="1"/>
    <x v="0"/>
  </r>
  <r>
    <s v="STAFF-612"/>
    <n v="33"/>
    <x v="0"/>
    <x v="1"/>
    <x v="7"/>
    <n v="16184"/>
    <x v="0"/>
    <n v="3"/>
    <x v="1"/>
    <x v="1"/>
    <x v="2"/>
  </r>
  <r>
    <s v="STAFF-613"/>
    <n v="31"/>
    <x v="1"/>
    <x v="0"/>
    <x v="5"/>
    <n v="11557"/>
    <x v="8"/>
    <n v="4"/>
    <x v="1"/>
    <x v="1"/>
    <x v="2"/>
  </r>
  <r>
    <s v="STAFF-614"/>
    <n v="18"/>
    <x v="1"/>
    <x v="0"/>
    <x v="6"/>
    <n v="1878"/>
    <x v="2"/>
    <n v="2"/>
    <x v="0"/>
    <x v="0"/>
    <x v="1"/>
  </r>
  <r>
    <s v="STAFF-615"/>
    <n v="40"/>
    <x v="1"/>
    <x v="0"/>
    <x v="0"/>
    <n v="10932"/>
    <x v="6"/>
    <n v="1"/>
    <x v="1"/>
    <x v="1"/>
    <x v="2"/>
  </r>
  <r>
    <s v="STAFF-616"/>
    <n v="41"/>
    <x v="0"/>
    <x v="1"/>
    <x v="4"/>
    <n v="6811"/>
    <x v="3"/>
    <n v="3"/>
    <x v="0"/>
    <x v="1"/>
    <x v="0"/>
  </r>
  <r>
    <s v="STAFF-618"/>
    <n v="26"/>
    <x v="1"/>
    <x v="0"/>
    <x v="0"/>
    <n v="4306"/>
    <x v="2"/>
    <n v="3"/>
    <x v="1"/>
    <x v="1"/>
    <x v="0"/>
  </r>
  <r>
    <s v="STAFF-620"/>
    <n v="35"/>
    <x v="0"/>
    <x v="0"/>
    <x v="0"/>
    <n v="4859"/>
    <x v="8"/>
    <n v="3"/>
    <x v="1"/>
    <x v="1"/>
    <x v="0"/>
  </r>
  <r>
    <s v="STAFF-621"/>
    <n v="34"/>
    <x v="1"/>
    <x v="0"/>
    <x v="0"/>
    <n v="5337"/>
    <x v="1"/>
    <n v="4"/>
    <x v="1"/>
    <x v="1"/>
    <x v="0"/>
  </r>
  <r>
    <s v="STAFF-622"/>
    <n v="26"/>
    <x v="1"/>
    <x v="1"/>
    <x v="2"/>
    <n v="2340"/>
    <x v="6"/>
    <n v="4"/>
    <x v="0"/>
    <x v="0"/>
    <x v="1"/>
  </r>
  <r>
    <s v="STAFF-623"/>
    <n v="37"/>
    <x v="0"/>
    <x v="1"/>
    <x v="3"/>
    <n v="7491"/>
    <x v="0"/>
    <n v="4"/>
    <x v="1"/>
    <x v="1"/>
    <x v="2"/>
  </r>
  <r>
    <s v="STAFF-624"/>
    <n v="46"/>
    <x v="0"/>
    <x v="1"/>
    <x v="4"/>
    <n v="10527"/>
    <x v="4"/>
    <n v="3"/>
    <x v="1"/>
    <x v="1"/>
    <x v="2"/>
  </r>
  <r>
    <s v="STAFF-625"/>
    <n v="41"/>
    <x v="0"/>
    <x v="0"/>
    <x v="5"/>
    <n v="16595"/>
    <x v="29"/>
    <n v="1"/>
    <x v="1"/>
    <x v="1"/>
    <x v="2"/>
  </r>
  <r>
    <s v="STAFF-626"/>
    <n v="37"/>
    <x v="1"/>
    <x v="0"/>
    <x v="0"/>
    <n v="8834"/>
    <x v="7"/>
    <n v="2"/>
    <x v="1"/>
    <x v="1"/>
    <x v="2"/>
  </r>
  <r>
    <s v="STAFF-630"/>
    <n v="52"/>
    <x v="1"/>
    <x v="1"/>
    <x v="1"/>
    <n v="5577"/>
    <x v="1"/>
    <n v="1"/>
    <x v="0"/>
    <x v="1"/>
    <x v="0"/>
  </r>
  <r>
    <s v="STAFF-631"/>
    <n v="32"/>
    <x v="1"/>
    <x v="0"/>
    <x v="0"/>
    <n v="4707"/>
    <x v="9"/>
    <n v="3"/>
    <x v="1"/>
    <x v="0"/>
    <x v="0"/>
  </r>
  <r>
    <s v="STAFF-632"/>
    <n v="24"/>
    <x v="1"/>
    <x v="0"/>
    <x v="6"/>
    <n v="2400"/>
    <x v="4"/>
    <n v="4"/>
    <x v="1"/>
    <x v="1"/>
    <x v="1"/>
  </r>
  <r>
    <s v="STAFF-634"/>
    <n v="38"/>
    <x v="0"/>
    <x v="1"/>
    <x v="4"/>
    <n v="9824"/>
    <x v="6"/>
    <n v="3"/>
    <x v="1"/>
    <x v="1"/>
    <x v="2"/>
  </r>
  <r>
    <s v="STAFF-635"/>
    <n v="37"/>
    <x v="0"/>
    <x v="1"/>
    <x v="3"/>
    <n v="6447"/>
    <x v="0"/>
    <n v="2"/>
    <x v="1"/>
    <x v="1"/>
    <x v="0"/>
  </r>
  <r>
    <s v="STAFF-638"/>
    <n v="49"/>
    <x v="1"/>
    <x v="1"/>
    <x v="7"/>
    <n v="19502"/>
    <x v="31"/>
    <n v="3"/>
    <x v="0"/>
    <x v="1"/>
    <x v="2"/>
  </r>
  <r>
    <s v="STAFF-639"/>
    <n v="24"/>
    <x v="1"/>
    <x v="1"/>
    <x v="1"/>
    <n v="2725"/>
    <x v="0"/>
    <n v="4"/>
    <x v="0"/>
    <x v="1"/>
    <x v="1"/>
  </r>
  <r>
    <s v="STAFF-641"/>
    <n v="26"/>
    <x v="1"/>
    <x v="0"/>
    <x v="0"/>
    <n v="6272"/>
    <x v="8"/>
    <n v="2"/>
    <x v="1"/>
    <x v="1"/>
    <x v="0"/>
  </r>
  <r>
    <s v="STAFF-643"/>
    <n v="24"/>
    <x v="1"/>
    <x v="1"/>
    <x v="2"/>
    <n v="2127"/>
    <x v="6"/>
    <n v="2"/>
    <x v="1"/>
    <x v="1"/>
    <x v="1"/>
  </r>
  <r>
    <s v="STAFF-644"/>
    <n v="50"/>
    <x v="1"/>
    <x v="2"/>
    <x v="5"/>
    <n v="18200"/>
    <x v="32"/>
    <n v="2"/>
    <x v="1"/>
    <x v="1"/>
    <x v="2"/>
  </r>
  <r>
    <s v="STAFF-645"/>
    <n v="25"/>
    <x v="1"/>
    <x v="0"/>
    <x v="6"/>
    <n v="2096"/>
    <x v="5"/>
    <n v="3"/>
    <x v="1"/>
    <x v="1"/>
    <x v="1"/>
  </r>
  <r>
    <s v="STAFF-647"/>
    <n v="24"/>
    <x v="0"/>
    <x v="1"/>
    <x v="2"/>
    <n v="2886"/>
    <x v="0"/>
    <n v="3"/>
    <x v="0"/>
    <x v="0"/>
    <x v="1"/>
  </r>
  <r>
    <s v="STAFF-648"/>
    <n v="30"/>
    <x v="1"/>
    <x v="0"/>
    <x v="6"/>
    <n v="2033"/>
    <x v="6"/>
    <n v="1"/>
    <x v="1"/>
    <x v="0"/>
    <x v="1"/>
  </r>
  <r>
    <s v="STAFF-649"/>
    <n v="34"/>
    <x v="1"/>
    <x v="1"/>
    <x v="1"/>
    <n v="3622"/>
    <x v="0"/>
    <n v="4"/>
    <x v="0"/>
    <x v="1"/>
    <x v="0"/>
  </r>
  <r>
    <s v="STAFF-650"/>
    <n v="31"/>
    <x v="1"/>
    <x v="0"/>
    <x v="0"/>
    <n v="4233"/>
    <x v="11"/>
    <n v="1"/>
    <x v="1"/>
    <x v="0"/>
    <x v="0"/>
  </r>
  <r>
    <s v="STAFF-652"/>
    <n v="35"/>
    <x v="1"/>
    <x v="1"/>
    <x v="2"/>
    <n v="3681"/>
    <x v="11"/>
    <n v="4"/>
    <x v="1"/>
    <x v="1"/>
    <x v="0"/>
  </r>
  <r>
    <s v="STAFF-653"/>
    <n v="31"/>
    <x v="1"/>
    <x v="0"/>
    <x v="0"/>
    <n v="5460"/>
    <x v="5"/>
    <n v="4"/>
    <x v="1"/>
    <x v="1"/>
    <x v="0"/>
  </r>
  <r>
    <s v="STAFF-655"/>
    <n v="27"/>
    <x v="0"/>
    <x v="1"/>
    <x v="1"/>
    <n v="2187"/>
    <x v="8"/>
    <n v="3"/>
    <x v="1"/>
    <x v="1"/>
    <x v="1"/>
  </r>
  <r>
    <s v="STAFF-656"/>
    <n v="37"/>
    <x v="1"/>
    <x v="0"/>
    <x v="0"/>
    <n v="9602"/>
    <x v="11"/>
    <n v="3"/>
    <x v="0"/>
    <x v="1"/>
    <x v="2"/>
  </r>
  <r>
    <s v="STAFF-657"/>
    <n v="20"/>
    <x v="0"/>
    <x v="1"/>
    <x v="1"/>
    <n v="2836"/>
    <x v="6"/>
    <n v="2"/>
    <x v="1"/>
    <x v="1"/>
    <x v="1"/>
  </r>
  <r>
    <s v="STAFF-659"/>
    <n v="42"/>
    <x v="0"/>
    <x v="1"/>
    <x v="4"/>
    <n v="4089"/>
    <x v="1"/>
    <n v="4"/>
    <x v="1"/>
    <x v="1"/>
    <x v="0"/>
  </r>
  <r>
    <s v="STAFF-661"/>
    <n v="43"/>
    <x v="1"/>
    <x v="1"/>
    <x v="7"/>
    <n v="16627"/>
    <x v="6"/>
    <n v="4"/>
    <x v="0"/>
    <x v="1"/>
    <x v="2"/>
  </r>
  <r>
    <s v="STAFF-662"/>
    <n v="38"/>
    <x v="0"/>
    <x v="1"/>
    <x v="1"/>
    <n v="2619"/>
    <x v="2"/>
    <n v="1"/>
    <x v="1"/>
    <x v="1"/>
    <x v="1"/>
  </r>
  <r>
    <s v="STAFF-663"/>
    <n v="43"/>
    <x v="1"/>
    <x v="1"/>
    <x v="2"/>
    <n v="5679"/>
    <x v="3"/>
    <n v="3"/>
    <x v="0"/>
    <x v="1"/>
    <x v="0"/>
  </r>
  <r>
    <s v="STAFF-664"/>
    <n v="48"/>
    <x v="0"/>
    <x v="1"/>
    <x v="5"/>
    <n v="15402"/>
    <x v="11"/>
    <n v="1"/>
    <x v="1"/>
    <x v="1"/>
    <x v="2"/>
  </r>
  <r>
    <s v="STAFF-665"/>
    <n v="44"/>
    <x v="0"/>
    <x v="2"/>
    <x v="8"/>
    <n v="5985"/>
    <x v="4"/>
    <n v="3"/>
    <x v="1"/>
    <x v="1"/>
    <x v="0"/>
  </r>
  <r>
    <s v="STAFF-666"/>
    <n v="34"/>
    <x v="0"/>
    <x v="0"/>
    <x v="6"/>
    <n v="2579"/>
    <x v="3"/>
    <n v="3"/>
    <x v="0"/>
    <x v="1"/>
    <x v="1"/>
  </r>
  <r>
    <s v="STAFF-667"/>
    <n v="27"/>
    <x v="1"/>
    <x v="0"/>
    <x v="6"/>
    <n v="3041"/>
    <x v="9"/>
    <n v="1"/>
    <x v="1"/>
    <x v="0"/>
    <x v="0"/>
  </r>
  <r>
    <s v="STAFF-669"/>
    <n v="21"/>
    <x v="1"/>
    <x v="0"/>
    <x v="6"/>
    <n v="3447"/>
    <x v="11"/>
    <n v="3"/>
    <x v="1"/>
    <x v="1"/>
    <x v="0"/>
  </r>
  <r>
    <s v="STAFF-671"/>
    <n v="44"/>
    <x v="1"/>
    <x v="1"/>
    <x v="5"/>
    <n v="19513"/>
    <x v="4"/>
    <n v="4"/>
    <x v="0"/>
    <x v="1"/>
    <x v="2"/>
  </r>
  <r>
    <s v="STAFF-675"/>
    <n v="22"/>
    <x v="1"/>
    <x v="1"/>
    <x v="1"/>
    <n v="2773"/>
    <x v="4"/>
    <n v="3"/>
    <x v="1"/>
    <x v="1"/>
    <x v="1"/>
  </r>
  <r>
    <s v="STAFF-677"/>
    <n v="33"/>
    <x v="1"/>
    <x v="0"/>
    <x v="0"/>
    <n v="7104"/>
    <x v="8"/>
    <n v="3"/>
    <x v="1"/>
    <x v="1"/>
    <x v="2"/>
  </r>
  <r>
    <s v="STAFF-679"/>
    <n v="32"/>
    <x v="0"/>
    <x v="1"/>
    <x v="1"/>
    <n v="6322"/>
    <x v="0"/>
    <n v="4"/>
    <x v="0"/>
    <x v="1"/>
    <x v="0"/>
  </r>
  <r>
    <s v="STAFF-680"/>
    <n v="30"/>
    <x v="0"/>
    <x v="1"/>
    <x v="1"/>
    <n v="2083"/>
    <x v="6"/>
    <n v="3"/>
    <x v="1"/>
    <x v="1"/>
    <x v="1"/>
  </r>
  <r>
    <s v="STAFF-682"/>
    <n v="53"/>
    <x v="0"/>
    <x v="0"/>
    <x v="0"/>
    <n v="8381"/>
    <x v="13"/>
    <n v="1"/>
    <x v="1"/>
    <x v="1"/>
    <x v="2"/>
  </r>
  <r>
    <s v="STAFF-683"/>
    <n v="34"/>
    <x v="1"/>
    <x v="1"/>
    <x v="1"/>
    <n v="2691"/>
    <x v="1"/>
    <n v="4"/>
    <x v="1"/>
    <x v="1"/>
    <x v="1"/>
  </r>
  <r>
    <s v="STAFF-684"/>
    <n v="45"/>
    <x v="0"/>
    <x v="0"/>
    <x v="0"/>
    <n v="4286"/>
    <x v="6"/>
    <n v="1"/>
    <x v="1"/>
    <x v="0"/>
    <x v="0"/>
  </r>
  <r>
    <s v="STAFF-686"/>
    <n v="26"/>
    <x v="0"/>
    <x v="1"/>
    <x v="2"/>
    <n v="2659"/>
    <x v="11"/>
    <n v="4"/>
    <x v="0"/>
    <x v="1"/>
    <x v="1"/>
  </r>
  <r>
    <s v="STAFF-689"/>
    <n v="37"/>
    <x v="1"/>
    <x v="1"/>
    <x v="3"/>
    <n v="9434"/>
    <x v="1"/>
    <n v="3"/>
    <x v="1"/>
    <x v="1"/>
    <x v="2"/>
  </r>
  <r>
    <s v="STAFF-690"/>
    <n v="29"/>
    <x v="0"/>
    <x v="0"/>
    <x v="0"/>
    <n v="5561"/>
    <x v="0"/>
    <n v="3"/>
    <x v="1"/>
    <x v="1"/>
    <x v="0"/>
  </r>
  <r>
    <s v="STAFF-691"/>
    <n v="35"/>
    <x v="1"/>
    <x v="1"/>
    <x v="1"/>
    <n v="6646"/>
    <x v="18"/>
    <n v="4"/>
    <x v="1"/>
    <x v="1"/>
    <x v="0"/>
  </r>
  <r>
    <s v="STAFF-692"/>
    <n v="33"/>
    <x v="1"/>
    <x v="1"/>
    <x v="4"/>
    <n v="7725"/>
    <x v="20"/>
    <n v="4"/>
    <x v="1"/>
    <x v="1"/>
    <x v="2"/>
  </r>
  <r>
    <s v="STAFF-698"/>
    <n v="54"/>
    <x v="1"/>
    <x v="2"/>
    <x v="8"/>
    <n v="10725"/>
    <x v="7"/>
    <n v="2"/>
    <x v="1"/>
    <x v="1"/>
    <x v="2"/>
  </r>
  <r>
    <s v="STAFF-699"/>
    <n v="36"/>
    <x v="1"/>
    <x v="1"/>
    <x v="3"/>
    <n v="8847"/>
    <x v="11"/>
    <n v="2"/>
    <x v="0"/>
    <x v="1"/>
    <x v="2"/>
  </r>
  <r>
    <s v="STAFF-700"/>
    <n v="27"/>
    <x v="1"/>
    <x v="1"/>
    <x v="1"/>
    <n v="2045"/>
    <x v="9"/>
    <n v="4"/>
    <x v="1"/>
    <x v="1"/>
    <x v="1"/>
  </r>
  <r>
    <s v="STAFF-701"/>
    <n v="20"/>
    <x v="1"/>
    <x v="1"/>
    <x v="1"/>
    <n v="1009"/>
    <x v="6"/>
    <n v="3"/>
    <x v="0"/>
    <x v="0"/>
    <x v="1"/>
  </r>
  <r>
    <s v="STAFF-702"/>
    <n v="33"/>
    <x v="1"/>
    <x v="1"/>
    <x v="1"/>
    <n v="3348"/>
    <x v="1"/>
    <n v="1"/>
    <x v="0"/>
    <x v="0"/>
    <x v="0"/>
  </r>
  <r>
    <s v="STAFF-704"/>
    <n v="35"/>
    <x v="1"/>
    <x v="1"/>
    <x v="2"/>
    <n v="1281"/>
    <x v="6"/>
    <n v="3"/>
    <x v="1"/>
    <x v="1"/>
    <x v="1"/>
  </r>
  <r>
    <s v="STAFF-705"/>
    <n v="23"/>
    <x v="1"/>
    <x v="1"/>
    <x v="1"/>
    <n v="2819"/>
    <x v="11"/>
    <n v="1"/>
    <x v="1"/>
    <x v="1"/>
    <x v="1"/>
  </r>
  <r>
    <s v="STAFF-707"/>
    <n v="25"/>
    <x v="1"/>
    <x v="0"/>
    <x v="0"/>
    <n v="4851"/>
    <x v="11"/>
    <n v="2"/>
    <x v="1"/>
    <x v="1"/>
    <x v="0"/>
  </r>
  <r>
    <s v="STAFF-709"/>
    <n v="38"/>
    <x v="0"/>
    <x v="0"/>
    <x v="0"/>
    <n v="4028"/>
    <x v="5"/>
    <n v="4"/>
    <x v="1"/>
    <x v="1"/>
    <x v="0"/>
  </r>
  <r>
    <s v="STAFF-710"/>
    <n v="29"/>
    <x v="1"/>
    <x v="1"/>
    <x v="1"/>
    <n v="2720"/>
    <x v="1"/>
    <n v="4"/>
    <x v="1"/>
    <x v="1"/>
    <x v="1"/>
  </r>
  <r>
    <s v="STAFF-712"/>
    <n v="48"/>
    <x v="1"/>
    <x v="0"/>
    <x v="0"/>
    <n v="8120"/>
    <x v="4"/>
    <n v="2"/>
    <x v="1"/>
    <x v="1"/>
    <x v="2"/>
  </r>
  <r>
    <s v="STAFF-714"/>
    <n v="27"/>
    <x v="0"/>
    <x v="0"/>
    <x v="0"/>
    <n v="4647"/>
    <x v="0"/>
    <n v="4"/>
    <x v="0"/>
    <x v="1"/>
    <x v="0"/>
  </r>
  <r>
    <s v="STAFF-715"/>
    <n v="37"/>
    <x v="1"/>
    <x v="1"/>
    <x v="1"/>
    <n v="4680"/>
    <x v="6"/>
    <n v="4"/>
    <x v="1"/>
    <x v="1"/>
    <x v="0"/>
  </r>
  <r>
    <s v="STAFF-716"/>
    <n v="50"/>
    <x v="1"/>
    <x v="1"/>
    <x v="2"/>
    <n v="3221"/>
    <x v="23"/>
    <n v="3"/>
    <x v="0"/>
    <x v="1"/>
    <x v="0"/>
  </r>
  <r>
    <s v="STAFF-717"/>
    <n v="34"/>
    <x v="0"/>
    <x v="1"/>
    <x v="4"/>
    <n v="8621"/>
    <x v="3"/>
    <n v="2"/>
    <x v="1"/>
    <x v="1"/>
    <x v="2"/>
  </r>
  <r>
    <s v="STAFF-720"/>
    <n v="24"/>
    <x v="0"/>
    <x v="0"/>
    <x v="0"/>
    <n v="4577"/>
    <x v="4"/>
    <n v="3"/>
    <x v="1"/>
    <x v="0"/>
    <x v="0"/>
  </r>
  <r>
    <s v="STAFF-721"/>
    <n v="39"/>
    <x v="0"/>
    <x v="1"/>
    <x v="4"/>
    <n v="4553"/>
    <x v="23"/>
    <n v="3"/>
    <x v="1"/>
    <x v="1"/>
    <x v="0"/>
  </r>
  <r>
    <s v="STAFF-722"/>
    <n v="32"/>
    <x v="1"/>
    <x v="0"/>
    <x v="0"/>
    <n v="5396"/>
    <x v="1"/>
    <n v="4"/>
    <x v="1"/>
    <x v="1"/>
    <x v="0"/>
  </r>
  <r>
    <s v="STAFF-723"/>
    <n v="50"/>
    <x v="1"/>
    <x v="0"/>
    <x v="0"/>
    <n v="6796"/>
    <x v="9"/>
    <n v="3"/>
    <x v="0"/>
    <x v="0"/>
    <x v="0"/>
  </r>
  <r>
    <s v="STAFF-724"/>
    <n v="38"/>
    <x v="0"/>
    <x v="1"/>
    <x v="4"/>
    <n v="7625"/>
    <x v="7"/>
    <n v="4"/>
    <x v="1"/>
    <x v="1"/>
    <x v="2"/>
  </r>
  <r>
    <s v="STAFF-725"/>
    <n v="27"/>
    <x v="0"/>
    <x v="1"/>
    <x v="3"/>
    <n v="7412"/>
    <x v="7"/>
    <n v="1"/>
    <x v="1"/>
    <x v="1"/>
    <x v="2"/>
  </r>
  <r>
    <s v="STAFF-727"/>
    <n v="32"/>
    <x v="0"/>
    <x v="1"/>
    <x v="7"/>
    <n v="11159"/>
    <x v="5"/>
    <n v="4"/>
    <x v="1"/>
    <x v="1"/>
    <x v="2"/>
  </r>
  <r>
    <s v="STAFF-728"/>
    <n v="47"/>
    <x v="1"/>
    <x v="0"/>
    <x v="0"/>
    <n v="4960"/>
    <x v="5"/>
    <n v="1"/>
    <x v="1"/>
    <x v="1"/>
    <x v="0"/>
  </r>
  <r>
    <s v="STAFF-729"/>
    <n v="40"/>
    <x v="1"/>
    <x v="0"/>
    <x v="0"/>
    <n v="10475"/>
    <x v="29"/>
    <n v="1"/>
    <x v="0"/>
    <x v="1"/>
    <x v="2"/>
  </r>
  <r>
    <s v="STAFF-730"/>
    <n v="53"/>
    <x v="1"/>
    <x v="1"/>
    <x v="7"/>
    <n v="14814"/>
    <x v="8"/>
    <n v="3"/>
    <x v="1"/>
    <x v="1"/>
    <x v="2"/>
  </r>
  <r>
    <s v="STAFF-731"/>
    <n v="41"/>
    <x v="1"/>
    <x v="2"/>
    <x v="5"/>
    <n v="19141"/>
    <x v="17"/>
    <n v="4"/>
    <x v="1"/>
    <x v="1"/>
    <x v="2"/>
  </r>
  <r>
    <s v="STAFF-732"/>
    <n v="60"/>
    <x v="1"/>
    <x v="0"/>
    <x v="0"/>
    <n v="5405"/>
    <x v="4"/>
    <n v="1"/>
    <x v="1"/>
    <x v="1"/>
    <x v="0"/>
  </r>
  <r>
    <s v="STAFF-733"/>
    <n v="27"/>
    <x v="1"/>
    <x v="1"/>
    <x v="3"/>
    <n v="8793"/>
    <x v="7"/>
    <n v="1"/>
    <x v="1"/>
    <x v="1"/>
    <x v="2"/>
  </r>
  <r>
    <s v="STAFF-734"/>
    <n v="41"/>
    <x v="1"/>
    <x v="2"/>
    <x v="5"/>
    <n v="19189"/>
    <x v="14"/>
    <n v="3"/>
    <x v="1"/>
    <x v="1"/>
    <x v="2"/>
  </r>
  <r>
    <s v="STAFF-738"/>
    <n v="50"/>
    <x v="1"/>
    <x v="0"/>
    <x v="6"/>
    <n v="3875"/>
    <x v="4"/>
    <n v="2"/>
    <x v="1"/>
    <x v="1"/>
    <x v="0"/>
  </r>
  <r>
    <s v="STAFF-741"/>
    <n v="28"/>
    <x v="0"/>
    <x v="1"/>
    <x v="1"/>
    <n v="2216"/>
    <x v="5"/>
    <n v="2"/>
    <x v="0"/>
    <x v="0"/>
    <x v="1"/>
  </r>
  <r>
    <s v="STAFF-742"/>
    <n v="36"/>
    <x v="0"/>
    <x v="1"/>
    <x v="7"/>
    <n v="11713"/>
    <x v="3"/>
    <n v="1"/>
    <x v="1"/>
    <x v="1"/>
    <x v="2"/>
  </r>
  <r>
    <s v="STAFF-743"/>
    <n v="38"/>
    <x v="0"/>
    <x v="1"/>
    <x v="3"/>
    <n v="7861"/>
    <x v="6"/>
    <n v="3"/>
    <x v="0"/>
    <x v="1"/>
    <x v="2"/>
  </r>
  <r>
    <s v="STAFF-744"/>
    <n v="44"/>
    <x v="1"/>
    <x v="1"/>
    <x v="2"/>
    <n v="3708"/>
    <x v="8"/>
    <n v="3"/>
    <x v="1"/>
    <x v="1"/>
    <x v="0"/>
  </r>
  <r>
    <s v="STAFF-746"/>
    <n v="47"/>
    <x v="0"/>
    <x v="0"/>
    <x v="0"/>
    <n v="13770"/>
    <x v="14"/>
    <n v="3"/>
    <x v="0"/>
    <x v="1"/>
    <x v="2"/>
  </r>
  <r>
    <s v="STAFF-747"/>
    <n v="30"/>
    <x v="1"/>
    <x v="0"/>
    <x v="0"/>
    <n v="5304"/>
    <x v="3"/>
    <n v="4"/>
    <x v="1"/>
    <x v="1"/>
    <x v="0"/>
  </r>
  <r>
    <s v="STAFF-749"/>
    <n v="29"/>
    <x v="1"/>
    <x v="0"/>
    <x v="6"/>
    <n v="2642"/>
    <x v="6"/>
    <n v="3"/>
    <x v="1"/>
    <x v="1"/>
    <x v="1"/>
  </r>
  <r>
    <s v="STAFF-752"/>
    <n v="42"/>
    <x v="1"/>
    <x v="1"/>
    <x v="1"/>
    <n v="2759"/>
    <x v="4"/>
    <n v="3"/>
    <x v="0"/>
    <x v="0"/>
    <x v="1"/>
  </r>
  <r>
    <s v="STAFF-754"/>
    <n v="43"/>
    <x v="1"/>
    <x v="0"/>
    <x v="0"/>
    <n v="6804"/>
    <x v="4"/>
    <n v="4"/>
    <x v="1"/>
    <x v="1"/>
    <x v="0"/>
  </r>
  <r>
    <s v="STAFF-757"/>
    <n v="34"/>
    <x v="0"/>
    <x v="1"/>
    <x v="4"/>
    <n v="6142"/>
    <x v="8"/>
    <n v="3"/>
    <x v="1"/>
    <x v="1"/>
    <x v="0"/>
  </r>
  <r>
    <s v="STAFF-758"/>
    <n v="23"/>
    <x v="1"/>
    <x v="1"/>
    <x v="2"/>
    <n v="2500"/>
    <x v="9"/>
    <n v="1"/>
    <x v="1"/>
    <x v="1"/>
    <x v="1"/>
  </r>
  <r>
    <s v="STAFF-760"/>
    <n v="39"/>
    <x v="0"/>
    <x v="2"/>
    <x v="8"/>
    <n v="6389"/>
    <x v="3"/>
    <n v="2"/>
    <x v="1"/>
    <x v="1"/>
    <x v="0"/>
  </r>
  <r>
    <s v="STAFF-762"/>
    <n v="56"/>
    <x v="1"/>
    <x v="1"/>
    <x v="4"/>
    <n v="11103"/>
    <x v="1"/>
    <n v="4"/>
    <x v="1"/>
    <x v="1"/>
    <x v="2"/>
  </r>
  <r>
    <s v="STAFF-763"/>
    <n v="40"/>
    <x v="0"/>
    <x v="1"/>
    <x v="1"/>
    <n v="2342"/>
    <x v="9"/>
    <n v="4"/>
    <x v="0"/>
    <x v="1"/>
    <x v="1"/>
  </r>
  <r>
    <s v="STAFF-764"/>
    <n v="27"/>
    <x v="0"/>
    <x v="1"/>
    <x v="4"/>
    <n v="6811"/>
    <x v="5"/>
    <n v="1"/>
    <x v="1"/>
    <x v="1"/>
    <x v="0"/>
  </r>
  <r>
    <s v="STAFF-766"/>
    <n v="29"/>
    <x v="1"/>
    <x v="0"/>
    <x v="6"/>
    <n v="2297"/>
    <x v="4"/>
    <n v="2"/>
    <x v="1"/>
    <x v="1"/>
    <x v="1"/>
  </r>
  <r>
    <s v="STAFF-769"/>
    <n v="53"/>
    <x v="1"/>
    <x v="1"/>
    <x v="2"/>
    <n v="2450"/>
    <x v="4"/>
    <n v="4"/>
    <x v="1"/>
    <x v="1"/>
    <x v="1"/>
  </r>
  <r>
    <s v="STAFF-771"/>
    <n v="35"/>
    <x v="0"/>
    <x v="1"/>
    <x v="4"/>
    <n v="5093"/>
    <x v="6"/>
    <n v="1"/>
    <x v="1"/>
    <x v="1"/>
    <x v="0"/>
  </r>
  <r>
    <s v="STAFF-772"/>
    <n v="32"/>
    <x v="1"/>
    <x v="1"/>
    <x v="2"/>
    <n v="5309"/>
    <x v="1"/>
    <n v="4"/>
    <x v="1"/>
    <x v="1"/>
    <x v="0"/>
  </r>
  <r>
    <s v="STAFF-773"/>
    <n v="38"/>
    <x v="1"/>
    <x v="1"/>
    <x v="1"/>
    <n v="3057"/>
    <x v="6"/>
    <n v="3"/>
    <x v="0"/>
    <x v="1"/>
    <x v="0"/>
  </r>
  <r>
    <s v="STAFF-775"/>
    <n v="34"/>
    <x v="0"/>
    <x v="1"/>
    <x v="3"/>
    <n v="5121"/>
    <x v="2"/>
    <n v="1"/>
    <x v="1"/>
    <x v="1"/>
    <x v="0"/>
  </r>
  <r>
    <s v="STAFF-776"/>
    <n v="52"/>
    <x v="1"/>
    <x v="0"/>
    <x v="5"/>
    <n v="16856"/>
    <x v="33"/>
    <n v="1"/>
    <x v="1"/>
    <x v="1"/>
    <x v="2"/>
  </r>
  <r>
    <s v="STAFF-780"/>
    <n v="33"/>
    <x v="1"/>
    <x v="1"/>
    <x v="1"/>
    <n v="2686"/>
    <x v="1"/>
    <n v="4"/>
    <x v="0"/>
    <x v="0"/>
    <x v="1"/>
  </r>
  <r>
    <s v="STAFF-781"/>
    <n v="25"/>
    <x v="0"/>
    <x v="0"/>
    <x v="0"/>
    <n v="6180"/>
    <x v="0"/>
    <n v="4"/>
    <x v="1"/>
    <x v="1"/>
    <x v="0"/>
  </r>
  <r>
    <s v="STAFF-783"/>
    <n v="45"/>
    <x v="1"/>
    <x v="0"/>
    <x v="6"/>
    <n v="6632"/>
    <x v="3"/>
    <n v="3"/>
    <x v="1"/>
    <x v="1"/>
    <x v="0"/>
  </r>
  <r>
    <s v="STAFF-784"/>
    <n v="23"/>
    <x v="1"/>
    <x v="1"/>
    <x v="1"/>
    <n v="3505"/>
    <x v="4"/>
    <n v="3"/>
    <x v="1"/>
    <x v="1"/>
    <x v="0"/>
  </r>
  <r>
    <s v="STAFF-785"/>
    <n v="47"/>
    <x v="0"/>
    <x v="0"/>
    <x v="0"/>
    <n v="6397"/>
    <x v="8"/>
    <n v="3"/>
    <x v="0"/>
    <x v="0"/>
    <x v="0"/>
  </r>
  <r>
    <s v="STAFF-786"/>
    <n v="34"/>
    <x v="1"/>
    <x v="0"/>
    <x v="0"/>
    <n v="6274"/>
    <x v="0"/>
    <n v="4"/>
    <x v="1"/>
    <x v="1"/>
    <x v="0"/>
  </r>
  <r>
    <s v="STAFF-787"/>
    <n v="55"/>
    <x v="1"/>
    <x v="1"/>
    <x v="5"/>
    <n v="19859"/>
    <x v="8"/>
    <n v="1"/>
    <x v="0"/>
    <x v="0"/>
    <x v="2"/>
  </r>
  <r>
    <s v="STAFF-789"/>
    <n v="36"/>
    <x v="1"/>
    <x v="0"/>
    <x v="0"/>
    <n v="7587"/>
    <x v="1"/>
    <n v="1"/>
    <x v="1"/>
    <x v="1"/>
    <x v="2"/>
  </r>
  <r>
    <s v="STAFF-791"/>
    <n v="52"/>
    <x v="1"/>
    <x v="1"/>
    <x v="1"/>
    <n v="4258"/>
    <x v="9"/>
    <n v="4"/>
    <x v="1"/>
    <x v="1"/>
    <x v="0"/>
  </r>
  <r>
    <s v="STAFF-792"/>
    <n v="26"/>
    <x v="0"/>
    <x v="1"/>
    <x v="2"/>
    <n v="4364"/>
    <x v="4"/>
    <n v="4"/>
    <x v="1"/>
    <x v="1"/>
    <x v="0"/>
  </r>
  <r>
    <s v="STAFF-793"/>
    <n v="29"/>
    <x v="0"/>
    <x v="1"/>
    <x v="4"/>
    <n v="4335"/>
    <x v="3"/>
    <n v="3"/>
    <x v="1"/>
    <x v="1"/>
    <x v="0"/>
  </r>
  <r>
    <s v="STAFF-796"/>
    <n v="26"/>
    <x v="1"/>
    <x v="0"/>
    <x v="0"/>
    <n v="5326"/>
    <x v="9"/>
    <n v="1"/>
    <x v="1"/>
    <x v="0"/>
    <x v="0"/>
  </r>
  <r>
    <s v="STAFF-797"/>
    <n v="34"/>
    <x v="0"/>
    <x v="1"/>
    <x v="1"/>
    <n v="3280"/>
    <x v="9"/>
    <n v="4"/>
    <x v="1"/>
    <x v="1"/>
    <x v="0"/>
  </r>
  <r>
    <s v="STAFF-799"/>
    <n v="54"/>
    <x v="0"/>
    <x v="1"/>
    <x v="3"/>
    <n v="5485"/>
    <x v="8"/>
    <n v="1"/>
    <x v="0"/>
    <x v="1"/>
    <x v="0"/>
  </r>
  <r>
    <s v="STAFF-800"/>
    <n v="27"/>
    <x v="1"/>
    <x v="0"/>
    <x v="0"/>
    <n v="4342"/>
    <x v="9"/>
    <n v="4"/>
    <x v="1"/>
    <x v="1"/>
    <x v="0"/>
  </r>
  <r>
    <s v="STAFF-802"/>
    <n v="37"/>
    <x v="0"/>
    <x v="1"/>
    <x v="1"/>
    <n v="2782"/>
    <x v="8"/>
    <n v="1"/>
    <x v="0"/>
    <x v="1"/>
    <x v="1"/>
  </r>
  <r>
    <s v="STAFF-803"/>
    <n v="38"/>
    <x v="0"/>
    <x v="1"/>
    <x v="3"/>
    <n v="5980"/>
    <x v="15"/>
    <n v="1"/>
    <x v="0"/>
    <x v="1"/>
    <x v="0"/>
  </r>
  <r>
    <s v="STAFF-804"/>
    <n v="34"/>
    <x v="0"/>
    <x v="1"/>
    <x v="1"/>
    <n v="4381"/>
    <x v="0"/>
    <n v="1"/>
    <x v="1"/>
    <x v="1"/>
    <x v="0"/>
  </r>
  <r>
    <s v="STAFF-805"/>
    <n v="35"/>
    <x v="0"/>
    <x v="0"/>
    <x v="6"/>
    <n v="2572"/>
    <x v="11"/>
    <n v="4"/>
    <x v="1"/>
    <x v="1"/>
    <x v="1"/>
  </r>
  <r>
    <s v="STAFF-806"/>
    <n v="30"/>
    <x v="1"/>
    <x v="1"/>
    <x v="2"/>
    <n v="3833"/>
    <x v="4"/>
    <n v="3"/>
    <x v="1"/>
    <x v="1"/>
    <x v="0"/>
  </r>
  <r>
    <s v="STAFF-807"/>
    <n v="40"/>
    <x v="0"/>
    <x v="1"/>
    <x v="4"/>
    <n v="4244"/>
    <x v="3"/>
    <n v="2"/>
    <x v="1"/>
    <x v="1"/>
    <x v="0"/>
  </r>
  <r>
    <s v="STAFF-808"/>
    <n v="34"/>
    <x v="0"/>
    <x v="0"/>
    <x v="0"/>
    <n v="6500"/>
    <x v="11"/>
    <n v="1"/>
    <x v="1"/>
    <x v="1"/>
    <x v="0"/>
  </r>
  <r>
    <s v="STAFF-809"/>
    <n v="42"/>
    <x v="1"/>
    <x v="1"/>
    <x v="5"/>
    <n v="18430"/>
    <x v="25"/>
    <n v="4"/>
    <x v="1"/>
    <x v="1"/>
    <x v="2"/>
  </r>
  <r>
    <s v="STAFF-811"/>
    <n v="23"/>
    <x v="1"/>
    <x v="1"/>
    <x v="2"/>
    <n v="1601"/>
    <x v="2"/>
    <n v="1"/>
    <x v="0"/>
    <x v="0"/>
    <x v="1"/>
  </r>
  <r>
    <s v="STAFF-812"/>
    <n v="24"/>
    <x v="1"/>
    <x v="1"/>
    <x v="2"/>
    <n v="2694"/>
    <x v="6"/>
    <n v="2"/>
    <x v="1"/>
    <x v="1"/>
    <x v="1"/>
  </r>
  <r>
    <s v="STAFF-813"/>
    <n v="52"/>
    <x v="0"/>
    <x v="1"/>
    <x v="2"/>
    <n v="3149"/>
    <x v="8"/>
    <n v="3"/>
    <x v="1"/>
    <x v="1"/>
    <x v="0"/>
  </r>
  <r>
    <s v="STAFF-815"/>
    <n v="50"/>
    <x v="1"/>
    <x v="1"/>
    <x v="7"/>
    <n v="17639"/>
    <x v="9"/>
    <n v="3"/>
    <x v="1"/>
    <x v="1"/>
    <x v="2"/>
  </r>
  <r>
    <s v="STAFF-816"/>
    <n v="29"/>
    <x v="0"/>
    <x v="1"/>
    <x v="2"/>
    <n v="2319"/>
    <x v="6"/>
    <n v="1"/>
    <x v="0"/>
    <x v="0"/>
    <x v="1"/>
  </r>
  <r>
    <s v="STAFF-817"/>
    <n v="33"/>
    <x v="1"/>
    <x v="1"/>
    <x v="7"/>
    <n v="11691"/>
    <x v="20"/>
    <n v="3"/>
    <x v="1"/>
    <x v="1"/>
    <x v="2"/>
  </r>
  <r>
    <s v="STAFF-819"/>
    <n v="33"/>
    <x v="0"/>
    <x v="0"/>
    <x v="0"/>
    <n v="5324"/>
    <x v="11"/>
    <n v="1"/>
    <x v="1"/>
    <x v="0"/>
    <x v="0"/>
  </r>
  <r>
    <s v="STAFF-820"/>
    <n v="47"/>
    <x v="0"/>
    <x v="1"/>
    <x v="5"/>
    <n v="16752"/>
    <x v="34"/>
    <n v="4"/>
    <x v="0"/>
    <x v="1"/>
    <x v="2"/>
  </r>
  <r>
    <s v="STAFF-823"/>
    <n v="36"/>
    <x v="0"/>
    <x v="1"/>
    <x v="3"/>
    <n v="5228"/>
    <x v="7"/>
    <n v="2"/>
    <x v="1"/>
    <x v="1"/>
    <x v="0"/>
  </r>
  <r>
    <s v="STAFF-824"/>
    <n v="29"/>
    <x v="1"/>
    <x v="1"/>
    <x v="1"/>
    <n v="2700"/>
    <x v="1"/>
    <n v="3"/>
    <x v="1"/>
    <x v="1"/>
    <x v="1"/>
  </r>
  <r>
    <s v="STAFF-825"/>
    <n v="58"/>
    <x v="1"/>
    <x v="1"/>
    <x v="7"/>
    <n v="19246"/>
    <x v="31"/>
    <n v="2"/>
    <x v="0"/>
    <x v="0"/>
    <x v="2"/>
  </r>
  <r>
    <s v="STAFF-826"/>
    <n v="35"/>
    <x v="0"/>
    <x v="1"/>
    <x v="1"/>
    <n v="2506"/>
    <x v="4"/>
    <n v="3"/>
    <x v="1"/>
    <x v="1"/>
    <x v="1"/>
  </r>
  <r>
    <s v="STAFF-827"/>
    <n v="42"/>
    <x v="0"/>
    <x v="1"/>
    <x v="3"/>
    <n v="6062"/>
    <x v="9"/>
    <n v="4"/>
    <x v="0"/>
    <x v="1"/>
    <x v="0"/>
  </r>
  <r>
    <s v="STAFF-828"/>
    <n v="28"/>
    <x v="1"/>
    <x v="1"/>
    <x v="1"/>
    <n v="4382"/>
    <x v="4"/>
    <n v="3"/>
    <x v="1"/>
    <x v="0"/>
    <x v="0"/>
  </r>
  <r>
    <s v="STAFF-829"/>
    <n v="36"/>
    <x v="1"/>
    <x v="2"/>
    <x v="8"/>
    <n v="2143"/>
    <x v="8"/>
    <n v="2"/>
    <x v="1"/>
    <x v="1"/>
    <x v="1"/>
  </r>
  <r>
    <s v="STAFF-830"/>
    <n v="32"/>
    <x v="0"/>
    <x v="1"/>
    <x v="3"/>
    <n v="6162"/>
    <x v="13"/>
    <n v="3"/>
    <x v="1"/>
    <x v="1"/>
    <x v="0"/>
  </r>
  <r>
    <s v="STAFF-832"/>
    <n v="40"/>
    <x v="1"/>
    <x v="1"/>
    <x v="2"/>
    <n v="5094"/>
    <x v="6"/>
    <n v="3"/>
    <x v="1"/>
    <x v="1"/>
    <x v="0"/>
  </r>
  <r>
    <s v="STAFF-833"/>
    <n v="30"/>
    <x v="0"/>
    <x v="1"/>
    <x v="3"/>
    <n v="6877"/>
    <x v="2"/>
    <n v="4"/>
    <x v="0"/>
    <x v="1"/>
    <x v="0"/>
  </r>
  <r>
    <s v="STAFF-834"/>
    <n v="45"/>
    <x v="0"/>
    <x v="1"/>
    <x v="1"/>
    <n v="2274"/>
    <x v="6"/>
    <n v="3"/>
    <x v="1"/>
    <x v="1"/>
    <x v="1"/>
  </r>
  <r>
    <s v="STAFF-836"/>
    <n v="42"/>
    <x v="1"/>
    <x v="1"/>
    <x v="3"/>
    <n v="4434"/>
    <x v="7"/>
    <n v="2"/>
    <x v="1"/>
    <x v="1"/>
    <x v="0"/>
  </r>
  <r>
    <s v="STAFF-837"/>
    <n v="38"/>
    <x v="1"/>
    <x v="1"/>
    <x v="4"/>
    <n v="6288"/>
    <x v="9"/>
    <n v="1"/>
    <x v="1"/>
    <x v="1"/>
    <x v="0"/>
  </r>
  <r>
    <s v="STAFF-838"/>
    <n v="34"/>
    <x v="0"/>
    <x v="1"/>
    <x v="1"/>
    <n v="2553"/>
    <x v="8"/>
    <n v="4"/>
    <x v="1"/>
    <x v="1"/>
    <x v="1"/>
  </r>
  <r>
    <s v="STAFF-840"/>
    <n v="49"/>
    <x v="0"/>
    <x v="0"/>
    <x v="0"/>
    <n v="7654"/>
    <x v="7"/>
    <n v="4"/>
    <x v="1"/>
    <x v="0"/>
    <x v="2"/>
  </r>
  <r>
    <s v="STAFF-842"/>
    <n v="55"/>
    <x v="1"/>
    <x v="0"/>
    <x v="0"/>
    <n v="5160"/>
    <x v="7"/>
    <n v="4"/>
    <x v="1"/>
    <x v="0"/>
    <x v="0"/>
  </r>
  <r>
    <s v="STAFF-843"/>
    <n v="43"/>
    <x v="1"/>
    <x v="1"/>
    <x v="7"/>
    <n v="17159"/>
    <x v="9"/>
    <n v="1"/>
    <x v="1"/>
    <x v="1"/>
    <x v="2"/>
  </r>
  <r>
    <s v="STAFF-844"/>
    <n v="27"/>
    <x v="1"/>
    <x v="1"/>
    <x v="7"/>
    <n v="12808"/>
    <x v="7"/>
    <n v="4"/>
    <x v="0"/>
    <x v="1"/>
    <x v="2"/>
  </r>
  <r>
    <s v="STAFF-845"/>
    <n v="35"/>
    <x v="1"/>
    <x v="1"/>
    <x v="3"/>
    <n v="10221"/>
    <x v="3"/>
    <n v="3"/>
    <x v="1"/>
    <x v="1"/>
    <x v="2"/>
  </r>
  <r>
    <s v="STAFF-846"/>
    <n v="28"/>
    <x v="0"/>
    <x v="0"/>
    <x v="0"/>
    <n v="4779"/>
    <x v="3"/>
    <n v="2"/>
    <x v="0"/>
    <x v="1"/>
    <x v="0"/>
  </r>
  <r>
    <s v="STAFF-847"/>
    <n v="34"/>
    <x v="1"/>
    <x v="2"/>
    <x v="8"/>
    <n v="3737"/>
    <x v="11"/>
    <n v="4"/>
    <x v="1"/>
    <x v="1"/>
    <x v="0"/>
  </r>
  <r>
    <s v="STAFF-848"/>
    <n v="26"/>
    <x v="0"/>
    <x v="1"/>
    <x v="1"/>
    <n v="2366"/>
    <x v="3"/>
    <n v="3"/>
    <x v="0"/>
    <x v="0"/>
    <x v="1"/>
  </r>
  <r>
    <s v="STAFF-850"/>
    <n v="27"/>
    <x v="1"/>
    <x v="1"/>
    <x v="1"/>
    <n v="1706"/>
    <x v="2"/>
    <n v="4"/>
    <x v="1"/>
    <x v="1"/>
    <x v="1"/>
  </r>
  <r>
    <s v="STAFF-851"/>
    <n v="51"/>
    <x v="0"/>
    <x v="0"/>
    <x v="5"/>
    <n v="16307"/>
    <x v="23"/>
    <n v="3"/>
    <x v="1"/>
    <x v="1"/>
    <x v="2"/>
  </r>
  <r>
    <s v="STAFF-852"/>
    <n v="44"/>
    <x v="1"/>
    <x v="1"/>
    <x v="4"/>
    <n v="5933"/>
    <x v="8"/>
    <n v="2"/>
    <x v="1"/>
    <x v="1"/>
    <x v="0"/>
  </r>
  <r>
    <s v="STAFF-854"/>
    <n v="25"/>
    <x v="1"/>
    <x v="1"/>
    <x v="1"/>
    <n v="3424"/>
    <x v="9"/>
    <n v="1"/>
    <x v="1"/>
    <x v="1"/>
    <x v="0"/>
  </r>
  <r>
    <s v="STAFF-855"/>
    <n v="33"/>
    <x v="1"/>
    <x v="0"/>
    <x v="0"/>
    <n v="4037"/>
    <x v="7"/>
    <n v="1"/>
    <x v="1"/>
    <x v="1"/>
    <x v="0"/>
  </r>
  <r>
    <s v="STAFF-856"/>
    <n v="35"/>
    <x v="0"/>
    <x v="1"/>
    <x v="1"/>
    <n v="2559"/>
    <x v="0"/>
    <n v="1"/>
    <x v="1"/>
    <x v="1"/>
    <x v="1"/>
  </r>
  <r>
    <s v="STAFF-857"/>
    <n v="36"/>
    <x v="1"/>
    <x v="0"/>
    <x v="0"/>
    <n v="6201"/>
    <x v="29"/>
    <n v="4"/>
    <x v="0"/>
    <x v="1"/>
    <x v="0"/>
  </r>
  <r>
    <s v="STAFF-859"/>
    <n v="32"/>
    <x v="1"/>
    <x v="0"/>
    <x v="0"/>
    <n v="4403"/>
    <x v="8"/>
    <n v="4"/>
    <x v="1"/>
    <x v="1"/>
    <x v="0"/>
  </r>
  <r>
    <s v="STAFF-861"/>
    <n v="30"/>
    <x v="1"/>
    <x v="1"/>
    <x v="1"/>
    <n v="3761"/>
    <x v="8"/>
    <n v="4"/>
    <x v="1"/>
    <x v="1"/>
    <x v="0"/>
  </r>
  <r>
    <s v="STAFF-862"/>
    <n v="53"/>
    <x v="0"/>
    <x v="0"/>
    <x v="0"/>
    <n v="10934"/>
    <x v="8"/>
    <n v="4"/>
    <x v="0"/>
    <x v="1"/>
    <x v="2"/>
  </r>
  <r>
    <s v="STAFF-864"/>
    <n v="45"/>
    <x v="1"/>
    <x v="0"/>
    <x v="0"/>
    <n v="10761"/>
    <x v="8"/>
    <n v="1"/>
    <x v="0"/>
    <x v="1"/>
    <x v="2"/>
  </r>
  <r>
    <s v="STAFF-865"/>
    <n v="32"/>
    <x v="0"/>
    <x v="1"/>
    <x v="1"/>
    <n v="5175"/>
    <x v="8"/>
    <n v="3"/>
    <x v="1"/>
    <x v="1"/>
    <x v="0"/>
  </r>
  <r>
    <s v="STAFF-867"/>
    <n v="52"/>
    <x v="0"/>
    <x v="1"/>
    <x v="3"/>
    <n v="13826"/>
    <x v="7"/>
    <n v="4"/>
    <x v="1"/>
    <x v="1"/>
    <x v="2"/>
  </r>
  <r>
    <s v="STAFF-868"/>
    <n v="37"/>
    <x v="1"/>
    <x v="0"/>
    <x v="0"/>
    <n v="6334"/>
    <x v="6"/>
    <n v="3"/>
    <x v="1"/>
    <x v="1"/>
    <x v="0"/>
  </r>
  <r>
    <s v="STAFF-869"/>
    <n v="28"/>
    <x v="1"/>
    <x v="2"/>
    <x v="8"/>
    <n v="4936"/>
    <x v="8"/>
    <n v="4"/>
    <x v="1"/>
    <x v="1"/>
    <x v="0"/>
  </r>
  <r>
    <s v="STAFF-872"/>
    <n v="22"/>
    <x v="1"/>
    <x v="1"/>
    <x v="3"/>
    <n v="4775"/>
    <x v="4"/>
    <n v="4"/>
    <x v="1"/>
    <x v="1"/>
    <x v="0"/>
  </r>
  <r>
    <s v="STAFF-874"/>
    <n v="44"/>
    <x v="1"/>
    <x v="1"/>
    <x v="2"/>
    <n v="2818"/>
    <x v="11"/>
    <n v="4"/>
    <x v="0"/>
    <x v="1"/>
    <x v="1"/>
  </r>
  <r>
    <s v="STAFF-875"/>
    <n v="42"/>
    <x v="1"/>
    <x v="1"/>
    <x v="1"/>
    <n v="2515"/>
    <x v="4"/>
    <n v="4"/>
    <x v="0"/>
    <x v="1"/>
    <x v="1"/>
  </r>
  <r>
    <s v="STAFF-878"/>
    <n v="36"/>
    <x v="1"/>
    <x v="2"/>
    <x v="8"/>
    <n v="2342"/>
    <x v="8"/>
    <n v="1"/>
    <x v="1"/>
    <x v="1"/>
    <x v="1"/>
  </r>
  <r>
    <s v="STAFF-879"/>
    <n v="25"/>
    <x v="1"/>
    <x v="0"/>
    <x v="0"/>
    <n v="4194"/>
    <x v="8"/>
    <n v="1"/>
    <x v="0"/>
    <x v="1"/>
    <x v="0"/>
  </r>
  <r>
    <s v="STAFF-880"/>
    <n v="35"/>
    <x v="0"/>
    <x v="1"/>
    <x v="3"/>
    <n v="10685"/>
    <x v="18"/>
    <n v="3"/>
    <x v="0"/>
    <x v="1"/>
    <x v="2"/>
  </r>
  <r>
    <s v="STAFF-881"/>
    <n v="35"/>
    <x v="0"/>
    <x v="1"/>
    <x v="1"/>
    <n v="2022"/>
    <x v="1"/>
    <n v="2"/>
    <x v="0"/>
    <x v="0"/>
    <x v="1"/>
  </r>
  <r>
    <s v="STAFF-882"/>
    <n v="32"/>
    <x v="1"/>
    <x v="1"/>
    <x v="2"/>
    <n v="2314"/>
    <x v="11"/>
    <n v="4"/>
    <x v="1"/>
    <x v="1"/>
    <x v="1"/>
  </r>
  <r>
    <s v="STAFF-885"/>
    <n v="25"/>
    <x v="1"/>
    <x v="0"/>
    <x v="0"/>
    <n v="4256"/>
    <x v="8"/>
    <n v="1"/>
    <x v="1"/>
    <x v="1"/>
    <x v="0"/>
  </r>
  <r>
    <s v="STAFF-887"/>
    <n v="49"/>
    <x v="0"/>
    <x v="1"/>
    <x v="1"/>
    <n v="3580"/>
    <x v="9"/>
    <n v="1"/>
    <x v="1"/>
    <x v="1"/>
    <x v="0"/>
  </r>
  <r>
    <s v="STAFF-888"/>
    <n v="24"/>
    <x v="1"/>
    <x v="1"/>
    <x v="2"/>
    <n v="3162"/>
    <x v="8"/>
    <n v="4"/>
    <x v="1"/>
    <x v="1"/>
    <x v="0"/>
  </r>
  <r>
    <s v="STAFF-889"/>
    <n v="32"/>
    <x v="1"/>
    <x v="0"/>
    <x v="0"/>
    <n v="6524"/>
    <x v="1"/>
    <n v="2"/>
    <x v="1"/>
    <x v="1"/>
    <x v="0"/>
  </r>
  <r>
    <s v="STAFF-893"/>
    <n v="38"/>
    <x v="1"/>
    <x v="0"/>
    <x v="6"/>
    <n v="2899"/>
    <x v="4"/>
    <n v="2"/>
    <x v="1"/>
    <x v="1"/>
    <x v="1"/>
  </r>
  <r>
    <s v="STAFF-894"/>
    <n v="42"/>
    <x v="0"/>
    <x v="1"/>
    <x v="2"/>
    <n v="5231"/>
    <x v="8"/>
    <n v="4"/>
    <x v="0"/>
    <x v="1"/>
    <x v="0"/>
  </r>
  <r>
    <s v="STAFF-895"/>
    <n v="31"/>
    <x v="1"/>
    <x v="1"/>
    <x v="1"/>
    <n v="2356"/>
    <x v="0"/>
    <n v="4"/>
    <x v="0"/>
    <x v="1"/>
    <x v="1"/>
  </r>
  <r>
    <s v="STAFF-896"/>
    <n v="29"/>
    <x v="0"/>
    <x v="0"/>
    <x v="6"/>
    <n v="2800"/>
    <x v="11"/>
    <n v="3"/>
    <x v="0"/>
    <x v="0"/>
    <x v="1"/>
  </r>
  <r>
    <s v="STAFF-897"/>
    <n v="53"/>
    <x v="1"/>
    <x v="0"/>
    <x v="0"/>
    <n v="11836"/>
    <x v="4"/>
    <n v="4"/>
    <x v="1"/>
    <x v="1"/>
    <x v="2"/>
  </r>
  <r>
    <s v="STAFF-899"/>
    <n v="35"/>
    <x v="1"/>
    <x v="1"/>
    <x v="3"/>
    <n v="10903"/>
    <x v="20"/>
    <n v="2"/>
    <x v="1"/>
    <x v="1"/>
    <x v="2"/>
  </r>
  <r>
    <s v="STAFF-900"/>
    <n v="37"/>
    <x v="0"/>
    <x v="0"/>
    <x v="6"/>
    <n v="2973"/>
    <x v="8"/>
    <n v="4"/>
    <x v="1"/>
    <x v="1"/>
    <x v="1"/>
  </r>
  <r>
    <s v="STAFF-901"/>
    <n v="53"/>
    <x v="0"/>
    <x v="1"/>
    <x v="7"/>
    <n v="14275"/>
    <x v="12"/>
    <n v="4"/>
    <x v="1"/>
    <x v="1"/>
    <x v="2"/>
  </r>
  <r>
    <s v="STAFF-902"/>
    <n v="43"/>
    <x v="0"/>
    <x v="1"/>
    <x v="4"/>
    <n v="5562"/>
    <x v="8"/>
    <n v="4"/>
    <x v="1"/>
    <x v="1"/>
    <x v="0"/>
  </r>
  <r>
    <s v="STAFF-903"/>
    <n v="47"/>
    <x v="0"/>
    <x v="0"/>
    <x v="0"/>
    <n v="4537"/>
    <x v="5"/>
    <n v="4"/>
    <x v="0"/>
    <x v="1"/>
    <x v="0"/>
  </r>
  <r>
    <s v="STAFF-904"/>
    <n v="37"/>
    <x v="1"/>
    <x v="0"/>
    <x v="0"/>
    <n v="7642"/>
    <x v="1"/>
    <n v="2"/>
    <x v="0"/>
    <x v="1"/>
    <x v="2"/>
  </r>
  <r>
    <s v="STAFF-905"/>
    <n v="50"/>
    <x v="1"/>
    <x v="1"/>
    <x v="5"/>
    <n v="17924"/>
    <x v="31"/>
    <n v="1"/>
    <x v="1"/>
    <x v="1"/>
    <x v="2"/>
  </r>
  <r>
    <s v="STAFF-909"/>
    <n v="39"/>
    <x v="0"/>
    <x v="2"/>
    <x v="8"/>
    <n v="5204"/>
    <x v="8"/>
    <n v="4"/>
    <x v="1"/>
    <x v="1"/>
    <x v="0"/>
  </r>
  <r>
    <s v="STAFF-910"/>
    <n v="33"/>
    <x v="1"/>
    <x v="2"/>
    <x v="8"/>
    <n v="2277"/>
    <x v="9"/>
    <n v="2"/>
    <x v="0"/>
    <x v="1"/>
    <x v="1"/>
  </r>
  <r>
    <s v="STAFF-911"/>
    <n v="32"/>
    <x v="1"/>
    <x v="1"/>
    <x v="2"/>
    <n v="2795"/>
    <x v="6"/>
    <n v="4"/>
    <x v="0"/>
    <x v="0"/>
    <x v="1"/>
  </r>
  <r>
    <s v="STAFF-912"/>
    <n v="29"/>
    <x v="0"/>
    <x v="1"/>
    <x v="2"/>
    <n v="2532"/>
    <x v="9"/>
    <n v="4"/>
    <x v="1"/>
    <x v="1"/>
    <x v="1"/>
  </r>
  <r>
    <s v="STAFF-913"/>
    <n v="44"/>
    <x v="1"/>
    <x v="1"/>
    <x v="1"/>
    <n v="2559"/>
    <x v="3"/>
    <n v="1"/>
    <x v="0"/>
    <x v="1"/>
    <x v="1"/>
  </r>
  <r>
    <s v="STAFF-916"/>
    <n v="28"/>
    <x v="1"/>
    <x v="0"/>
    <x v="0"/>
    <n v="4908"/>
    <x v="9"/>
    <n v="4"/>
    <x v="1"/>
    <x v="1"/>
    <x v="0"/>
  </r>
  <r>
    <s v="STAFF-918"/>
    <n v="58"/>
    <x v="1"/>
    <x v="1"/>
    <x v="2"/>
    <n v="2380"/>
    <x v="6"/>
    <n v="4"/>
    <x v="0"/>
    <x v="0"/>
    <x v="1"/>
  </r>
  <r>
    <s v="STAFF-920"/>
    <n v="43"/>
    <x v="0"/>
    <x v="1"/>
    <x v="3"/>
    <n v="4765"/>
    <x v="6"/>
    <n v="2"/>
    <x v="1"/>
    <x v="1"/>
    <x v="0"/>
  </r>
  <r>
    <s v="STAFF-922"/>
    <n v="20"/>
    <x v="0"/>
    <x v="0"/>
    <x v="6"/>
    <n v="2044"/>
    <x v="4"/>
    <n v="3"/>
    <x v="1"/>
    <x v="0"/>
    <x v="1"/>
  </r>
  <r>
    <s v="STAFF-923"/>
    <n v="21"/>
    <x v="0"/>
    <x v="1"/>
    <x v="1"/>
    <n v="2693"/>
    <x v="6"/>
    <n v="4"/>
    <x v="1"/>
    <x v="0"/>
    <x v="1"/>
  </r>
  <r>
    <s v="STAFF-924"/>
    <n v="36"/>
    <x v="1"/>
    <x v="1"/>
    <x v="4"/>
    <n v="6586"/>
    <x v="22"/>
    <n v="4"/>
    <x v="0"/>
    <x v="1"/>
    <x v="0"/>
  </r>
  <r>
    <s v="STAFF-925"/>
    <n v="47"/>
    <x v="0"/>
    <x v="0"/>
    <x v="6"/>
    <n v="3294"/>
    <x v="11"/>
    <n v="4"/>
    <x v="0"/>
    <x v="1"/>
    <x v="0"/>
  </r>
  <r>
    <s v="STAFF-926"/>
    <n v="22"/>
    <x v="0"/>
    <x v="1"/>
    <x v="3"/>
    <n v="4171"/>
    <x v="11"/>
    <n v="3"/>
    <x v="0"/>
    <x v="0"/>
    <x v="0"/>
  </r>
  <r>
    <s v="STAFF-927"/>
    <n v="41"/>
    <x v="0"/>
    <x v="1"/>
    <x v="2"/>
    <n v="2778"/>
    <x v="5"/>
    <n v="4"/>
    <x v="0"/>
    <x v="0"/>
    <x v="1"/>
  </r>
  <r>
    <s v="STAFF-930"/>
    <n v="28"/>
    <x v="0"/>
    <x v="1"/>
    <x v="1"/>
    <n v="2377"/>
    <x v="4"/>
    <n v="3"/>
    <x v="1"/>
    <x v="1"/>
    <x v="1"/>
  </r>
  <r>
    <s v="STAFF-932"/>
    <n v="39"/>
    <x v="1"/>
    <x v="1"/>
    <x v="2"/>
    <n v="2404"/>
    <x v="4"/>
    <n v="1"/>
    <x v="0"/>
    <x v="0"/>
    <x v="1"/>
  </r>
  <r>
    <s v="STAFF-933"/>
    <n v="27"/>
    <x v="0"/>
    <x v="1"/>
    <x v="1"/>
    <n v="2318"/>
    <x v="6"/>
    <n v="3"/>
    <x v="1"/>
    <x v="1"/>
    <x v="1"/>
  </r>
  <r>
    <s v="STAFF-934"/>
    <n v="34"/>
    <x v="1"/>
    <x v="1"/>
    <x v="2"/>
    <n v="2008"/>
    <x v="6"/>
    <n v="2"/>
    <x v="1"/>
    <x v="1"/>
    <x v="1"/>
  </r>
  <r>
    <s v="STAFF-936"/>
    <n v="42"/>
    <x v="0"/>
    <x v="0"/>
    <x v="0"/>
    <n v="6244"/>
    <x v="8"/>
    <n v="3"/>
    <x v="1"/>
    <x v="1"/>
    <x v="0"/>
  </r>
  <r>
    <s v="STAFF-939"/>
    <n v="33"/>
    <x v="1"/>
    <x v="1"/>
    <x v="1"/>
    <n v="2799"/>
    <x v="11"/>
    <n v="1"/>
    <x v="0"/>
    <x v="1"/>
    <x v="1"/>
  </r>
  <r>
    <s v="STAFF-940"/>
    <n v="58"/>
    <x v="0"/>
    <x v="1"/>
    <x v="4"/>
    <n v="10552"/>
    <x v="0"/>
    <n v="2"/>
    <x v="0"/>
    <x v="1"/>
    <x v="2"/>
  </r>
  <r>
    <s v="STAFF-941"/>
    <n v="31"/>
    <x v="1"/>
    <x v="0"/>
    <x v="6"/>
    <n v="2329"/>
    <x v="5"/>
    <n v="3"/>
    <x v="1"/>
    <x v="1"/>
    <x v="1"/>
  </r>
  <r>
    <s v="STAFF-942"/>
    <n v="35"/>
    <x v="0"/>
    <x v="1"/>
    <x v="4"/>
    <n v="4014"/>
    <x v="1"/>
    <n v="4"/>
    <x v="0"/>
    <x v="1"/>
    <x v="0"/>
  </r>
  <r>
    <s v="STAFF-944"/>
    <n v="49"/>
    <x v="0"/>
    <x v="1"/>
    <x v="2"/>
    <n v="7403"/>
    <x v="34"/>
    <n v="2"/>
    <x v="1"/>
    <x v="1"/>
    <x v="2"/>
  </r>
  <r>
    <s v="STAFF-945"/>
    <n v="48"/>
    <x v="1"/>
    <x v="1"/>
    <x v="1"/>
    <n v="2259"/>
    <x v="2"/>
    <n v="3"/>
    <x v="1"/>
    <x v="1"/>
    <x v="1"/>
  </r>
  <r>
    <s v="STAFF-947"/>
    <n v="31"/>
    <x v="0"/>
    <x v="0"/>
    <x v="0"/>
    <n v="6932"/>
    <x v="7"/>
    <n v="3"/>
    <x v="1"/>
    <x v="1"/>
    <x v="0"/>
  </r>
  <r>
    <s v="STAFF-949"/>
    <n v="36"/>
    <x v="1"/>
    <x v="1"/>
    <x v="1"/>
    <n v="4678"/>
    <x v="0"/>
    <n v="4"/>
    <x v="1"/>
    <x v="1"/>
    <x v="0"/>
  </r>
  <r>
    <s v="STAFF-950"/>
    <n v="38"/>
    <x v="0"/>
    <x v="1"/>
    <x v="7"/>
    <n v="13582"/>
    <x v="15"/>
    <n v="1"/>
    <x v="1"/>
    <x v="1"/>
    <x v="2"/>
  </r>
  <r>
    <s v="STAFF-951"/>
    <n v="32"/>
    <x v="0"/>
    <x v="1"/>
    <x v="2"/>
    <n v="2332"/>
    <x v="11"/>
    <n v="2"/>
    <x v="1"/>
    <x v="1"/>
    <x v="1"/>
  </r>
  <r>
    <s v="STAFF-952"/>
    <n v="25"/>
    <x v="1"/>
    <x v="0"/>
    <x v="6"/>
    <n v="2413"/>
    <x v="6"/>
    <n v="2"/>
    <x v="0"/>
    <x v="0"/>
    <x v="1"/>
  </r>
  <r>
    <s v="STAFF-954"/>
    <n v="40"/>
    <x v="1"/>
    <x v="0"/>
    <x v="0"/>
    <n v="9705"/>
    <x v="6"/>
    <n v="2"/>
    <x v="1"/>
    <x v="1"/>
    <x v="2"/>
  </r>
  <r>
    <s v="STAFF-956"/>
    <n v="26"/>
    <x v="1"/>
    <x v="0"/>
    <x v="0"/>
    <n v="4294"/>
    <x v="5"/>
    <n v="1"/>
    <x v="1"/>
    <x v="1"/>
    <x v="0"/>
  </r>
  <r>
    <s v="STAFF-957"/>
    <n v="41"/>
    <x v="1"/>
    <x v="1"/>
    <x v="2"/>
    <n v="4721"/>
    <x v="29"/>
    <n v="1"/>
    <x v="0"/>
    <x v="1"/>
    <x v="0"/>
  </r>
  <r>
    <s v="STAFF-958"/>
    <n v="36"/>
    <x v="1"/>
    <x v="1"/>
    <x v="2"/>
    <n v="2519"/>
    <x v="19"/>
    <n v="3"/>
    <x v="1"/>
    <x v="1"/>
    <x v="1"/>
  </r>
  <r>
    <s v="STAFF-959"/>
    <n v="19"/>
    <x v="1"/>
    <x v="0"/>
    <x v="6"/>
    <n v="2121"/>
    <x v="6"/>
    <n v="2"/>
    <x v="0"/>
    <x v="0"/>
    <x v="1"/>
  </r>
  <r>
    <s v="STAFF-960"/>
    <n v="20"/>
    <x v="1"/>
    <x v="1"/>
    <x v="2"/>
    <n v="2973"/>
    <x v="6"/>
    <n v="1"/>
    <x v="1"/>
    <x v="0"/>
    <x v="1"/>
  </r>
  <r>
    <s v="STAFF-961"/>
    <n v="31"/>
    <x v="0"/>
    <x v="1"/>
    <x v="4"/>
    <n v="5855"/>
    <x v="7"/>
    <n v="4"/>
    <x v="0"/>
    <x v="1"/>
    <x v="0"/>
  </r>
  <r>
    <s v="STAFF-964"/>
    <n v="40"/>
    <x v="1"/>
    <x v="1"/>
    <x v="1"/>
    <n v="3617"/>
    <x v="6"/>
    <n v="2"/>
    <x v="0"/>
    <x v="1"/>
    <x v="0"/>
  </r>
  <r>
    <s v="STAFF-966"/>
    <n v="32"/>
    <x v="0"/>
    <x v="1"/>
    <x v="3"/>
    <n v="6725"/>
    <x v="3"/>
    <n v="1"/>
    <x v="1"/>
    <x v="1"/>
    <x v="0"/>
  </r>
  <r>
    <s v="STAFF-967"/>
    <n v="36"/>
    <x v="1"/>
    <x v="0"/>
    <x v="0"/>
    <n v="10325"/>
    <x v="22"/>
    <n v="4"/>
    <x v="0"/>
    <x v="0"/>
    <x v="2"/>
  </r>
  <r>
    <s v="STAFF-969"/>
    <n v="33"/>
    <x v="0"/>
    <x v="1"/>
    <x v="4"/>
    <n v="6949"/>
    <x v="8"/>
    <n v="4"/>
    <x v="1"/>
    <x v="1"/>
    <x v="0"/>
  </r>
  <r>
    <s v="STAFF-970"/>
    <n v="37"/>
    <x v="1"/>
    <x v="0"/>
    <x v="0"/>
    <n v="10609"/>
    <x v="13"/>
    <n v="3"/>
    <x v="1"/>
    <x v="0"/>
    <x v="2"/>
  </r>
  <r>
    <s v="STAFF-972"/>
    <n v="45"/>
    <x v="1"/>
    <x v="1"/>
    <x v="2"/>
    <n v="4447"/>
    <x v="7"/>
    <n v="2"/>
    <x v="1"/>
    <x v="1"/>
    <x v="0"/>
  </r>
  <r>
    <s v="STAFF-974"/>
    <n v="29"/>
    <x v="0"/>
    <x v="0"/>
    <x v="6"/>
    <n v="2157"/>
    <x v="11"/>
    <n v="4"/>
    <x v="1"/>
    <x v="1"/>
    <x v="1"/>
  </r>
  <r>
    <s v="STAFF-975"/>
    <n v="35"/>
    <x v="0"/>
    <x v="0"/>
    <x v="0"/>
    <n v="4601"/>
    <x v="8"/>
    <n v="3"/>
    <x v="1"/>
    <x v="1"/>
    <x v="0"/>
  </r>
  <r>
    <s v="STAFF-976"/>
    <n v="52"/>
    <x v="1"/>
    <x v="1"/>
    <x v="5"/>
    <n v="17099"/>
    <x v="7"/>
    <n v="4"/>
    <x v="1"/>
    <x v="1"/>
    <x v="2"/>
  </r>
  <r>
    <s v="STAFF-977"/>
    <n v="58"/>
    <x v="1"/>
    <x v="1"/>
    <x v="1"/>
    <n v="2479"/>
    <x v="6"/>
    <n v="3"/>
    <x v="1"/>
    <x v="0"/>
    <x v="1"/>
  </r>
  <r>
    <s v="STAFF-981"/>
    <n v="53"/>
    <x v="1"/>
    <x v="0"/>
    <x v="5"/>
    <n v="14852"/>
    <x v="18"/>
    <n v="3"/>
    <x v="1"/>
    <x v="1"/>
    <x v="2"/>
  </r>
  <r>
    <s v="STAFF-982"/>
    <n v="30"/>
    <x v="1"/>
    <x v="0"/>
    <x v="0"/>
    <n v="7264"/>
    <x v="3"/>
    <n v="3"/>
    <x v="1"/>
    <x v="1"/>
    <x v="2"/>
  </r>
  <r>
    <s v="STAFF-983"/>
    <n v="38"/>
    <x v="0"/>
    <x v="0"/>
    <x v="0"/>
    <n v="5666"/>
    <x v="8"/>
    <n v="4"/>
    <x v="0"/>
    <x v="1"/>
    <x v="0"/>
  </r>
  <r>
    <s v="STAFF-984"/>
    <n v="35"/>
    <x v="1"/>
    <x v="0"/>
    <x v="0"/>
    <n v="7823"/>
    <x v="1"/>
    <n v="4"/>
    <x v="1"/>
    <x v="1"/>
    <x v="2"/>
  </r>
  <r>
    <s v="STAFF-985"/>
    <n v="39"/>
    <x v="1"/>
    <x v="0"/>
    <x v="0"/>
    <n v="7880"/>
    <x v="3"/>
    <n v="3"/>
    <x v="1"/>
    <x v="1"/>
    <x v="2"/>
  </r>
  <r>
    <s v="STAFF-986"/>
    <n v="40"/>
    <x v="0"/>
    <x v="0"/>
    <x v="0"/>
    <n v="13194"/>
    <x v="6"/>
    <n v="2"/>
    <x v="0"/>
    <x v="0"/>
    <x v="2"/>
  </r>
  <r>
    <s v="STAFF-987"/>
    <n v="47"/>
    <x v="1"/>
    <x v="1"/>
    <x v="3"/>
    <n v="5067"/>
    <x v="27"/>
    <n v="3"/>
    <x v="0"/>
    <x v="1"/>
    <x v="0"/>
  </r>
  <r>
    <s v="STAFF-990"/>
    <n v="36"/>
    <x v="1"/>
    <x v="0"/>
    <x v="0"/>
    <n v="5079"/>
    <x v="5"/>
    <n v="4"/>
    <x v="1"/>
    <x v="1"/>
    <x v="0"/>
  </r>
  <r>
    <s v="STAFF-991"/>
    <n v="31"/>
    <x v="1"/>
    <x v="1"/>
    <x v="1"/>
    <n v="2321"/>
    <x v="11"/>
    <n v="1"/>
    <x v="0"/>
    <x v="0"/>
    <x v="1"/>
  </r>
  <r>
    <s v="STAFF-992"/>
    <n v="33"/>
    <x v="1"/>
    <x v="0"/>
    <x v="5"/>
    <n v="17444"/>
    <x v="1"/>
    <n v="3"/>
    <x v="1"/>
    <x v="1"/>
    <x v="2"/>
  </r>
  <r>
    <s v="STAFF-994"/>
    <n v="29"/>
    <x v="0"/>
    <x v="1"/>
    <x v="1"/>
    <n v="2404"/>
    <x v="2"/>
    <n v="1"/>
    <x v="0"/>
    <x v="0"/>
    <x v="1"/>
  </r>
  <r>
    <s v="STAFF-995"/>
    <n v="33"/>
    <x v="0"/>
    <x v="1"/>
    <x v="1"/>
    <n v="3452"/>
    <x v="11"/>
    <n v="4"/>
    <x v="1"/>
    <x v="1"/>
    <x v="0"/>
  </r>
  <r>
    <s v="STAFF-996"/>
    <n v="45"/>
    <x v="0"/>
    <x v="1"/>
    <x v="2"/>
    <n v="2270"/>
    <x v="8"/>
    <n v="4"/>
    <x v="1"/>
    <x v="1"/>
    <x v="1"/>
  </r>
  <r>
    <s v="STAFF-997"/>
    <n v="50"/>
    <x v="1"/>
    <x v="1"/>
    <x v="7"/>
    <n v="17399"/>
    <x v="8"/>
    <n v="4"/>
    <x v="1"/>
    <x v="1"/>
    <x v="2"/>
  </r>
  <r>
    <s v="STAFF-998"/>
    <n v="33"/>
    <x v="0"/>
    <x v="1"/>
    <x v="4"/>
    <n v="5488"/>
    <x v="0"/>
    <n v="2"/>
    <x v="0"/>
    <x v="1"/>
    <x v="0"/>
  </r>
  <r>
    <s v="STAFF-999"/>
    <n v="41"/>
    <x v="1"/>
    <x v="1"/>
    <x v="7"/>
    <n v="19419"/>
    <x v="29"/>
    <n v="3"/>
    <x v="1"/>
    <x v="1"/>
    <x v="2"/>
  </r>
  <r>
    <s v="STAFF-1001"/>
    <n v="27"/>
    <x v="0"/>
    <x v="1"/>
    <x v="2"/>
    <n v="2811"/>
    <x v="4"/>
    <n v="2"/>
    <x v="1"/>
    <x v="1"/>
    <x v="1"/>
  </r>
  <r>
    <s v="STAFF-1002"/>
    <n v="45"/>
    <x v="1"/>
    <x v="1"/>
    <x v="2"/>
    <n v="3633"/>
    <x v="7"/>
    <n v="1"/>
    <x v="0"/>
    <x v="1"/>
    <x v="0"/>
  </r>
  <r>
    <s v="STAFF-1003"/>
    <n v="47"/>
    <x v="0"/>
    <x v="0"/>
    <x v="0"/>
    <n v="4163"/>
    <x v="7"/>
    <n v="4"/>
    <x v="0"/>
    <x v="1"/>
    <x v="0"/>
  </r>
  <r>
    <s v="STAFF-1004"/>
    <n v="30"/>
    <x v="0"/>
    <x v="1"/>
    <x v="1"/>
    <n v="2132"/>
    <x v="8"/>
    <n v="3"/>
    <x v="0"/>
    <x v="0"/>
    <x v="1"/>
  </r>
  <r>
    <s v="STAFF-1005"/>
    <n v="50"/>
    <x v="1"/>
    <x v="1"/>
    <x v="3"/>
    <n v="13973"/>
    <x v="12"/>
    <n v="3"/>
    <x v="0"/>
    <x v="1"/>
    <x v="2"/>
  </r>
  <r>
    <s v="STAFF-1006"/>
    <n v="38"/>
    <x v="1"/>
    <x v="1"/>
    <x v="1"/>
    <n v="2684"/>
    <x v="4"/>
    <n v="3"/>
    <x v="1"/>
    <x v="1"/>
    <x v="1"/>
  </r>
  <r>
    <s v="STAFF-1007"/>
    <n v="46"/>
    <x v="1"/>
    <x v="1"/>
    <x v="3"/>
    <n v="10845"/>
    <x v="3"/>
    <n v="3"/>
    <x v="1"/>
    <x v="1"/>
    <x v="2"/>
  </r>
  <r>
    <s v="STAFF-1009"/>
    <n v="24"/>
    <x v="0"/>
    <x v="1"/>
    <x v="3"/>
    <n v="4377"/>
    <x v="9"/>
    <n v="3"/>
    <x v="1"/>
    <x v="1"/>
    <x v="0"/>
  </r>
  <r>
    <s v="STAFF-1010"/>
    <n v="35"/>
    <x v="1"/>
    <x v="1"/>
    <x v="2"/>
    <n v="3743"/>
    <x v="9"/>
    <n v="2"/>
    <x v="0"/>
    <x v="0"/>
    <x v="0"/>
  </r>
  <r>
    <s v="STAFF-1011"/>
    <n v="31"/>
    <x v="0"/>
    <x v="1"/>
    <x v="3"/>
    <n v="4148"/>
    <x v="9"/>
    <n v="1"/>
    <x v="1"/>
    <x v="1"/>
    <x v="0"/>
  </r>
  <r>
    <s v="STAFF-1012"/>
    <n v="18"/>
    <x v="1"/>
    <x v="1"/>
    <x v="1"/>
    <n v="1051"/>
    <x v="2"/>
    <n v="4"/>
    <x v="1"/>
    <x v="1"/>
    <x v="1"/>
  </r>
  <r>
    <s v="STAFF-1013"/>
    <n v="54"/>
    <x v="0"/>
    <x v="1"/>
    <x v="3"/>
    <n v="10739"/>
    <x v="1"/>
    <n v="3"/>
    <x v="1"/>
    <x v="1"/>
    <x v="2"/>
  </r>
  <r>
    <s v="STAFF-1014"/>
    <n v="35"/>
    <x v="0"/>
    <x v="1"/>
    <x v="4"/>
    <n v="10388"/>
    <x v="22"/>
    <n v="3"/>
    <x v="0"/>
    <x v="1"/>
    <x v="2"/>
  </r>
  <r>
    <s v="STAFF-1015"/>
    <n v="30"/>
    <x v="0"/>
    <x v="1"/>
    <x v="7"/>
    <n v="11416"/>
    <x v="3"/>
    <n v="1"/>
    <x v="0"/>
    <x v="1"/>
    <x v="2"/>
  </r>
  <r>
    <s v="STAFF-1016"/>
    <n v="20"/>
    <x v="0"/>
    <x v="1"/>
    <x v="1"/>
    <n v="2600"/>
    <x v="6"/>
    <n v="1"/>
    <x v="0"/>
    <x v="0"/>
    <x v="1"/>
  </r>
  <r>
    <s v="STAFF-1017"/>
    <n v="30"/>
    <x v="0"/>
    <x v="1"/>
    <x v="2"/>
    <n v="2422"/>
    <x v="11"/>
    <n v="2"/>
    <x v="1"/>
    <x v="0"/>
    <x v="1"/>
  </r>
  <r>
    <s v="STAFF-1018"/>
    <n v="26"/>
    <x v="1"/>
    <x v="1"/>
    <x v="3"/>
    <n v="5472"/>
    <x v="3"/>
    <n v="4"/>
    <x v="1"/>
    <x v="1"/>
    <x v="0"/>
  </r>
  <r>
    <s v="STAFF-1019"/>
    <n v="22"/>
    <x v="1"/>
    <x v="1"/>
    <x v="2"/>
    <n v="2451"/>
    <x v="9"/>
    <n v="1"/>
    <x v="1"/>
    <x v="1"/>
    <x v="1"/>
  </r>
  <r>
    <s v="STAFF-1022"/>
    <n v="48"/>
    <x v="1"/>
    <x v="1"/>
    <x v="4"/>
    <n v="4240"/>
    <x v="4"/>
    <n v="3"/>
    <x v="1"/>
    <x v="1"/>
    <x v="0"/>
  </r>
  <r>
    <s v="STAFF-1024"/>
    <n v="48"/>
    <x v="1"/>
    <x v="1"/>
    <x v="4"/>
    <n v="10999"/>
    <x v="15"/>
    <n v="3"/>
    <x v="1"/>
    <x v="1"/>
    <x v="2"/>
  </r>
  <r>
    <s v="STAFF-1025"/>
    <n v="41"/>
    <x v="0"/>
    <x v="1"/>
    <x v="3"/>
    <n v="5003"/>
    <x v="4"/>
    <n v="3"/>
    <x v="1"/>
    <x v="1"/>
    <x v="0"/>
  </r>
  <r>
    <s v="STAFF-1026"/>
    <n v="39"/>
    <x v="0"/>
    <x v="1"/>
    <x v="3"/>
    <n v="12742"/>
    <x v="17"/>
    <n v="4"/>
    <x v="1"/>
    <x v="1"/>
    <x v="2"/>
  </r>
  <r>
    <s v="STAFF-1027"/>
    <n v="27"/>
    <x v="0"/>
    <x v="1"/>
    <x v="3"/>
    <n v="4227"/>
    <x v="11"/>
    <n v="4"/>
    <x v="1"/>
    <x v="1"/>
    <x v="0"/>
  </r>
  <r>
    <s v="STAFF-1028"/>
    <n v="35"/>
    <x v="1"/>
    <x v="1"/>
    <x v="2"/>
    <n v="3917"/>
    <x v="11"/>
    <n v="4"/>
    <x v="1"/>
    <x v="1"/>
    <x v="0"/>
  </r>
  <r>
    <s v="STAFF-1029"/>
    <n v="42"/>
    <x v="1"/>
    <x v="0"/>
    <x v="5"/>
    <n v="18303"/>
    <x v="6"/>
    <n v="3"/>
    <x v="1"/>
    <x v="1"/>
    <x v="2"/>
  </r>
  <r>
    <s v="STAFF-1030"/>
    <n v="50"/>
    <x v="1"/>
    <x v="1"/>
    <x v="2"/>
    <n v="2380"/>
    <x v="6"/>
    <n v="4"/>
    <x v="1"/>
    <x v="1"/>
    <x v="1"/>
  </r>
  <r>
    <s v="STAFF-1032"/>
    <n v="59"/>
    <x v="0"/>
    <x v="1"/>
    <x v="3"/>
    <n v="13726"/>
    <x v="8"/>
    <n v="4"/>
    <x v="0"/>
    <x v="1"/>
    <x v="2"/>
  </r>
  <r>
    <s v="STAFF-1033"/>
    <n v="37"/>
    <x v="0"/>
    <x v="1"/>
    <x v="4"/>
    <n v="4777"/>
    <x v="6"/>
    <n v="2"/>
    <x v="1"/>
    <x v="0"/>
    <x v="0"/>
  </r>
  <r>
    <s v="STAFF-1034"/>
    <n v="55"/>
    <x v="1"/>
    <x v="1"/>
    <x v="4"/>
    <n v="6385"/>
    <x v="3"/>
    <n v="2"/>
    <x v="0"/>
    <x v="1"/>
    <x v="0"/>
  </r>
  <r>
    <s v="STAFF-1035"/>
    <n v="41"/>
    <x v="0"/>
    <x v="1"/>
    <x v="7"/>
    <n v="19973"/>
    <x v="17"/>
    <n v="3"/>
    <x v="1"/>
    <x v="1"/>
    <x v="2"/>
  </r>
  <r>
    <s v="STAFF-1036"/>
    <n v="38"/>
    <x v="1"/>
    <x v="0"/>
    <x v="0"/>
    <n v="6861"/>
    <x v="6"/>
    <n v="4"/>
    <x v="0"/>
    <x v="1"/>
    <x v="0"/>
  </r>
  <r>
    <s v="STAFF-1037"/>
    <n v="26"/>
    <x v="1"/>
    <x v="0"/>
    <x v="0"/>
    <n v="4969"/>
    <x v="4"/>
    <n v="1"/>
    <x v="1"/>
    <x v="0"/>
    <x v="0"/>
  </r>
  <r>
    <s v="STAFF-1038"/>
    <n v="52"/>
    <x v="0"/>
    <x v="0"/>
    <x v="5"/>
    <n v="19845"/>
    <x v="32"/>
    <n v="4"/>
    <x v="1"/>
    <x v="0"/>
    <x v="2"/>
  </r>
  <r>
    <s v="STAFF-1039"/>
    <n v="44"/>
    <x v="0"/>
    <x v="0"/>
    <x v="0"/>
    <n v="13320"/>
    <x v="12"/>
    <n v="4"/>
    <x v="0"/>
    <x v="1"/>
    <x v="2"/>
  </r>
  <r>
    <s v="STAFF-1040"/>
    <n v="50"/>
    <x v="0"/>
    <x v="0"/>
    <x v="0"/>
    <n v="6347"/>
    <x v="29"/>
    <n v="3"/>
    <x v="1"/>
    <x v="1"/>
    <x v="0"/>
  </r>
  <r>
    <s v="STAFF-1042"/>
    <n v="36"/>
    <x v="0"/>
    <x v="1"/>
    <x v="2"/>
    <n v="2743"/>
    <x v="18"/>
    <n v="1"/>
    <x v="1"/>
    <x v="0"/>
    <x v="1"/>
  </r>
  <r>
    <s v="STAFF-1043"/>
    <n v="39"/>
    <x v="0"/>
    <x v="1"/>
    <x v="3"/>
    <n v="10880"/>
    <x v="17"/>
    <n v="1"/>
    <x v="0"/>
    <x v="1"/>
    <x v="2"/>
  </r>
  <r>
    <s v="STAFF-1044"/>
    <n v="33"/>
    <x v="0"/>
    <x v="0"/>
    <x v="6"/>
    <n v="2342"/>
    <x v="4"/>
    <n v="4"/>
    <x v="1"/>
    <x v="1"/>
    <x v="1"/>
  </r>
  <r>
    <s v="STAFF-1045"/>
    <n v="45"/>
    <x v="0"/>
    <x v="0"/>
    <x v="5"/>
    <n v="17650"/>
    <x v="7"/>
    <n v="4"/>
    <x v="1"/>
    <x v="1"/>
    <x v="2"/>
  </r>
  <r>
    <s v="STAFF-1046"/>
    <n v="32"/>
    <x v="0"/>
    <x v="1"/>
    <x v="2"/>
    <n v="4025"/>
    <x v="3"/>
    <n v="3"/>
    <x v="1"/>
    <x v="1"/>
    <x v="0"/>
  </r>
  <r>
    <s v="STAFF-1047"/>
    <n v="34"/>
    <x v="1"/>
    <x v="0"/>
    <x v="0"/>
    <n v="9725"/>
    <x v="15"/>
    <n v="4"/>
    <x v="1"/>
    <x v="1"/>
    <x v="2"/>
  </r>
  <r>
    <s v="STAFF-1048"/>
    <n v="59"/>
    <x v="1"/>
    <x v="0"/>
    <x v="5"/>
    <n v="11904"/>
    <x v="0"/>
    <n v="4"/>
    <x v="0"/>
    <x v="1"/>
    <x v="2"/>
  </r>
  <r>
    <s v="STAFF-1049"/>
    <n v="45"/>
    <x v="1"/>
    <x v="2"/>
    <x v="8"/>
    <n v="2177"/>
    <x v="0"/>
    <n v="2"/>
    <x v="1"/>
    <x v="1"/>
    <x v="1"/>
  </r>
  <r>
    <s v="STAFF-1050"/>
    <n v="53"/>
    <x v="0"/>
    <x v="0"/>
    <x v="0"/>
    <n v="7525"/>
    <x v="15"/>
    <n v="2"/>
    <x v="1"/>
    <x v="1"/>
    <x v="2"/>
  </r>
  <r>
    <s v="STAFF-1052"/>
    <n v="36"/>
    <x v="1"/>
    <x v="1"/>
    <x v="2"/>
    <n v="4834"/>
    <x v="6"/>
    <n v="3"/>
    <x v="1"/>
    <x v="0"/>
    <x v="0"/>
  </r>
  <r>
    <s v="STAFF-1053"/>
    <n v="26"/>
    <x v="1"/>
    <x v="1"/>
    <x v="1"/>
    <n v="2042"/>
    <x v="11"/>
    <n v="1"/>
    <x v="0"/>
    <x v="0"/>
    <x v="1"/>
  </r>
  <r>
    <s v="STAFF-1055"/>
    <n v="34"/>
    <x v="0"/>
    <x v="0"/>
    <x v="6"/>
    <n v="2220"/>
    <x v="6"/>
    <n v="3"/>
    <x v="0"/>
    <x v="1"/>
    <x v="1"/>
  </r>
  <r>
    <s v="STAFF-1056"/>
    <n v="28"/>
    <x v="1"/>
    <x v="0"/>
    <x v="6"/>
    <n v="1052"/>
    <x v="6"/>
    <n v="2"/>
    <x v="1"/>
    <x v="1"/>
    <x v="1"/>
  </r>
  <r>
    <s v="STAFF-1060"/>
    <n v="38"/>
    <x v="1"/>
    <x v="1"/>
    <x v="1"/>
    <n v="2821"/>
    <x v="4"/>
    <n v="3"/>
    <x v="1"/>
    <x v="1"/>
    <x v="1"/>
  </r>
  <r>
    <s v="STAFF-1061"/>
    <n v="50"/>
    <x v="1"/>
    <x v="1"/>
    <x v="7"/>
    <n v="19237"/>
    <x v="3"/>
    <n v="3"/>
    <x v="0"/>
    <x v="1"/>
    <x v="2"/>
  </r>
  <r>
    <s v="STAFF-1062"/>
    <n v="37"/>
    <x v="0"/>
    <x v="1"/>
    <x v="4"/>
    <n v="4107"/>
    <x v="9"/>
    <n v="2"/>
    <x v="1"/>
    <x v="1"/>
    <x v="0"/>
  </r>
  <r>
    <s v="STAFF-1066"/>
    <n v="40"/>
    <x v="1"/>
    <x v="0"/>
    <x v="0"/>
    <n v="8396"/>
    <x v="5"/>
    <n v="1"/>
    <x v="1"/>
    <x v="1"/>
    <x v="2"/>
  </r>
  <r>
    <s v="STAFF-1068"/>
    <n v="26"/>
    <x v="0"/>
    <x v="1"/>
    <x v="1"/>
    <n v="2007"/>
    <x v="8"/>
    <n v="3"/>
    <x v="1"/>
    <x v="1"/>
    <x v="1"/>
  </r>
  <r>
    <s v="STAFF-1069"/>
    <n v="46"/>
    <x v="1"/>
    <x v="1"/>
    <x v="7"/>
    <n v="19627"/>
    <x v="4"/>
    <n v="4"/>
    <x v="1"/>
    <x v="1"/>
    <x v="2"/>
  </r>
  <r>
    <s v="STAFF-1070"/>
    <n v="54"/>
    <x v="0"/>
    <x v="0"/>
    <x v="0"/>
    <n v="10686"/>
    <x v="7"/>
    <n v="3"/>
    <x v="1"/>
    <x v="1"/>
    <x v="2"/>
  </r>
  <r>
    <s v="STAFF-1071"/>
    <n v="56"/>
    <x v="0"/>
    <x v="1"/>
    <x v="1"/>
    <n v="2942"/>
    <x v="8"/>
    <n v="3"/>
    <x v="1"/>
    <x v="1"/>
    <x v="1"/>
  </r>
  <r>
    <s v="STAFF-1073"/>
    <n v="36"/>
    <x v="0"/>
    <x v="1"/>
    <x v="3"/>
    <n v="8858"/>
    <x v="13"/>
    <n v="4"/>
    <x v="1"/>
    <x v="1"/>
    <x v="2"/>
  </r>
  <r>
    <s v="STAFF-1074"/>
    <n v="55"/>
    <x v="1"/>
    <x v="1"/>
    <x v="5"/>
    <n v="16756"/>
    <x v="7"/>
    <n v="1"/>
    <x v="1"/>
    <x v="1"/>
    <x v="2"/>
  </r>
  <r>
    <s v="STAFF-1076"/>
    <n v="43"/>
    <x v="1"/>
    <x v="0"/>
    <x v="0"/>
    <n v="10798"/>
    <x v="6"/>
    <n v="4"/>
    <x v="1"/>
    <x v="1"/>
    <x v="2"/>
  </r>
  <r>
    <s v="STAFF-1077"/>
    <n v="20"/>
    <x v="0"/>
    <x v="0"/>
    <x v="6"/>
    <n v="2323"/>
    <x v="4"/>
    <n v="4"/>
    <x v="0"/>
    <x v="0"/>
    <x v="1"/>
  </r>
  <r>
    <s v="STAFF-1079"/>
    <n v="21"/>
    <x v="0"/>
    <x v="1"/>
    <x v="2"/>
    <n v="1416"/>
    <x v="6"/>
    <n v="1"/>
    <x v="1"/>
    <x v="0"/>
    <x v="1"/>
  </r>
  <r>
    <s v="STAFF-1080"/>
    <n v="46"/>
    <x v="0"/>
    <x v="1"/>
    <x v="1"/>
    <n v="4615"/>
    <x v="22"/>
    <n v="1"/>
    <x v="0"/>
    <x v="1"/>
    <x v="0"/>
  </r>
  <r>
    <s v="STAFF-1081"/>
    <n v="51"/>
    <x v="1"/>
    <x v="1"/>
    <x v="1"/>
    <n v="2461"/>
    <x v="1"/>
    <n v="3"/>
    <x v="0"/>
    <x v="0"/>
    <x v="1"/>
  </r>
  <r>
    <s v="STAFF-1082"/>
    <n v="28"/>
    <x v="1"/>
    <x v="1"/>
    <x v="4"/>
    <n v="8722"/>
    <x v="1"/>
    <n v="1"/>
    <x v="1"/>
    <x v="0"/>
    <x v="2"/>
  </r>
  <r>
    <s v="STAFF-1083"/>
    <n v="26"/>
    <x v="1"/>
    <x v="1"/>
    <x v="2"/>
    <n v="3955"/>
    <x v="8"/>
    <n v="1"/>
    <x v="1"/>
    <x v="1"/>
    <x v="0"/>
  </r>
  <r>
    <s v="STAFF-1084"/>
    <n v="30"/>
    <x v="1"/>
    <x v="1"/>
    <x v="3"/>
    <n v="9957"/>
    <x v="0"/>
    <n v="1"/>
    <x v="1"/>
    <x v="1"/>
    <x v="2"/>
  </r>
  <r>
    <s v="STAFF-1085"/>
    <n v="41"/>
    <x v="0"/>
    <x v="1"/>
    <x v="1"/>
    <n v="3376"/>
    <x v="1"/>
    <n v="3"/>
    <x v="1"/>
    <x v="1"/>
    <x v="0"/>
  </r>
  <r>
    <s v="STAFF-1088"/>
    <n v="38"/>
    <x v="0"/>
    <x v="1"/>
    <x v="4"/>
    <n v="8823"/>
    <x v="27"/>
    <n v="3"/>
    <x v="1"/>
    <x v="1"/>
    <x v="2"/>
  </r>
  <r>
    <s v="STAFF-1092"/>
    <n v="40"/>
    <x v="1"/>
    <x v="1"/>
    <x v="4"/>
    <n v="10322"/>
    <x v="19"/>
    <n v="4"/>
    <x v="1"/>
    <x v="1"/>
    <x v="2"/>
  </r>
  <r>
    <s v="STAFF-1094"/>
    <n v="27"/>
    <x v="1"/>
    <x v="1"/>
    <x v="2"/>
    <n v="4621"/>
    <x v="11"/>
    <n v="3"/>
    <x v="1"/>
    <x v="1"/>
    <x v="0"/>
  </r>
  <r>
    <s v="STAFF-1096"/>
    <n v="55"/>
    <x v="1"/>
    <x v="1"/>
    <x v="3"/>
    <n v="10976"/>
    <x v="11"/>
    <n v="2"/>
    <x v="1"/>
    <x v="1"/>
    <x v="2"/>
  </r>
  <r>
    <s v="STAFF-1097"/>
    <n v="28"/>
    <x v="0"/>
    <x v="1"/>
    <x v="1"/>
    <n v="3660"/>
    <x v="3"/>
    <n v="3"/>
    <x v="1"/>
    <x v="1"/>
    <x v="0"/>
  </r>
  <r>
    <s v="STAFF-1098"/>
    <n v="44"/>
    <x v="1"/>
    <x v="2"/>
    <x v="8"/>
    <n v="10482"/>
    <x v="23"/>
    <n v="1"/>
    <x v="1"/>
    <x v="0"/>
    <x v="2"/>
  </r>
  <r>
    <s v="STAFF-1099"/>
    <n v="33"/>
    <x v="1"/>
    <x v="1"/>
    <x v="4"/>
    <n v="7119"/>
    <x v="11"/>
    <n v="4"/>
    <x v="1"/>
    <x v="1"/>
    <x v="2"/>
  </r>
  <r>
    <s v="STAFF-1100"/>
    <n v="35"/>
    <x v="1"/>
    <x v="0"/>
    <x v="0"/>
    <n v="9582"/>
    <x v="3"/>
    <n v="1"/>
    <x v="0"/>
    <x v="0"/>
    <x v="2"/>
  </r>
  <r>
    <s v="STAFF-1101"/>
    <n v="33"/>
    <x v="0"/>
    <x v="1"/>
    <x v="1"/>
    <n v="4508"/>
    <x v="20"/>
    <n v="3"/>
    <x v="1"/>
    <x v="0"/>
    <x v="0"/>
  </r>
  <r>
    <s v="STAFF-1102"/>
    <n v="28"/>
    <x v="1"/>
    <x v="1"/>
    <x v="2"/>
    <n v="2207"/>
    <x v="9"/>
    <n v="3"/>
    <x v="1"/>
    <x v="1"/>
    <x v="1"/>
  </r>
  <r>
    <s v="STAFF-1103"/>
    <n v="34"/>
    <x v="1"/>
    <x v="1"/>
    <x v="4"/>
    <n v="7756"/>
    <x v="0"/>
    <n v="4"/>
    <x v="1"/>
    <x v="1"/>
    <x v="2"/>
  </r>
  <r>
    <s v="STAFF-1105"/>
    <n v="37"/>
    <x v="0"/>
    <x v="0"/>
    <x v="0"/>
    <n v="6694"/>
    <x v="6"/>
    <n v="4"/>
    <x v="0"/>
    <x v="1"/>
    <x v="0"/>
  </r>
  <r>
    <s v="STAFF-1106"/>
    <n v="25"/>
    <x v="1"/>
    <x v="1"/>
    <x v="2"/>
    <n v="3691"/>
    <x v="5"/>
    <n v="4"/>
    <x v="0"/>
    <x v="0"/>
    <x v="0"/>
  </r>
  <r>
    <s v="STAFF-1107"/>
    <n v="26"/>
    <x v="1"/>
    <x v="1"/>
    <x v="2"/>
    <n v="2377"/>
    <x v="6"/>
    <n v="3"/>
    <x v="1"/>
    <x v="0"/>
    <x v="1"/>
  </r>
  <r>
    <s v="STAFF-1108"/>
    <n v="33"/>
    <x v="1"/>
    <x v="1"/>
    <x v="1"/>
    <n v="2313"/>
    <x v="4"/>
    <n v="2"/>
    <x v="0"/>
    <x v="0"/>
    <x v="1"/>
  </r>
  <r>
    <s v="STAFF-1109"/>
    <n v="42"/>
    <x v="1"/>
    <x v="1"/>
    <x v="5"/>
    <n v="17665"/>
    <x v="14"/>
    <n v="1"/>
    <x v="1"/>
    <x v="1"/>
    <x v="2"/>
  </r>
  <r>
    <s v="STAFF-1111"/>
    <n v="28"/>
    <x v="1"/>
    <x v="1"/>
    <x v="2"/>
    <n v="2596"/>
    <x v="6"/>
    <n v="2"/>
    <x v="1"/>
    <x v="0"/>
    <x v="1"/>
  </r>
  <r>
    <s v="STAFF-1113"/>
    <n v="50"/>
    <x v="1"/>
    <x v="0"/>
    <x v="0"/>
    <n v="4728"/>
    <x v="2"/>
    <n v="3"/>
    <x v="0"/>
    <x v="0"/>
    <x v="0"/>
  </r>
  <r>
    <s v="STAFF-1114"/>
    <n v="33"/>
    <x v="0"/>
    <x v="0"/>
    <x v="0"/>
    <n v="4302"/>
    <x v="11"/>
    <n v="2"/>
    <x v="1"/>
    <x v="1"/>
    <x v="0"/>
  </r>
  <r>
    <s v="STAFF-1115"/>
    <n v="34"/>
    <x v="1"/>
    <x v="1"/>
    <x v="1"/>
    <n v="2979"/>
    <x v="2"/>
    <n v="4"/>
    <x v="1"/>
    <x v="1"/>
    <x v="1"/>
  </r>
  <r>
    <s v="STAFF-1116"/>
    <n v="48"/>
    <x v="1"/>
    <x v="1"/>
    <x v="5"/>
    <n v="16885"/>
    <x v="8"/>
    <n v="4"/>
    <x v="1"/>
    <x v="1"/>
    <x v="2"/>
  </r>
  <r>
    <s v="STAFF-1117"/>
    <n v="45"/>
    <x v="0"/>
    <x v="0"/>
    <x v="0"/>
    <n v="5593"/>
    <x v="15"/>
    <n v="3"/>
    <x v="1"/>
    <x v="1"/>
    <x v="0"/>
  </r>
  <r>
    <s v="STAFF-1118"/>
    <n v="52"/>
    <x v="1"/>
    <x v="1"/>
    <x v="4"/>
    <n v="10445"/>
    <x v="3"/>
    <n v="2"/>
    <x v="1"/>
    <x v="1"/>
    <x v="2"/>
  </r>
  <r>
    <s v="STAFF-1119"/>
    <n v="38"/>
    <x v="1"/>
    <x v="0"/>
    <x v="0"/>
    <n v="8740"/>
    <x v="3"/>
    <n v="3"/>
    <x v="0"/>
    <x v="1"/>
    <x v="2"/>
  </r>
  <r>
    <s v="STAFF-1120"/>
    <n v="29"/>
    <x v="0"/>
    <x v="1"/>
    <x v="1"/>
    <n v="2514"/>
    <x v="5"/>
    <n v="4"/>
    <x v="1"/>
    <x v="1"/>
    <x v="1"/>
  </r>
  <r>
    <s v="STAFF-1121"/>
    <n v="28"/>
    <x v="0"/>
    <x v="1"/>
    <x v="3"/>
    <n v="7655"/>
    <x v="7"/>
    <n v="2"/>
    <x v="1"/>
    <x v="1"/>
    <x v="2"/>
  </r>
  <r>
    <s v="STAFF-1124"/>
    <n v="46"/>
    <x v="1"/>
    <x v="0"/>
    <x v="5"/>
    <n v="17465"/>
    <x v="12"/>
    <n v="3"/>
    <x v="1"/>
    <x v="1"/>
    <x v="2"/>
  </r>
  <r>
    <s v="STAFF-1125"/>
    <n v="38"/>
    <x v="1"/>
    <x v="0"/>
    <x v="0"/>
    <n v="7351"/>
    <x v="6"/>
    <n v="2"/>
    <x v="1"/>
    <x v="1"/>
    <x v="2"/>
  </r>
  <r>
    <s v="STAFF-1126"/>
    <n v="43"/>
    <x v="0"/>
    <x v="1"/>
    <x v="3"/>
    <n v="10820"/>
    <x v="3"/>
    <n v="1"/>
    <x v="1"/>
    <x v="1"/>
    <x v="2"/>
  </r>
  <r>
    <s v="STAFF-1127"/>
    <n v="39"/>
    <x v="1"/>
    <x v="1"/>
    <x v="4"/>
    <n v="12169"/>
    <x v="29"/>
    <n v="4"/>
    <x v="1"/>
    <x v="0"/>
    <x v="2"/>
  </r>
  <r>
    <s v="STAFF-1128"/>
    <n v="40"/>
    <x v="1"/>
    <x v="1"/>
    <x v="7"/>
    <n v="19626"/>
    <x v="23"/>
    <n v="3"/>
    <x v="1"/>
    <x v="1"/>
    <x v="2"/>
  </r>
  <r>
    <s v="STAFF-1131"/>
    <n v="21"/>
    <x v="0"/>
    <x v="1"/>
    <x v="1"/>
    <n v="2070"/>
    <x v="4"/>
    <n v="2"/>
    <x v="0"/>
    <x v="1"/>
    <x v="1"/>
  </r>
  <r>
    <s v="STAFF-1132"/>
    <n v="39"/>
    <x v="1"/>
    <x v="1"/>
    <x v="2"/>
    <n v="6782"/>
    <x v="8"/>
    <n v="2"/>
    <x v="1"/>
    <x v="1"/>
    <x v="0"/>
  </r>
  <r>
    <s v="STAFF-1133"/>
    <n v="36"/>
    <x v="1"/>
    <x v="1"/>
    <x v="3"/>
    <n v="7779"/>
    <x v="19"/>
    <n v="4"/>
    <x v="1"/>
    <x v="1"/>
    <x v="2"/>
  </r>
  <r>
    <s v="STAFF-1135"/>
    <n v="31"/>
    <x v="1"/>
    <x v="0"/>
    <x v="6"/>
    <n v="2791"/>
    <x v="4"/>
    <n v="4"/>
    <x v="1"/>
    <x v="1"/>
    <x v="1"/>
  </r>
  <r>
    <s v="STAFF-1136"/>
    <n v="28"/>
    <x v="1"/>
    <x v="1"/>
    <x v="1"/>
    <n v="3201"/>
    <x v="8"/>
    <n v="2"/>
    <x v="1"/>
    <x v="1"/>
    <x v="0"/>
  </r>
  <r>
    <s v="STAFF-1137"/>
    <n v="35"/>
    <x v="1"/>
    <x v="0"/>
    <x v="0"/>
    <n v="4968"/>
    <x v="8"/>
    <n v="4"/>
    <x v="1"/>
    <x v="1"/>
    <x v="0"/>
  </r>
  <r>
    <s v="STAFF-1138"/>
    <n v="49"/>
    <x v="1"/>
    <x v="0"/>
    <x v="0"/>
    <n v="13120"/>
    <x v="7"/>
    <n v="2"/>
    <x v="1"/>
    <x v="1"/>
    <x v="2"/>
  </r>
  <r>
    <s v="STAFF-1140"/>
    <n v="34"/>
    <x v="1"/>
    <x v="1"/>
    <x v="3"/>
    <n v="4033"/>
    <x v="11"/>
    <n v="3"/>
    <x v="1"/>
    <x v="1"/>
    <x v="0"/>
  </r>
  <r>
    <s v="STAFF-1143"/>
    <n v="29"/>
    <x v="0"/>
    <x v="1"/>
    <x v="1"/>
    <n v="3291"/>
    <x v="5"/>
    <n v="2"/>
    <x v="1"/>
    <x v="1"/>
    <x v="0"/>
  </r>
  <r>
    <s v="STAFF-1148"/>
    <n v="42"/>
    <x v="1"/>
    <x v="1"/>
    <x v="2"/>
    <n v="4272"/>
    <x v="6"/>
    <n v="4"/>
    <x v="1"/>
    <x v="1"/>
    <x v="0"/>
  </r>
  <r>
    <s v="STAFF-1150"/>
    <n v="29"/>
    <x v="1"/>
    <x v="1"/>
    <x v="3"/>
    <n v="5056"/>
    <x v="1"/>
    <n v="4"/>
    <x v="0"/>
    <x v="1"/>
    <x v="0"/>
  </r>
  <r>
    <s v="STAFF-1152"/>
    <n v="38"/>
    <x v="1"/>
    <x v="2"/>
    <x v="8"/>
    <n v="2844"/>
    <x v="5"/>
    <n v="3"/>
    <x v="1"/>
    <x v="1"/>
    <x v="1"/>
  </r>
  <r>
    <s v="STAFF-1154"/>
    <n v="28"/>
    <x v="1"/>
    <x v="1"/>
    <x v="1"/>
    <n v="2703"/>
    <x v="11"/>
    <n v="3"/>
    <x v="0"/>
    <x v="1"/>
    <x v="1"/>
  </r>
  <r>
    <s v="STAFF-1156"/>
    <n v="18"/>
    <x v="1"/>
    <x v="1"/>
    <x v="2"/>
    <n v="1904"/>
    <x v="2"/>
    <n v="3"/>
    <x v="1"/>
    <x v="0"/>
    <x v="1"/>
  </r>
  <r>
    <s v="STAFF-1157"/>
    <n v="33"/>
    <x v="0"/>
    <x v="0"/>
    <x v="0"/>
    <n v="8224"/>
    <x v="8"/>
    <n v="1"/>
    <x v="0"/>
    <x v="0"/>
    <x v="2"/>
  </r>
  <r>
    <s v="STAFF-1158"/>
    <n v="41"/>
    <x v="1"/>
    <x v="1"/>
    <x v="2"/>
    <n v="4766"/>
    <x v="6"/>
    <n v="4"/>
    <x v="0"/>
    <x v="1"/>
    <x v="0"/>
  </r>
  <r>
    <s v="STAFF-1160"/>
    <n v="31"/>
    <x v="1"/>
    <x v="1"/>
    <x v="2"/>
    <n v="2610"/>
    <x v="4"/>
    <n v="3"/>
    <x v="1"/>
    <x v="0"/>
    <x v="1"/>
  </r>
  <r>
    <s v="STAFF-1161"/>
    <n v="37"/>
    <x v="0"/>
    <x v="1"/>
    <x v="4"/>
    <n v="5731"/>
    <x v="0"/>
    <n v="4"/>
    <x v="1"/>
    <x v="1"/>
    <x v="0"/>
  </r>
  <r>
    <s v="STAFF-1162"/>
    <n v="27"/>
    <x v="1"/>
    <x v="1"/>
    <x v="1"/>
    <n v="2539"/>
    <x v="9"/>
    <n v="3"/>
    <x v="1"/>
    <x v="1"/>
    <x v="1"/>
  </r>
  <r>
    <s v="STAFF-1163"/>
    <n v="34"/>
    <x v="0"/>
    <x v="0"/>
    <x v="0"/>
    <n v="5714"/>
    <x v="0"/>
    <n v="3"/>
    <x v="1"/>
    <x v="1"/>
    <x v="0"/>
  </r>
  <r>
    <s v="STAFF-1164"/>
    <n v="35"/>
    <x v="1"/>
    <x v="2"/>
    <x v="8"/>
    <n v="4323"/>
    <x v="8"/>
    <n v="3"/>
    <x v="1"/>
    <x v="1"/>
    <x v="0"/>
  </r>
  <r>
    <s v="STAFF-1165"/>
    <n v="29"/>
    <x v="0"/>
    <x v="0"/>
    <x v="0"/>
    <n v="7336"/>
    <x v="19"/>
    <n v="1"/>
    <x v="1"/>
    <x v="0"/>
    <x v="2"/>
  </r>
  <r>
    <s v="STAFF-1166"/>
    <n v="40"/>
    <x v="0"/>
    <x v="1"/>
    <x v="7"/>
    <n v="13499"/>
    <x v="29"/>
    <n v="3"/>
    <x v="1"/>
    <x v="1"/>
    <x v="2"/>
  </r>
  <r>
    <s v="STAFF-1167"/>
    <n v="42"/>
    <x v="1"/>
    <x v="0"/>
    <x v="0"/>
    <n v="13758"/>
    <x v="17"/>
    <n v="1"/>
    <x v="0"/>
    <x v="0"/>
    <x v="2"/>
  </r>
  <r>
    <s v="STAFF-1171"/>
    <n v="42"/>
    <x v="1"/>
    <x v="0"/>
    <x v="0"/>
    <n v="5155"/>
    <x v="0"/>
    <n v="1"/>
    <x v="1"/>
    <x v="1"/>
    <x v="0"/>
  </r>
  <r>
    <s v="STAFF-1172"/>
    <n v="35"/>
    <x v="1"/>
    <x v="1"/>
    <x v="2"/>
    <n v="2258"/>
    <x v="3"/>
    <n v="3"/>
    <x v="1"/>
    <x v="1"/>
    <x v="1"/>
  </r>
  <r>
    <s v="STAFF-1173"/>
    <n v="24"/>
    <x v="1"/>
    <x v="1"/>
    <x v="2"/>
    <n v="3597"/>
    <x v="9"/>
    <n v="2"/>
    <x v="1"/>
    <x v="1"/>
    <x v="0"/>
  </r>
  <r>
    <s v="STAFF-1175"/>
    <n v="28"/>
    <x v="0"/>
    <x v="1"/>
    <x v="2"/>
    <n v="2515"/>
    <x v="6"/>
    <n v="4"/>
    <x v="0"/>
    <x v="0"/>
    <x v="1"/>
  </r>
  <r>
    <s v="STAFF-1177"/>
    <n v="26"/>
    <x v="1"/>
    <x v="1"/>
    <x v="2"/>
    <n v="4420"/>
    <x v="3"/>
    <n v="4"/>
    <x v="1"/>
    <x v="1"/>
    <x v="0"/>
  </r>
  <r>
    <s v="STAFF-1179"/>
    <n v="30"/>
    <x v="1"/>
    <x v="0"/>
    <x v="0"/>
    <n v="6578"/>
    <x v="1"/>
    <n v="3"/>
    <x v="1"/>
    <x v="1"/>
    <x v="0"/>
  </r>
  <r>
    <s v="STAFF-1180"/>
    <n v="40"/>
    <x v="0"/>
    <x v="1"/>
    <x v="1"/>
    <n v="4422"/>
    <x v="6"/>
    <n v="4"/>
    <x v="0"/>
    <x v="1"/>
    <x v="0"/>
  </r>
  <r>
    <s v="STAFF-1182"/>
    <n v="35"/>
    <x v="1"/>
    <x v="1"/>
    <x v="3"/>
    <n v="10274"/>
    <x v="5"/>
    <n v="2"/>
    <x v="1"/>
    <x v="1"/>
    <x v="2"/>
  </r>
  <r>
    <s v="STAFF-1184"/>
    <n v="34"/>
    <x v="1"/>
    <x v="1"/>
    <x v="4"/>
    <n v="5343"/>
    <x v="20"/>
    <n v="1"/>
    <x v="1"/>
    <x v="1"/>
    <x v="0"/>
  </r>
  <r>
    <s v="STAFF-1185"/>
    <n v="35"/>
    <x v="1"/>
    <x v="1"/>
    <x v="2"/>
    <n v="2376"/>
    <x v="4"/>
    <n v="4"/>
    <x v="1"/>
    <x v="1"/>
    <x v="1"/>
  </r>
  <r>
    <s v="STAFF-1188"/>
    <n v="43"/>
    <x v="0"/>
    <x v="0"/>
    <x v="0"/>
    <n v="5346"/>
    <x v="9"/>
    <n v="3"/>
    <x v="1"/>
    <x v="0"/>
    <x v="0"/>
  </r>
  <r>
    <s v="STAFF-1190"/>
    <n v="32"/>
    <x v="0"/>
    <x v="0"/>
    <x v="6"/>
    <n v="2827"/>
    <x v="6"/>
    <n v="1"/>
    <x v="1"/>
    <x v="1"/>
    <x v="1"/>
  </r>
  <r>
    <s v="STAFF-1191"/>
    <n v="56"/>
    <x v="0"/>
    <x v="1"/>
    <x v="5"/>
    <n v="19943"/>
    <x v="8"/>
    <n v="1"/>
    <x v="1"/>
    <x v="1"/>
    <x v="2"/>
  </r>
  <r>
    <s v="STAFF-1192"/>
    <n v="29"/>
    <x v="0"/>
    <x v="1"/>
    <x v="2"/>
    <n v="3131"/>
    <x v="1"/>
    <n v="4"/>
    <x v="1"/>
    <x v="1"/>
    <x v="0"/>
  </r>
  <r>
    <s v="STAFF-1193"/>
    <n v="19"/>
    <x v="1"/>
    <x v="1"/>
    <x v="1"/>
    <n v="2552"/>
    <x v="6"/>
    <n v="1"/>
    <x v="1"/>
    <x v="1"/>
    <x v="1"/>
  </r>
  <r>
    <s v="STAFF-1195"/>
    <n v="45"/>
    <x v="0"/>
    <x v="1"/>
    <x v="1"/>
    <n v="4477"/>
    <x v="11"/>
    <n v="3"/>
    <x v="0"/>
    <x v="1"/>
    <x v="0"/>
  </r>
  <r>
    <s v="STAFF-1196"/>
    <n v="37"/>
    <x v="0"/>
    <x v="1"/>
    <x v="3"/>
    <n v="6474"/>
    <x v="13"/>
    <n v="4"/>
    <x v="1"/>
    <x v="1"/>
    <x v="0"/>
  </r>
  <r>
    <s v="STAFF-1198"/>
    <n v="20"/>
    <x v="1"/>
    <x v="1"/>
    <x v="2"/>
    <n v="3033"/>
    <x v="4"/>
    <n v="3"/>
    <x v="1"/>
    <x v="1"/>
    <x v="0"/>
  </r>
  <r>
    <s v="STAFF-1200"/>
    <n v="44"/>
    <x v="1"/>
    <x v="1"/>
    <x v="1"/>
    <n v="2936"/>
    <x v="0"/>
    <n v="3"/>
    <x v="0"/>
    <x v="0"/>
    <x v="1"/>
  </r>
  <r>
    <s v="STAFF-1201"/>
    <n v="53"/>
    <x v="0"/>
    <x v="1"/>
    <x v="5"/>
    <n v="18606"/>
    <x v="5"/>
    <n v="3"/>
    <x v="1"/>
    <x v="1"/>
    <x v="2"/>
  </r>
  <r>
    <s v="STAFF-1202"/>
    <n v="29"/>
    <x v="0"/>
    <x v="1"/>
    <x v="1"/>
    <n v="2168"/>
    <x v="8"/>
    <n v="4"/>
    <x v="0"/>
    <x v="1"/>
    <x v="1"/>
  </r>
  <r>
    <s v="STAFF-1203"/>
    <n v="22"/>
    <x v="1"/>
    <x v="1"/>
    <x v="1"/>
    <n v="2853"/>
    <x v="2"/>
    <n v="4"/>
    <x v="0"/>
    <x v="0"/>
    <x v="1"/>
  </r>
  <r>
    <s v="STAFF-1204"/>
    <n v="46"/>
    <x v="0"/>
    <x v="0"/>
    <x v="5"/>
    <n v="17048"/>
    <x v="34"/>
    <n v="1"/>
    <x v="1"/>
    <x v="1"/>
    <x v="2"/>
  </r>
  <r>
    <s v="STAFF-1206"/>
    <n v="44"/>
    <x v="1"/>
    <x v="1"/>
    <x v="1"/>
    <n v="2290"/>
    <x v="2"/>
    <n v="3"/>
    <x v="1"/>
    <x v="1"/>
    <x v="1"/>
  </r>
  <r>
    <s v="STAFF-1207"/>
    <n v="33"/>
    <x v="1"/>
    <x v="2"/>
    <x v="8"/>
    <n v="3600"/>
    <x v="8"/>
    <n v="3"/>
    <x v="1"/>
    <x v="1"/>
    <x v="0"/>
  </r>
  <r>
    <s v="STAFF-1210"/>
    <n v="41"/>
    <x v="1"/>
    <x v="1"/>
    <x v="1"/>
    <n v="2107"/>
    <x v="6"/>
    <n v="1"/>
    <x v="1"/>
    <x v="0"/>
    <x v="1"/>
  </r>
  <r>
    <s v="STAFF-1211"/>
    <n v="30"/>
    <x v="1"/>
    <x v="0"/>
    <x v="0"/>
    <n v="4115"/>
    <x v="9"/>
    <n v="1"/>
    <x v="1"/>
    <x v="1"/>
    <x v="0"/>
  </r>
  <r>
    <s v="STAFF-1212"/>
    <n v="40"/>
    <x v="1"/>
    <x v="0"/>
    <x v="0"/>
    <n v="4327"/>
    <x v="2"/>
    <n v="2"/>
    <x v="1"/>
    <x v="1"/>
    <x v="0"/>
  </r>
  <r>
    <s v="STAFF-1215"/>
    <n v="50"/>
    <x v="0"/>
    <x v="1"/>
    <x v="5"/>
    <n v="17856"/>
    <x v="4"/>
    <n v="1"/>
    <x v="1"/>
    <x v="1"/>
    <x v="2"/>
  </r>
  <r>
    <s v="STAFF-1216"/>
    <n v="28"/>
    <x v="1"/>
    <x v="1"/>
    <x v="2"/>
    <n v="3196"/>
    <x v="0"/>
    <n v="1"/>
    <x v="1"/>
    <x v="1"/>
    <x v="0"/>
  </r>
  <r>
    <s v="STAFF-1217"/>
    <n v="46"/>
    <x v="1"/>
    <x v="1"/>
    <x v="7"/>
    <n v="19081"/>
    <x v="9"/>
    <n v="2"/>
    <x v="1"/>
    <x v="1"/>
    <x v="2"/>
  </r>
  <r>
    <s v="STAFF-1218"/>
    <n v="35"/>
    <x v="1"/>
    <x v="0"/>
    <x v="0"/>
    <n v="8966"/>
    <x v="5"/>
    <n v="1"/>
    <x v="0"/>
    <x v="1"/>
    <x v="2"/>
  </r>
  <r>
    <s v="STAFF-1219"/>
    <n v="24"/>
    <x v="0"/>
    <x v="1"/>
    <x v="2"/>
    <n v="2210"/>
    <x v="6"/>
    <n v="2"/>
    <x v="1"/>
    <x v="0"/>
    <x v="1"/>
  </r>
  <r>
    <s v="STAFF-1220"/>
    <n v="33"/>
    <x v="0"/>
    <x v="0"/>
    <x v="0"/>
    <n v="4539"/>
    <x v="1"/>
    <n v="3"/>
    <x v="1"/>
    <x v="1"/>
    <x v="0"/>
  </r>
  <r>
    <s v="STAFF-1221"/>
    <n v="36"/>
    <x v="1"/>
    <x v="1"/>
    <x v="2"/>
    <n v="2741"/>
    <x v="5"/>
    <n v="3"/>
    <x v="1"/>
    <x v="1"/>
    <x v="1"/>
  </r>
  <r>
    <s v="STAFF-1224"/>
    <n v="30"/>
    <x v="1"/>
    <x v="1"/>
    <x v="2"/>
    <n v="3491"/>
    <x v="1"/>
    <n v="3"/>
    <x v="1"/>
    <x v="1"/>
    <x v="0"/>
  </r>
  <r>
    <s v="STAFF-1225"/>
    <n v="44"/>
    <x v="1"/>
    <x v="1"/>
    <x v="1"/>
    <n v="4541"/>
    <x v="23"/>
    <n v="4"/>
    <x v="1"/>
    <x v="1"/>
    <x v="0"/>
  </r>
  <r>
    <s v="STAFF-1226"/>
    <n v="20"/>
    <x v="1"/>
    <x v="0"/>
    <x v="6"/>
    <n v="2678"/>
    <x v="4"/>
    <n v="4"/>
    <x v="1"/>
    <x v="1"/>
    <x v="1"/>
  </r>
  <r>
    <s v="STAFF-1228"/>
    <n v="46"/>
    <x v="1"/>
    <x v="1"/>
    <x v="3"/>
    <n v="7379"/>
    <x v="0"/>
    <n v="4"/>
    <x v="1"/>
    <x v="1"/>
    <x v="2"/>
  </r>
  <r>
    <s v="STAFF-1231"/>
    <n v="42"/>
    <x v="1"/>
    <x v="2"/>
    <x v="8"/>
    <n v="6272"/>
    <x v="9"/>
    <n v="1"/>
    <x v="1"/>
    <x v="1"/>
    <x v="0"/>
  </r>
  <r>
    <s v="STAFF-1233"/>
    <n v="60"/>
    <x v="1"/>
    <x v="0"/>
    <x v="0"/>
    <n v="5220"/>
    <x v="19"/>
    <n v="4"/>
    <x v="0"/>
    <x v="1"/>
    <x v="0"/>
  </r>
  <r>
    <s v="STAFF-1234"/>
    <n v="32"/>
    <x v="0"/>
    <x v="1"/>
    <x v="2"/>
    <n v="2743"/>
    <x v="4"/>
    <n v="2"/>
    <x v="1"/>
    <x v="1"/>
    <x v="1"/>
  </r>
  <r>
    <s v="STAFF-1235"/>
    <n v="32"/>
    <x v="0"/>
    <x v="1"/>
    <x v="1"/>
    <n v="4998"/>
    <x v="3"/>
    <n v="3"/>
    <x v="0"/>
    <x v="1"/>
    <x v="0"/>
  </r>
  <r>
    <s v="STAFF-1237"/>
    <n v="36"/>
    <x v="0"/>
    <x v="1"/>
    <x v="3"/>
    <n v="10252"/>
    <x v="5"/>
    <n v="1"/>
    <x v="0"/>
    <x v="1"/>
    <x v="2"/>
  </r>
  <r>
    <s v="STAFF-1238"/>
    <n v="33"/>
    <x v="1"/>
    <x v="1"/>
    <x v="1"/>
    <n v="2781"/>
    <x v="13"/>
    <n v="4"/>
    <x v="1"/>
    <x v="1"/>
    <x v="1"/>
  </r>
  <r>
    <s v="STAFF-1239"/>
    <n v="40"/>
    <x v="0"/>
    <x v="0"/>
    <x v="0"/>
    <n v="6852"/>
    <x v="8"/>
    <n v="2"/>
    <x v="1"/>
    <x v="1"/>
    <x v="0"/>
  </r>
  <r>
    <s v="STAFF-1240"/>
    <n v="25"/>
    <x v="1"/>
    <x v="0"/>
    <x v="0"/>
    <n v="4950"/>
    <x v="9"/>
    <n v="4"/>
    <x v="1"/>
    <x v="1"/>
    <x v="0"/>
  </r>
  <r>
    <s v="STAFF-1241"/>
    <n v="30"/>
    <x v="1"/>
    <x v="1"/>
    <x v="1"/>
    <n v="3579"/>
    <x v="19"/>
    <n v="2"/>
    <x v="0"/>
    <x v="1"/>
    <x v="0"/>
  </r>
  <r>
    <s v="STAFF-1242"/>
    <n v="42"/>
    <x v="0"/>
    <x v="1"/>
    <x v="7"/>
    <n v="13191"/>
    <x v="6"/>
    <n v="1"/>
    <x v="0"/>
    <x v="1"/>
    <x v="2"/>
  </r>
  <r>
    <s v="STAFF-1243"/>
    <n v="35"/>
    <x v="0"/>
    <x v="0"/>
    <x v="0"/>
    <n v="10377"/>
    <x v="20"/>
    <n v="4"/>
    <x v="0"/>
    <x v="1"/>
    <x v="2"/>
  </r>
  <r>
    <s v="STAFF-1244"/>
    <n v="27"/>
    <x v="1"/>
    <x v="1"/>
    <x v="1"/>
    <n v="2235"/>
    <x v="7"/>
    <n v="1"/>
    <x v="0"/>
    <x v="1"/>
    <x v="1"/>
  </r>
  <r>
    <s v="STAFF-1245"/>
    <n v="54"/>
    <x v="0"/>
    <x v="1"/>
    <x v="3"/>
    <n v="10502"/>
    <x v="8"/>
    <n v="3"/>
    <x v="1"/>
    <x v="1"/>
    <x v="2"/>
  </r>
  <r>
    <s v="STAFF-1246"/>
    <n v="44"/>
    <x v="0"/>
    <x v="1"/>
    <x v="1"/>
    <n v="2011"/>
    <x v="1"/>
    <n v="4"/>
    <x v="1"/>
    <x v="1"/>
    <x v="1"/>
  </r>
  <r>
    <s v="STAFF-1248"/>
    <n v="19"/>
    <x v="0"/>
    <x v="1"/>
    <x v="1"/>
    <n v="1859"/>
    <x v="6"/>
    <n v="2"/>
    <x v="0"/>
    <x v="0"/>
    <x v="1"/>
  </r>
  <r>
    <s v="STAFF-1249"/>
    <n v="29"/>
    <x v="0"/>
    <x v="1"/>
    <x v="1"/>
    <n v="3760"/>
    <x v="11"/>
    <n v="4"/>
    <x v="1"/>
    <x v="1"/>
    <x v="0"/>
  </r>
  <r>
    <s v="STAFF-1250"/>
    <n v="54"/>
    <x v="1"/>
    <x v="1"/>
    <x v="7"/>
    <n v="17779"/>
    <x v="1"/>
    <n v="4"/>
    <x v="1"/>
    <x v="1"/>
    <x v="2"/>
  </r>
  <r>
    <s v="STAFF-1251"/>
    <n v="31"/>
    <x v="1"/>
    <x v="1"/>
    <x v="4"/>
    <n v="6833"/>
    <x v="0"/>
    <n v="1"/>
    <x v="0"/>
    <x v="1"/>
    <x v="0"/>
  </r>
  <r>
    <s v="STAFF-1252"/>
    <n v="31"/>
    <x v="0"/>
    <x v="1"/>
    <x v="4"/>
    <n v="6812"/>
    <x v="1"/>
    <n v="1"/>
    <x v="1"/>
    <x v="1"/>
    <x v="0"/>
  </r>
  <r>
    <s v="STAFF-1254"/>
    <n v="59"/>
    <x v="0"/>
    <x v="0"/>
    <x v="0"/>
    <n v="5171"/>
    <x v="0"/>
    <n v="4"/>
    <x v="1"/>
    <x v="1"/>
    <x v="0"/>
  </r>
  <r>
    <s v="STAFF-1255"/>
    <n v="43"/>
    <x v="1"/>
    <x v="1"/>
    <x v="7"/>
    <n v="19740"/>
    <x v="3"/>
    <n v="4"/>
    <x v="1"/>
    <x v="1"/>
    <x v="2"/>
  </r>
  <r>
    <s v="STAFF-1256"/>
    <n v="49"/>
    <x v="1"/>
    <x v="1"/>
    <x v="5"/>
    <n v="18711"/>
    <x v="6"/>
    <n v="3"/>
    <x v="1"/>
    <x v="1"/>
    <x v="2"/>
  </r>
  <r>
    <s v="STAFF-1257"/>
    <n v="36"/>
    <x v="1"/>
    <x v="1"/>
    <x v="1"/>
    <n v="3692"/>
    <x v="19"/>
    <n v="2"/>
    <x v="1"/>
    <x v="1"/>
    <x v="0"/>
  </r>
  <r>
    <s v="STAFF-1258"/>
    <n v="48"/>
    <x v="1"/>
    <x v="1"/>
    <x v="2"/>
    <n v="2559"/>
    <x v="6"/>
    <n v="2"/>
    <x v="1"/>
    <x v="1"/>
    <x v="1"/>
  </r>
  <r>
    <s v="STAFF-1259"/>
    <n v="27"/>
    <x v="1"/>
    <x v="1"/>
    <x v="1"/>
    <n v="2517"/>
    <x v="8"/>
    <n v="3"/>
    <x v="1"/>
    <x v="1"/>
    <x v="1"/>
  </r>
  <r>
    <s v="STAFF-1260"/>
    <n v="29"/>
    <x v="1"/>
    <x v="1"/>
    <x v="4"/>
    <n v="6623"/>
    <x v="0"/>
    <n v="4"/>
    <x v="0"/>
    <x v="1"/>
    <x v="0"/>
  </r>
  <r>
    <s v="STAFF-1263"/>
    <n v="48"/>
    <x v="1"/>
    <x v="1"/>
    <x v="7"/>
    <n v="18265"/>
    <x v="6"/>
    <n v="4"/>
    <x v="1"/>
    <x v="1"/>
    <x v="2"/>
  </r>
  <r>
    <s v="STAFF-1264"/>
    <n v="29"/>
    <x v="0"/>
    <x v="1"/>
    <x v="7"/>
    <n v="16124"/>
    <x v="5"/>
    <n v="4"/>
    <x v="1"/>
    <x v="1"/>
    <x v="2"/>
  </r>
  <r>
    <s v="STAFF-1265"/>
    <n v="34"/>
    <x v="0"/>
    <x v="1"/>
    <x v="1"/>
    <n v="2585"/>
    <x v="6"/>
    <n v="3"/>
    <x v="1"/>
    <x v="1"/>
    <x v="1"/>
  </r>
  <r>
    <s v="STAFF-1267"/>
    <n v="44"/>
    <x v="1"/>
    <x v="0"/>
    <x v="5"/>
    <n v="18213"/>
    <x v="14"/>
    <n v="2"/>
    <x v="1"/>
    <x v="1"/>
    <x v="2"/>
  </r>
  <r>
    <s v="STAFF-1268"/>
    <n v="33"/>
    <x v="1"/>
    <x v="0"/>
    <x v="0"/>
    <n v="8380"/>
    <x v="7"/>
    <n v="3"/>
    <x v="0"/>
    <x v="1"/>
    <x v="2"/>
  </r>
  <r>
    <s v="STAFF-1269"/>
    <n v="19"/>
    <x v="0"/>
    <x v="1"/>
    <x v="1"/>
    <n v="2994"/>
    <x v="6"/>
    <n v="4"/>
    <x v="0"/>
    <x v="1"/>
    <x v="1"/>
  </r>
  <r>
    <s v="STAFF-1270"/>
    <n v="23"/>
    <x v="1"/>
    <x v="1"/>
    <x v="1"/>
    <n v="1223"/>
    <x v="6"/>
    <n v="3"/>
    <x v="1"/>
    <x v="1"/>
    <x v="1"/>
  </r>
  <r>
    <s v="STAFF-1273"/>
    <n v="25"/>
    <x v="1"/>
    <x v="0"/>
    <x v="6"/>
    <n v="1118"/>
    <x v="6"/>
    <n v="4"/>
    <x v="0"/>
    <x v="0"/>
    <x v="1"/>
  </r>
  <r>
    <s v="STAFF-1275"/>
    <n v="26"/>
    <x v="1"/>
    <x v="1"/>
    <x v="1"/>
    <n v="2875"/>
    <x v="3"/>
    <n v="4"/>
    <x v="0"/>
    <x v="1"/>
    <x v="1"/>
  </r>
  <r>
    <s v="STAFF-1277"/>
    <n v="45"/>
    <x v="0"/>
    <x v="0"/>
    <x v="5"/>
    <n v="18824"/>
    <x v="25"/>
    <n v="2"/>
    <x v="0"/>
    <x v="0"/>
    <x v="2"/>
  </r>
  <r>
    <s v="STAFF-1278"/>
    <n v="55"/>
    <x v="1"/>
    <x v="1"/>
    <x v="4"/>
    <n v="13577"/>
    <x v="26"/>
    <n v="2"/>
    <x v="0"/>
    <x v="1"/>
    <x v="2"/>
  </r>
  <r>
    <s v="STAFF-1279"/>
    <n v="21"/>
    <x v="0"/>
    <x v="1"/>
    <x v="2"/>
    <n v="2625"/>
    <x v="4"/>
    <n v="3"/>
    <x v="1"/>
    <x v="0"/>
    <x v="1"/>
  </r>
  <r>
    <s v="STAFF-1280"/>
    <n v="46"/>
    <x v="0"/>
    <x v="0"/>
    <x v="5"/>
    <n v="18789"/>
    <x v="19"/>
    <n v="2"/>
    <x v="1"/>
    <x v="1"/>
    <x v="2"/>
  </r>
  <r>
    <s v="STAFF-1281"/>
    <n v="34"/>
    <x v="0"/>
    <x v="0"/>
    <x v="0"/>
    <n v="4538"/>
    <x v="11"/>
    <n v="1"/>
    <x v="0"/>
    <x v="1"/>
    <x v="0"/>
  </r>
  <r>
    <s v="STAFF-1282"/>
    <n v="51"/>
    <x v="1"/>
    <x v="0"/>
    <x v="5"/>
    <n v="19847"/>
    <x v="30"/>
    <n v="2"/>
    <x v="0"/>
    <x v="1"/>
    <x v="2"/>
  </r>
  <r>
    <s v="STAFF-1283"/>
    <n v="59"/>
    <x v="1"/>
    <x v="1"/>
    <x v="3"/>
    <n v="10512"/>
    <x v="7"/>
    <n v="4"/>
    <x v="1"/>
    <x v="1"/>
    <x v="2"/>
  </r>
  <r>
    <s v="STAFF-1285"/>
    <n v="34"/>
    <x v="0"/>
    <x v="1"/>
    <x v="2"/>
    <n v="4444"/>
    <x v="19"/>
    <n v="2"/>
    <x v="1"/>
    <x v="1"/>
    <x v="0"/>
  </r>
  <r>
    <s v="STAFF-1286"/>
    <n v="28"/>
    <x v="1"/>
    <x v="1"/>
    <x v="2"/>
    <n v="2154"/>
    <x v="9"/>
    <n v="3"/>
    <x v="0"/>
    <x v="1"/>
    <x v="1"/>
  </r>
  <r>
    <s v="STAFF-1288"/>
    <n v="44"/>
    <x v="1"/>
    <x v="1"/>
    <x v="5"/>
    <n v="19190"/>
    <x v="10"/>
    <n v="1"/>
    <x v="1"/>
    <x v="1"/>
    <x v="2"/>
  </r>
  <r>
    <s v="STAFF-1289"/>
    <n v="34"/>
    <x v="1"/>
    <x v="2"/>
    <x v="8"/>
    <n v="4490"/>
    <x v="1"/>
    <n v="2"/>
    <x v="1"/>
    <x v="1"/>
    <x v="0"/>
  </r>
  <r>
    <s v="STAFF-1291"/>
    <n v="35"/>
    <x v="1"/>
    <x v="1"/>
    <x v="1"/>
    <n v="3506"/>
    <x v="11"/>
    <n v="3"/>
    <x v="0"/>
    <x v="1"/>
    <x v="0"/>
  </r>
  <r>
    <s v="STAFF-1292"/>
    <n v="42"/>
    <x v="0"/>
    <x v="1"/>
    <x v="1"/>
    <n v="2372"/>
    <x v="6"/>
    <n v="2"/>
    <x v="0"/>
    <x v="1"/>
    <x v="1"/>
  </r>
  <r>
    <s v="STAFF-1293"/>
    <n v="43"/>
    <x v="0"/>
    <x v="0"/>
    <x v="0"/>
    <n v="10231"/>
    <x v="17"/>
    <n v="4"/>
    <x v="1"/>
    <x v="1"/>
    <x v="2"/>
  </r>
  <r>
    <s v="STAFF-1294"/>
    <n v="36"/>
    <x v="0"/>
    <x v="1"/>
    <x v="3"/>
    <n v="5410"/>
    <x v="22"/>
    <n v="2"/>
    <x v="0"/>
    <x v="1"/>
    <x v="0"/>
  </r>
  <r>
    <s v="STAFF-1295"/>
    <n v="44"/>
    <x v="0"/>
    <x v="1"/>
    <x v="4"/>
    <n v="7978"/>
    <x v="1"/>
    <n v="4"/>
    <x v="1"/>
    <x v="0"/>
    <x v="2"/>
  </r>
  <r>
    <s v="STAFF-1296"/>
    <n v="28"/>
    <x v="1"/>
    <x v="1"/>
    <x v="2"/>
    <n v="3867"/>
    <x v="4"/>
    <n v="4"/>
    <x v="0"/>
    <x v="1"/>
    <x v="0"/>
  </r>
  <r>
    <s v="STAFF-1297"/>
    <n v="51"/>
    <x v="0"/>
    <x v="1"/>
    <x v="2"/>
    <n v="2838"/>
    <x v="5"/>
    <n v="3"/>
    <x v="1"/>
    <x v="1"/>
    <x v="1"/>
  </r>
  <r>
    <s v="STAFF-1298"/>
    <n v="30"/>
    <x v="0"/>
    <x v="1"/>
    <x v="3"/>
    <n v="4695"/>
    <x v="3"/>
    <n v="3"/>
    <x v="0"/>
    <x v="1"/>
    <x v="0"/>
  </r>
  <r>
    <s v="STAFF-1299"/>
    <n v="29"/>
    <x v="0"/>
    <x v="1"/>
    <x v="2"/>
    <n v="3339"/>
    <x v="5"/>
    <n v="3"/>
    <x v="0"/>
    <x v="0"/>
    <x v="0"/>
  </r>
  <r>
    <s v="STAFF-1301"/>
    <n v="28"/>
    <x v="1"/>
    <x v="1"/>
    <x v="1"/>
    <n v="2080"/>
    <x v="11"/>
    <n v="1"/>
    <x v="1"/>
    <x v="1"/>
    <x v="1"/>
  </r>
  <r>
    <s v="STAFF-1303"/>
    <n v="25"/>
    <x v="0"/>
    <x v="1"/>
    <x v="1"/>
    <n v="2096"/>
    <x v="4"/>
    <n v="2"/>
    <x v="1"/>
    <x v="1"/>
    <x v="1"/>
  </r>
  <r>
    <s v="STAFF-1304"/>
    <n v="32"/>
    <x v="1"/>
    <x v="0"/>
    <x v="0"/>
    <n v="6209"/>
    <x v="1"/>
    <n v="4"/>
    <x v="1"/>
    <x v="1"/>
    <x v="0"/>
  </r>
  <r>
    <s v="STAFF-1306"/>
    <n v="45"/>
    <x v="0"/>
    <x v="1"/>
    <x v="5"/>
    <n v="18061"/>
    <x v="2"/>
    <n v="2"/>
    <x v="1"/>
    <x v="1"/>
    <x v="2"/>
  </r>
  <r>
    <s v="STAFF-1307"/>
    <n v="39"/>
    <x v="0"/>
    <x v="1"/>
    <x v="5"/>
    <n v="17123"/>
    <x v="27"/>
    <n v="2"/>
    <x v="0"/>
    <x v="1"/>
    <x v="2"/>
  </r>
  <r>
    <s v="STAFF-1308"/>
    <n v="58"/>
    <x v="1"/>
    <x v="1"/>
    <x v="1"/>
    <n v="2372"/>
    <x v="4"/>
    <n v="3"/>
    <x v="1"/>
    <x v="1"/>
    <x v="1"/>
  </r>
  <r>
    <s v="STAFF-1309"/>
    <n v="32"/>
    <x v="1"/>
    <x v="1"/>
    <x v="2"/>
    <n v="4883"/>
    <x v="1"/>
    <n v="3"/>
    <x v="1"/>
    <x v="0"/>
    <x v="0"/>
  </r>
  <r>
    <s v="STAFF-1310"/>
    <n v="39"/>
    <x v="1"/>
    <x v="1"/>
    <x v="1"/>
    <n v="3904"/>
    <x v="8"/>
    <n v="1"/>
    <x v="1"/>
    <x v="0"/>
    <x v="0"/>
  </r>
  <r>
    <s v="STAFF-1311"/>
    <n v="30"/>
    <x v="0"/>
    <x v="1"/>
    <x v="2"/>
    <n v="4627"/>
    <x v="7"/>
    <n v="4"/>
    <x v="1"/>
    <x v="1"/>
    <x v="0"/>
  </r>
  <r>
    <s v="STAFF-1312"/>
    <n v="36"/>
    <x v="0"/>
    <x v="1"/>
    <x v="4"/>
    <n v="7094"/>
    <x v="5"/>
    <n v="3"/>
    <x v="1"/>
    <x v="1"/>
    <x v="2"/>
  </r>
  <r>
    <s v="STAFF-1314"/>
    <n v="46"/>
    <x v="0"/>
    <x v="2"/>
    <x v="8"/>
    <n v="3423"/>
    <x v="5"/>
    <n v="1"/>
    <x v="1"/>
    <x v="1"/>
    <x v="0"/>
  </r>
  <r>
    <s v="STAFF-1315"/>
    <n v="28"/>
    <x v="0"/>
    <x v="1"/>
    <x v="2"/>
    <n v="6674"/>
    <x v="7"/>
    <n v="4"/>
    <x v="1"/>
    <x v="1"/>
    <x v="0"/>
  </r>
  <r>
    <s v="STAFF-1317"/>
    <n v="50"/>
    <x v="0"/>
    <x v="1"/>
    <x v="7"/>
    <n v="16880"/>
    <x v="11"/>
    <n v="1"/>
    <x v="0"/>
    <x v="1"/>
    <x v="2"/>
  </r>
  <r>
    <s v="STAFF-1318"/>
    <n v="40"/>
    <x v="1"/>
    <x v="0"/>
    <x v="0"/>
    <n v="9094"/>
    <x v="8"/>
    <n v="2"/>
    <x v="0"/>
    <x v="0"/>
    <x v="2"/>
  </r>
  <r>
    <s v="STAFF-1319"/>
    <n v="52"/>
    <x v="1"/>
    <x v="0"/>
    <x v="0"/>
    <n v="8446"/>
    <x v="3"/>
    <n v="2"/>
    <x v="0"/>
    <x v="0"/>
    <x v="2"/>
  </r>
  <r>
    <s v="STAFF-1321"/>
    <n v="30"/>
    <x v="0"/>
    <x v="1"/>
    <x v="5"/>
    <n v="11916"/>
    <x v="7"/>
    <n v="1"/>
    <x v="0"/>
    <x v="1"/>
    <x v="2"/>
  </r>
  <r>
    <s v="STAFF-1322"/>
    <n v="39"/>
    <x v="1"/>
    <x v="1"/>
    <x v="3"/>
    <n v="4534"/>
    <x v="3"/>
    <n v="3"/>
    <x v="1"/>
    <x v="1"/>
    <x v="0"/>
  </r>
  <r>
    <s v="STAFF-1324"/>
    <n v="31"/>
    <x v="0"/>
    <x v="0"/>
    <x v="0"/>
    <n v="9852"/>
    <x v="1"/>
    <n v="3"/>
    <x v="0"/>
    <x v="1"/>
    <x v="2"/>
  </r>
  <r>
    <s v="STAFF-1329"/>
    <n v="41"/>
    <x v="1"/>
    <x v="0"/>
    <x v="0"/>
    <n v="6151"/>
    <x v="27"/>
    <n v="2"/>
    <x v="1"/>
    <x v="1"/>
    <x v="0"/>
  </r>
  <r>
    <s v="STAFF-1331"/>
    <n v="31"/>
    <x v="0"/>
    <x v="0"/>
    <x v="6"/>
    <n v="2302"/>
    <x v="11"/>
    <n v="2"/>
    <x v="0"/>
    <x v="0"/>
    <x v="1"/>
  </r>
  <r>
    <s v="STAFF-1333"/>
    <n v="44"/>
    <x v="1"/>
    <x v="1"/>
    <x v="2"/>
    <n v="2362"/>
    <x v="11"/>
    <n v="1"/>
    <x v="1"/>
    <x v="0"/>
    <x v="1"/>
  </r>
  <r>
    <s v="STAFF-1334"/>
    <n v="42"/>
    <x v="1"/>
    <x v="1"/>
    <x v="5"/>
    <n v="17861"/>
    <x v="23"/>
    <n v="3"/>
    <x v="0"/>
    <x v="1"/>
    <x v="2"/>
  </r>
  <r>
    <s v="STAFF-1336"/>
    <n v="55"/>
    <x v="0"/>
    <x v="1"/>
    <x v="5"/>
    <n v="19187"/>
    <x v="27"/>
    <n v="3"/>
    <x v="1"/>
    <x v="1"/>
    <x v="2"/>
  </r>
  <r>
    <s v="STAFF-1338"/>
    <n v="56"/>
    <x v="1"/>
    <x v="2"/>
    <x v="5"/>
    <n v="19717"/>
    <x v="5"/>
    <n v="2"/>
    <x v="1"/>
    <x v="1"/>
    <x v="2"/>
  </r>
  <r>
    <s v="STAFF-1340"/>
    <n v="40"/>
    <x v="1"/>
    <x v="1"/>
    <x v="1"/>
    <n v="3544"/>
    <x v="9"/>
    <n v="3"/>
    <x v="1"/>
    <x v="1"/>
    <x v="0"/>
  </r>
  <r>
    <s v="STAFF-1344"/>
    <n v="34"/>
    <x v="1"/>
    <x v="1"/>
    <x v="4"/>
    <n v="8500"/>
    <x v="7"/>
    <n v="4"/>
    <x v="1"/>
    <x v="1"/>
    <x v="2"/>
  </r>
  <r>
    <s v="STAFF-1346"/>
    <n v="40"/>
    <x v="1"/>
    <x v="1"/>
    <x v="1"/>
    <n v="4661"/>
    <x v="7"/>
    <n v="4"/>
    <x v="1"/>
    <x v="1"/>
    <x v="0"/>
  </r>
  <r>
    <s v="STAFF-1349"/>
    <n v="41"/>
    <x v="0"/>
    <x v="0"/>
    <x v="0"/>
    <n v="4103"/>
    <x v="7"/>
    <n v="1"/>
    <x v="1"/>
    <x v="1"/>
    <x v="0"/>
  </r>
  <r>
    <s v="STAFF-1350"/>
    <n v="35"/>
    <x v="1"/>
    <x v="1"/>
    <x v="1"/>
    <n v="4249"/>
    <x v="7"/>
    <n v="3"/>
    <x v="0"/>
    <x v="1"/>
    <x v="0"/>
  </r>
  <r>
    <s v="STAFF-1352"/>
    <n v="51"/>
    <x v="1"/>
    <x v="2"/>
    <x v="5"/>
    <n v="14026"/>
    <x v="26"/>
    <n v="2"/>
    <x v="0"/>
    <x v="1"/>
    <x v="2"/>
  </r>
  <r>
    <s v="STAFF-1355"/>
    <n v="38"/>
    <x v="0"/>
    <x v="0"/>
    <x v="0"/>
    <n v="6893"/>
    <x v="5"/>
    <n v="1"/>
    <x v="1"/>
    <x v="1"/>
    <x v="0"/>
  </r>
  <r>
    <s v="STAFF-1356"/>
    <n v="34"/>
    <x v="0"/>
    <x v="0"/>
    <x v="0"/>
    <n v="6125"/>
    <x v="1"/>
    <n v="1"/>
    <x v="1"/>
    <x v="1"/>
    <x v="0"/>
  </r>
  <r>
    <s v="STAFF-1358"/>
    <n v="25"/>
    <x v="1"/>
    <x v="1"/>
    <x v="2"/>
    <n v="3669"/>
    <x v="11"/>
    <n v="4"/>
    <x v="1"/>
    <x v="1"/>
    <x v="0"/>
  </r>
  <r>
    <s v="STAFF-1360"/>
    <n v="58"/>
    <x v="0"/>
    <x v="1"/>
    <x v="3"/>
    <n v="10008"/>
    <x v="1"/>
    <n v="1"/>
    <x v="0"/>
    <x v="0"/>
    <x v="2"/>
  </r>
  <r>
    <s v="STAFF-1361"/>
    <n v="40"/>
    <x v="1"/>
    <x v="1"/>
    <x v="2"/>
    <n v="2387"/>
    <x v="9"/>
    <n v="2"/>
    <x v="1"/>
    <x v="1"/>
    <x v="1"/>
  </r>
  <r>
    <s v="STAFF-1362"/>
    <n v="36"/>
    <x v="0"/>
    <x v="0"/>
    <x v="0"/>
    <n v="4639"/>
    <x v="15"/>
    <n v="1"/>
    <x v="1"/>
    <x v="1"/>
    <x v="0"/>
  </r>
  <r>
    <s v="STAFF-1363"/>
    <n v="48"/>
    <x v="1"/>
    <x v="1"/>
    <x v="3"/>
    <n v="7898"/>
    <x v="1"/>
    <n v="4"/>
    <x v="1"/>
    <x v="1"/>
    <x v="2"/>
  </r>
  <r>
    <s v="STAFF-1364"/>
    <n v="27"/>
    <x v="0"/>
    <x v="0"/>
    <x v="6"/>
    <n v="2534"/>
    <x v="6"/>
    <n v="4"/>
    <x v="1"/>
    <x v="1"/>
    <x v="1"/>
  </r>
  <r>
    <s v="STAFF-1367"/>
    <n v="51"/>
    <x v="0"/>
    <x v="1"/>
    <x v="3"/>
    <n v="13142"/>
    <x v="8"/>
    <n v="2"/>
    <x v="1"/>
    <x v="1"/>
    <x v="2"/>
  </r>
  <r>
    <s v="STAFF-1368"/>
    <n v="18"/>
    <x v="0"/>
    <x v="1"/>
    <x v="2"/>
    <n v="1611"/>
    <x v="2"/>
    <n v="4"/>
    <x v="1"/>
    <x v="1"/>
    <x v="1"/>
  </r>
  <r>
    <s v="STAFF-1369"/>
    <n v="35"/>
    <x v="0"/>
    <x v="1"/>
    <x v="2"/>
    <n v="5363"/>
    <x v="7"/>
    <n v="4"/>
    <x v="1"/>
    <x v="1"/>
    <x v="0"/>
  </r>
  <r>
    <s v="STAFF-1371"/>
    <n v="27"/>
    <x v="1"/>
    <x v="0"/>
    <x v="0"/>
    <n v="5071"/>
    <x v="0"/>
    <n v="4"/>
    <x v="1"/>
    <x v="1"/>
    <x v="0"/>
  </r>
  <r>
    <s v="STAFF-1372"/>
    <n v="55"/>
    <x v="1"/>
    <x v="0"/>
    <x v="0"/>
    <n v="13695"/>
    <x v="27"/>
    <n v="3"/>
    <x v="0"/>
    <x v="0"/>
    <x v="2"/>
  </r>
  <r>
    <s v="STAFF-1373"/>
    <n v="56"/>
    <x v="1"/>
    <x v="1"/>
    <x v="3"/>
    <n v="13402"/>
    <x v="27"/>
    <n v="2"/>
    <x v="0"/>
    <x v="1"/>
    <x v="2"/>
  </r>
  <r>
    <s v="STAFF-1374"/>
    <n v="34"/>
    <x v="0"/>
    <x v="1"/>
    <x v="1"/>
    <n v="2029"/>
    <x v="8"/>
    <n v="3"/>
    <x v="1"/>
    <x v="1"/>
    <x v="1"/>
  </r>
  <r>
    <s v="STAFF-1375"/>
    <n v="40"/>
    <x v="0"/>
    <x v="1"/>
    <x v="4"/>
    <n v="6377"/>
    <x v="12"/>
    <n v="3"/>
    <x v="1"/>
    <x v="1"/>
    <x v="0"/>
  </r>
  <r>
    <s v="STAFF-1377"/>
    <n v="34"/>
    <x v="1"/>
    <x v="1"/>
    <x v="2"/>
    <n v="5429"/>
    <x v="3"/>
    <n v="3"/>
    <x v="1"/>
    <x v="1"/>
    <x v="0"/>
  </r>
  <r>
    <s v="STAFF-1379"/>
    <n v="31"/>
    <x v="0"/>
    <x v="0"/>
    <x v="6"/>
    <n v="2785"/>
    <x v="6"/>
    <n v="4"/>
    <x v="1"/>
    <x v="0"/>
    <x v="1"/>
  </r>
  <r>
    <s v="STAFF-1380"/>
    <n v="35"/>
    <x v="0"/>
    <x v="0"/>
    <x v="0"/>
    <n v="4614"/>
    <x v="9"/>
    <n v="3"/>
    <x v="0"/>
    <x v="0"/>
    <x v="0"/>
  </r>
  <r>
    <s v="STAFF-1382"/>
    <n v="38"/>
    <x v="1"/>
    <x v="1"/>
    <x v="1"/>
    <n v="2610"/>
    <x v="9"/>
    <n v="3"/>
    <x v="1"/>
    <x v="1"/>
    <x v="1"/>
  </r>
  <r>
    <s v="STAFF-1383"/>
    <n v="34"/>
    <x v="0"/>
    <x v="1"/>
    <x v="4"/>
    <n v="6687"/>
    <x v="13"/>
    <n v="4"/>
    <x v="1"/>
    <x v="1"/>
    <x v="0"/>
  </r>
  <r>
    <s v="STAFF-1387"/>
    <n v="28"/>
    <x v="1"/>
    <x v="0"/>
    <x v="0"/>
    <n v="4724"/>
    <x v="8"/>
    <n v="1"/>
    <x v="1"/>
    <x v="1"/>
    <x v="0"/>
  </r>
  <r>
    <s v="STAFF-1389"/>
    <n v="31"/>
    <x v="1"/>
    <x v="1"/>
    <x v="3"/>
    <n v="6179"/>
    <x v="1"/>
    <n v="3"/>
    <x v="0"/>
    <x v="0"/>
    <x v="0"/>
  </r>
  <r>
    <s v="STAFF-1390"/>
    <n v="39"/>
    <x v="1"/>
    <x v="0"/>
    <x v="0"/>
    <n v="6120"/>
    <x v="8"/>
    <n v="4"/>
    <x v="0"/>
    <x v="1"/>
    <x v="0"/>
  </r>
  <r>
    <s v="STAFF-1391"/>
    <n v="51"/>
    <x v="1"/>
    <x v="0"/>
    <x v="0"/>
    <n v="10596"/>
    <x v="9"/>
    <n v="2"/>
    <x v="1"/>
    <x v="1"/>
    <x v="2"/>
  </r>
  <r>
    <s v="STAFF-1392"/>
    <n v="41"/>
    <x v="0"/>
    <x v="1"/>
    <x v="1"/>
    <n v="5467"/>
    <x v="0"/>
    <n v="4"/>
    <x v="0"/>
    <x v="1"/>
    <x v="0"/>
  </r>
  <r>
    <s v="STAFF-1394"/>
    <n v="37"/>
    <x v="1"/>
    <x v="1"/>
    <x v="1"/>
    <n v="2996"/>
    <x v="0"/>
    <n v="3"/>
    <x v="0"/>
    <x v="1"/>
    <x v="1"/>
  </r>
  <r>
    <s v="STAFF-1395"/>
    <n v="33"/>
    <x v="1"/>
    <x v="0"/>
    <x v="0"/>
    <n v="9998"/>
    <x v="8"/>
    <n v="4"/>
    <x v="1"/>
    <x v="1"/>
    <x v="2"/>
  </r>
  <r>
    <s v="STAFF-1396"/>
    <n v="32"/>
    <x v="1"/>
    <x v="0"/>
    <x v="0"/>
    <n v="4078"/>
    <x v="11"/>
    <n v="2"/>
    <x v="0"/>
    <x v="1"/>
    <x v="0"/>
  </r>
  <r>
    <s v="STAFF-1397"/>
    <n v="39"/>
    <x v="1"/>
    <x v="1"/>
    <x v="4"/>
    <n v="10920"/>
    <x v="0"/>
    <n v="3"/>
    <x v="1"/>
    <x v="1"/>
    <x v="2"/>
  </r>
  <r>
    <s v="STAFF-1399"/>
    <n v="25"/>
    <x v="1"/>
    <x v="0"/>
    <x v="0"/>
    <n v="6232"/>
    <x v="11"/>
    <n v="3"/>
    <x v="1"/>
    <x v="1"/>
    <x v="0"/>
  </r>
  <r>
    <s v="STAFF-1401"/>
    <n v="52"/>
    <x v="0"/>
    <x v="1"/>
    <x v="3"/>
    <n v="13247"/>
    <x v="8"/>
    <n v="3"/>
    <x v="0"/>
    <x v="1"/>
    <x v="2"/>
  </r>
  <r>
    <s v="STAFF-1402"/>
    <n v="43"/>
    <x v="0"/>
    <x v="1"/>
    <x v="1"/>
    <n v="4081"/>
    <x v="23"/>
    <n v="3"/>
    <x v="0"/>
    <x v="1"/>
    <x v="0"/>
  </r>
  <r>
    <s v="STAFF-1403"/>
    <n v="27"/>
    <x v="0"/>
    <x v="0"/>
    <x v="0"/>
    <n v="5769"/>
    <x v="0"/>
    <n v="4"/>
    <x v="0"/>
    <x v="1"/>
    <x v="0"/>
  </r>
  <r>
    <s v="STAFF-1405"/>
    <n v="27"/>
    <x v="0"/>
    <x v="1"/>
    <x v="1"/>
    <n v="2394"/>
    <x v="3"/>
    <n v="3"/>
    <x v="0"/>
    <x v="0"/>
    <x v="1"/>
  </r>
  <r>
    <s v="STAFF-1407"/>
    <n v="26"/>
    <x v="1"/>
    <x v="1"/>
    <x v="1"/>
    <n v="3904"/>
    <x v="9"/>
    <n v="4"/>
    <x v="1"/>
    <x v="1"/>
    <x v="0"/>
  </r>
  <r>
    <s v="STAFF-1408"/>
    <n v="42"/>
    <x v="0"/>
    <x v="2"/>
    <x v="5"/>
    <n v="16799"/>
    <x v="23"/>
    <n v="1"/>
    <x v="1"/>
    <x v="1"/>
    <x v="2"/>
  </r>
  <r>
    <s v="STAFF-1955"/>
    <n v="32"/>
    <x v="0"/>
    <x v="1"/>
    <x v="4"/>
    <n v="6667"/>
    <x v="8"/>
    <n v="4"/>
    <x v="1"/>
    <x v="1"/>
    <x v="0"/>
  </r>
  <r>
    <s v="STAFF-1662"/>
    <n v="36"/>
    <x v="0"/>
    <x v="1"/>
    <x v="3"/>
    <n v="4374"/>
    <x v="11"/>
    <n v="3"/>
    <x v="1"/>
    <x v="1"/>
    <x v="0"/>
  </r>
  <r>
    <s v="STAFF-1630"/>
    <n v="35"/>
    <x v="0"/>
    <x v="1"/>
    <x v="4"/>
    <n v="4148"/>
    <x v="13"/>
    <n v="3"/>
    <x v="1"/>
    <x v="1"/>
    <x v="0"/>
  </r>
  <r>
    <s v="STAFF-2000"/>
    <n v="47"/>
    <x v="0"/>
    <x v="1"/>
    <x v="7"/>
    <n v="11957"/>
    <x v="20"/>
    <n v="2"/>
    <x v="1"/>
    <x v="1"/>
    <x v="2"/>
  </r>
  <r>
    <s v="STAFF-1839"/>
    <n v="18"/>
    <x v="0"/>
    <x v="1"/>
    <x v="1"/>
    <n v="1514"/>
    <x v="2"/>
    <n v="3"/>
    <x v="1"/>
    <x v="1"/>
    <x v="1"/>
  </r>
  <r>
    <s v="STAFF-1929"/>
    <n v="39"/>
    <x v="0"/>
    <x v="0"/>
    <x v="0"/>
    <n v="5736"/>
    <x v="11"/>
    <n v="3"/>
    <x v="1"/>
    <x v="1"/>
    <x v="0"/>
  </r>
  <r>
    <s v="STAFF-1495"/>
    <n v="24"/>
    <x v="0"/>
    <x v="0"/>
    <x v="6"/>
    <n v="2033"/>
    <x v="6"/>
    <n v="2"/>
    <x v="1"/>
    <x v="1"/>
    <x v="1"/>
  </r>
  <r>
    <s v="STAFF-1756"/>
    <n v="33"/>
    <x v="0"/>
    <x v="0"/>
    <x v="0"/>
    <n v="5147"/>
    <x v="19"/>
    <n v="2"/>
    <x v="1"/>
    <x v="1"/>
    <x v="0"/>
  </r>
  <r>
    <s v="STAFF-1900"/>
    <n v="48"/>
    <x v="0"/>
    <x v="1"/>
    <x v="5"/>
    <n v="17174"/>
    <x v="14"/>
    <n v="4"/>
    <x v="1"/>
    <x v="1"/>
    <x v="2"/>
  </r>
  <r>
    <s v="STAFF-2025"/>
    <n v="36"/>
    <x v="0"/>
    <x v="1"/>
    <x v="3"/>
    <n v="5131"/>
    <x v="9"/>
    <n v="2"/>
    <x v="1"/>
    <x v="1"/>
    <x v="0"/>
  </r>
  <r>
    <s v="STAFF-1760"/>
    <n v="38"/>
    <x v="0"/>
    <x v="1"/>
    <x v="2"/>
    <n v="2468"/>
    <x v="0"/>
    <n v="2"/>
    <x v="1"/>
    <x v="1"/>
    <x v="1"/>
  </r>
  <r>
    <s v="STAFF-1870"/>
    <n v="27"/>
    <x v="0"/>
    <x v="1"/>
    <x v="1"/>
    <n v="4774"/>
    <x v="5"/>
    <n v="1"/>
    <x v="1"/>
    <x v="1"/>
    <x v="0"/>
  </r>
  <r>
    <s v="STAFF-1985"/>
    <n v="40"/>
    <x v="0"/>
    <x v="1"/>
    <x v="2"/>
    <n v="6323"/>
    <x v="1"/>
    <n v="3"/>
    <x v="1"/>
    <x v="1"/>
    <x v="0"/>
  </r>
  <r>
    <s v="STAFF-1513"/>
    <n v="29"/>
    <x v="0"/>
    <x v="1"/>
    <x v="2"/>
    <n v="3180"/>
    <x v="11"/>
    <n v="2"/>
    <x v="1"/>
    <x v="1"/>
    <x v="0"/>
  </r>
  <r>
    <s v="STAFF-1633"/>
    <n v="39"/>
    <x v="0"/>
    <x v="1"/>
    <x v="3"/>
    <n v="5042"/>
    <x v="7"/>
    <n v="3"/>
    <x v="1"/>
    <x v="1"/>
    <x v="0"/>
  </r>
  <r>
    <s v="STAFF-1480"/>
    <n v="42"/>
    <x v="0"/>
    <x v="1"/>
    <x v="2"/>
    <n v="3673"/>
    <x v="12"/>
    <n v="4"/>
    <x v="1"/>
    <x v="1"/>
    <x v="0"/>
  </r>
  <r>
    <s v="STAFF-1745"/>
    <n v="30"/>
    <x v="0"/>
    <x v="1"/>
    <x v="1"/>
    <n v="4968"/>
    <x v="7"/>
    <n v="1"/>
    <x v="1"/>
    <x v="1"/>
    <x v="0"/>
  </r>
  <r>
    <s v="STAFF-1481"/>
    <n v="44"/>
    <x v="0"/>
    <x v="0"/>
    <x v="0"/>
    <n v="4768"/>
    <x v="6"/>
    <n v="3"/>
    <x v="1"/>
    <x v="1"/>
    <x v="0"/>
  </r>
  <r>
    <s v="STAFF-1833"/>
    <n v="31"/>
    <x v="0"/>
    <x v="0"/>
    <x v="0"/>
    <n v="9637"/>
    <x v="11"/>
    <n v="1"/>
    <x v="1"/>
    <x v="1"/>
    <x v="2"/>
  </r>
  <r>
    <s v="STAFF-1987"/>
    <n v="25"/>
    <x v="0"/>
    <x v="2"/>
    <x v="8"/>
    <n v="2187"/>
    <x v="4"/>
    <n v="2"/>
    <x v="1"/>
    <x v="1"/>
    <x v="1"/>
  </r>
  <r>
    <s v="STAFF-1625"/>
    <n v="47"/>
    <x v="0"/>
    <x v="2"/>
    <x v="5"/>
    <n v="19658"/>
    <x v="8"/>
    <n v="3"/>
    <x v="1"/>
    <x v="1"/>
    <x v="2"/>
  </r>
  <r>
    <s v="STAFF-1461"/>
    <n v="31"/>
    <x v="0"/>
    <x v="2"/>
    <x v="8"/>
    <n v="2109"/>
    <x v="11"/>
    <n v="2"/>
    <x v="1"/>
    <x v="1"/>
    <x v="1"/>
  </r>
  <r>
    <s v="STAFF-1916"/>
    <n v="31"/>
    <x v="0"/>
    <x v="1"/>
    <x v="2"/>
    <n v="3978"/>
    <x v="4"/>
    <n v="3"/>
    <x v="1"/>
    <x v="1"/>
    <x v="0"/>
  </r>
  <r>
    <s v="STAFF-1829"/>
    <n v="40"/>
    <x v="0"/>
    <x v="1"/>
    <x v="4"/>
    <n v="4448"/>
    <x v="5"/>
    <n v="1"/>
    <x v="1"/>
    <x v="1"/>
    <x v="0"/>
  </r>
  <r>
    <s v="STAFF-1822"/>
    <n v="40"/>
    <x v="0"/>
    <x v="1"/>
    <x v="4"/>
    <n v="6513"/>
    <x v="8"/>
    <n v="4"/>
    <x v="1"/>
    <x v="1"/>
    <x v="0"/>
  </r>
  <r>
    <s v="STAFF-1762"/>
    <n v="29"/>
    <x v="0"/>
    <x v="1"/>
    <x v="1"/>
    <n v="2109"/>
    <x v="6"/>
    <n v="1"/>
    <x v="1"/>
    <x v="1"/>
    <x v="1"/>
  </r>
  <r>
    <s v="STAFF-1658"/>
    <n v="34"/>
    <x v="0"/>
    <x v="1"/>
    <x v="1"/>
    <n v="5433"/>
    <x v="19"/>
    <n v="2"/>
    <x v="1"/>
    <x v="1"/>
    <x v="0"/>
  </r>
  <r>
    <s v="STAFF-1635"/>
    <n v="45"/>
    <x v="0"/>
    <x v="1"/>
    <x v="3"/>
    <n v="5770"/>
    <x v="1"/>
    <n v="4"/>
    <x v="1"/>
    <x v="1"/>
    <x v="0"/>
  </r>
  <r>
    <s v="STAFF-1656"/>
    <n v="50"/>
    <x v="0"/>
    <x v="1"/>
    <x v="7"/>
    <n v="13269"/>
    <x v="13"/>
    <n v="1"/>
    <x v="1"/>
    <x v="1"/>
    <x v="2"/>
  </r>
  <r>
    <s v="STAFF-1502"/>
    <n v="33"/>
    <x v="0"/>
    <x v="1"/>
    <x v="2"/>
    <n v="3838"/>
    <x v="8"/>
    <n v="2"/>
    <x v="1"/>
    <x v="1"/>
    <x v="0"/>
  </r>
  <r>
    <s v="STAFF-1866"/>
    <n v="43"/>
    <x v="0"/>
    <x v="1"/>
    <x v="5"/>
    <n v="19392"/>
    <x v="22"/>
    <n v="3"/>
    <x v="1"/>
    <x v="1"/>
    <x v="2"/>
  </r>
  <r>
    <s v="STAFF-1786"/>
    <n v="51"/>
    <x v="0"/>
    <x v="1"/>
    <x v="5"/>
    <n v="13116"/>
    <x v="4"/>
    <n v="3"/>
    <x v="1"/>
    <x v="1"/>
    <x v="2"/>
  </r>
  <r>
    <s v="STAFF-1701"/>
    <n v="34"/>
    <x v="0"/>
    <x v="1"/>
    <x v="1"/>
    <n v="2929"/>
    <x v="1"/>
    <n v="4"/>
    <x v="1"/>
    <x v="1"/>
    <x v="1"/>
  </r>
  <r>
    <s v="STAFF-1647"/>
    <n v="27"/>
    <x v="0"/>
    <x v="1"/>
    <x v="1"/>
    <n v="3517"/>
    <x v="11"/>
    <n v="3"/>
    <x v="1"/>
    <x v="1"/>
    <x v="0"/>
  </r>
  <r>
    <s v="STAFF-1409"/>
    <n v="52"/>
    <x v="0"/>
    <x v="1"/>
    <x v="2"/>
    <n v="2950"/>
    <x v="8"/>
    <n v="1"/>
    <x v="1"/>
    <x v="1"/>
    <x v="1"/>
  </r>
  <r>
    <s v="STAFF-2015"/>
    <n v="38"/>
    <x v="0"/>
    <x v="1"/>
    <x v="7"/>
    <n v="13206"/>
    <x v="29"/>
    <n v="3"/>
    <x v="1"/>
    <x v="1"/>
    <x v="2"/>
  </r>
  <r>
    <s v="STAFF-1640"/>
    <n v="37"/>
    <x v="0"/>
    <x v="1"/>
    <x v="1"/>
    <n v="3936"/>
    <x v="3"/>
    <n v="2"/>
    <x v="1"/>
    <x v="1"/>
    <x v="0"/>
  </r>
  <r>
    <s v="STAFF-1544"/>
    <n v="29"/>
    <x v="0"/>
    <x v="1"/>
    <x v="4"/>
    <n v="9715"/>
    <x v="5"/>
    <n v="1"/>
    <x v="1"/>
    <x v="1"/>
    <x v="2"/>
  </r>
  <r>
    <s v="STAFF-2052"/>
    <n v="35"/>
    <x v="0"/>
    <x v="1"/>
    <x v="1"/>
    <n v="2977"/>
    <x v="9"/>
    <n v="4"/>
    <x v="1"/>
    <x v="1"/>
    <x v="1"/>
  </r>
  <r>
    <s v="STAFF-1802"/>
    <n v="40"/>
    <x v="0"/>
    <x v="1"/>
    <x v="2"/>
    <n v="3377"/>
    <x v="9"/>
    <n v="1"/>
    <x v="1"/>
    <x v="1"/>
    <x v="0"/>
  </r>
  <r>
    <s v="STAFF-1617"/>
    <n v="49"/>
    <x v="0"/>
    <x v="1"/>
    <x v="2"/>
    <n v="3211"/>
    <x v="7"/>
    <n v="1"/>
    <x v="1"/>
    <x v="1"/>
    <x v="0"/>
  </r>
  <r>
    <s v="STAFF-1576"/>
    <n v="48"/>
    <x v="0"/>
    <x v="1"/>
    <x v="1"/>
    <n v="2367"/>
    <x v="3"/>
    <n v="1"/>
    <x v="1"/>
    <x v="1"/>
    <x v="1"/>
  </r>
  <r>
    <s v="STAFF-1447"/>
    <n v="34"/>
    <x v="0"/>
    <x v="1"/>
    <x v="2"/>
    <n v="3294"/>
    <x v="8"/>
    <n v="2"/>
    <x v="1"/>
    <x v="1"/>
    <x v="0"/>
  </r>
  <r>
    <s v="STAFF-1555"/>
    <n v="32"/>
    <x v="0"/>
    <x v="1"/>
    <x v="1"/>
    <n v="5878"/>
    <x v="5"/>
    <n v="2"/>
    <x v="1"/>
    <x v="1"/>
    <x v="0"/>
  </r>
  <r>
    <s v="STAFF-1782"/>
    <n v="38"/>
    <x v="0"/>
    <x v="1"/>
    <x v="2"/>
    <n v="3702"/>
    <x v="8"/>
    <n v="3"/>
    <x v="1"/>
    <x v="1"/>
    <x v="0"/>
  </r>
  <r>
    <s v="STAFF-1687"/>
    <n v="38"/>
    <x v="0"/>
    <x v="1"/>
    <x v="2"/>
    <n v="3306"/>
    <x v="2"/>
    <n v="3"/>
    <x v="1"/>
    <x v="1"/>
    <x v="0"/>
  </r>
  <r>
    <s v="STAFF-1709"/>
    <n v="29"/>
    <x v="0"/>
    <x v="1"/>
    <x v="2"/>
    <n v="2974"/>
    <x v="8"/>
    <n v="3"/>
    <x v="1"/>
    <x v="1"/>
    <x v="1"/>
  </r>
  <r>
    <s v="STAFF-1830"/>
    <n v="54"/>
    <x v="0"/>
    <x v="1"/>
    <x v="1"/>
    <n v="6854"/>
    <x v="5"/>
    <n v="4"/>
    <x v="1"/>
    <x v="1"/>
    <x v="0"/>
  </r>
  <r>
    <s v="STAFF-1628"/>
    <n v="40"/>
    <x v="0"/>
    <x v="1"/>
    <x v="3"/>
    <n v="10435"/>
    <x v="29"/>
    <n v="3"/>
    <x v="1"/>
    <x v="1"/>
    <x v="2"/>
  </r>
  <r>
    <s v="STAFF-1655"/>
    <n v="49"/>
    <x v="0"/>
    <x v="1"/>
    <x v="7"/>
    <n v="16413"/>
    <x v="9"/>
    <n v="2"/>
    <x v="1"/>
    <x v="1"/>
    <x v="2"/>
  </r>
  <r>
    <s v="STAFF-1969"/>
    <n v="54"/>
    <x v="0"/>
    <x v="1"/>
    <x v="1"/>
    <n v="2897"/>
    <x v="9"/>
    <n v="3"/>
    <x v="1"/>
    <x v="1"/>
    <x v="1"/>
  </r>
  <r>
    <s v="STAFF-1443"/>
    <n v="47"/>
    <x v="0"/>
    <x v="1"/>
    <x v="7"/>
    <n v="17169"/>
    <x v="23"/>
    <n v="3"/>
    <x v="1"/>
    <x v="1"/>
    <x v="2"/>
  </r>
  <r>
    <s v="STAFF-1888"/>
    <n v="45"/>
    <x v="0"/>
    <x v="1"/>
    <x v="3"/>
    <n v="5906"/>
    <x v="7"/>
    <n v="4"/>
    <x v="1"/>
    <x v="1"/>
    <x v="0"/>
  </r>
  <r>
    <s v="STAFF-1651"/>
    <n v="36"/>
    <x v="0"/>
    <x v="1"/>
    <x v="4"/>
    <n v="8008"/>
    <x v="11"/>
    <n v="1"/>
    <x v="1"/>
    <x v="1"/>
    <x v="2"/>
  </r>
  <r>
    <s v="STAFF-1607"/>
    <n v="32"/>
    <x v="0"/>
    <x v="1"/>
    <x v="1"/>
    <n v="3312"/>
    <x v="11"/>
    <n v="4"/>
    <x v="1"/>
    <x v="1"/>
    <x v="0"/>
  </r>
  <r>
    <s v="STAFF-2051"/>
    <n v="40"/>
    <x v="0"/>
    <x v="1"/>
    <x v="1"/>
    <n v="2001"/>
    <x v="8"/>
    <n v="3"/>
    <x v="1"/>
    <x v="1"/>
    <x v="1"/>
  </r>
  <r>
    <s v="STAFF-1430"/>
    <n v="31"/>
    <x v="0"/>
    <x v="1"/>
    <x v="7"/>
    <n v="16422"/>
    <x v="11"/>
    <n v="2"/>
    <x v="1"/>
    <x v="1"/>
    <x v="2"/>
  </r>
  <r>
    <s v="STAFF-1411"/>
    <n v="37"/>
    <x v="0"/>
    <x v="1"/>
    <x v="2"/>
    <n v="3629"/>
    <x v="11"/>
    <n v="3"/>
    <x v="1"/>
    <x v="1"/>
    <x v="0"/>
  </r>
  <r>
    <s v="STAFF-1816"/>
    <n v="30"/>
    <x v="0"/>
    <x v="1"/>
    <x v="3"/>
    <n v="9667"/>
    <x v="5"/>
    <n v="3"/>
    <x v="1"/>
    <x v="1"/>
    <x v="2"/>
  </r>
  <r>
    <s v="STAFF-1525"/>
    <n v="39"/>
    <x v="0"/>
    <x v="1"/>
    <x v="3"/>
    <n v="8376"/>
    <x v="4"/>
    <n v="2"/>
    <x v="1"/>
    <x v="1"/>
    <x v="2"/>
  </r>
  <r>
    <s v="STAFF-1856"/>
    <n v="47"/>
    <x v="0"/>
    <x v="1"/>
    <x v="2"/>
    <n v="2105"/>
    <x v="4"/>
    <n v="3"/>
    <x v="1"/>
    <x v="1"/>
    <x v="1"/>
  </r>
  <r>
    <s v="STAFF-2010"/>
    <n v="32"/>
    <x v="0"/>
    <x v="1"/>
    <x v="2"/>
    <n v="2837"/>
    <x v="0"/>
    <n v="2"/>
    <x v="1"/>
    <x v="1"/>
    <x v="1"/>
  </r>
  <r>
    <s v="STAFF-1735"/>
    <n v="23"/>
    <x v="0"/>
    <x v="1"/>
    <x v="2"/>
    <n v="3295"/>
    <x v="11"/>
    <n v="2"/>
    <x v="1"/>
    <x v="1"/>
    <x v="0"/>
  </r>
  <r>
    <s v="STAFF-1751"/>
    <n v="27"/>
    <x v="0"/>
    <x v="1"/>
    <x v="1"/>
    <n v="3445"/>
    <x v="0"/>
    <n v="4"/>
    <x v="1"/>
    <x v="1"/>
    <x v="0"/>
  </r>
  <r>
    <s v="STAFF-2054"/>
    <n v="29"/>
    <x v="0"/>
    <x v="1"/>
    <x v="1"/>
    <n v="3785"/>
    <x v="8"/>
    <n v="1"/>
    <x v="1"/>
    <x v="1"/>
    <x v="0"/>
  </r>
  <r>
    <s v="STAFF-1529"/>
    <n v="35"/>
    <x v="0"/>
    <x v="1"/>
    <x v="4"/>
    <n v="8606"/>
    <x v="19"/>
    <n v="2"/>
    <x v="1"/>
    <x v="1"/>
    <x v="2"/>
  </r>
  <r>
    <s v="STAFF-1719"/>
    <n v="45"/>
    <x v="0"/>
    <x v="1"/>
    <x v="7"/>
    <n v="16704"/>
    <x v="17"/>
    <n v="2"/>
    <x v="1"/>
    <x v="1"/>
    <x v="2"/>
  </r>
  <r>
    <s v="STAFF-1422"/>
    <n v="54"/>
    <x v="0"/>
    <x v="1"/>
    <x v="7"/>
    <n v="17328"/>
    <x v="23"/>
    <n v="4"/>
    <x v="1"/>
    <x v="1"/>
    <x v="2"/>
  </r>
  <r>
    <s v="STAFF-1863"/>
    <n v="46"/>
    <x v="0"/>
    <x v="0"/>
    <x v="0"/>
    <n v="13225"/>
    <x v="27"/>
    <n v="1"/>
    <x v="1"/>
    <x v="1"/>
    <x v="2"/>
  </r>
  <r>
    <s v="STAFF-1557"/>
    <n v="48"/>
    <x v="0"/>
    <x v="0"/>
    <x v="0"/>
    <n v="6439"/>
    <x v="3"/>
    <n v="3"/>
    <x v="1"/>
    <x v="1"/>
    <x v="0"/>
  </r>
  <r>
    <s v="STAFF-1428"/>
    <n v="30"/>
    <x v="0"/>
    <x v="0"/>
    <x v="0"/>
    <n v="4779"/>
    <x v="11"/>
    <n v="1"/>
    <x v="1"/>
    <x v="1"/>
    <x v="0"/>
  </r>
  <r>
    <s v="STAFF-1676"/>
    <n v="47"/>
    <x v="0"/>
    <x v="0"/>
    <x v="5"/>
    <n v="15972"/>
    <x v="11"/>
    <n v="2"/>
    <x v="1"/>
    <x v="1"/>
    <x v="2"/>
  </r>
  <r>
    <s v="STAFF-2041"/>
    <n v="38"/>
    <x v="0"/>
    <x v="0"/>
    <x v="0"/>
    <n v="5343"/>
    <x v="1"/>
    <n v="4"/>
    <x v="1"/>
    <x v="1"/>
    <x v="0"/>
  </r>
  <r>
    <s v="STAFF-2045"/>
    <n v="36"/>
    <x v="0"/>
    <x v="0"/>
    <x v="0"/>
    <n v="6652"/>
    <x v="0"/>
    <n v="4"/>
    <x v="1"/>
    <x v="1"/>
    <x v="0"/>
  </r>
  <r>
    <s v="STAFF-2056"/>
    <n v="39"/>
    <x v="0"/>
    <x v="0"/>
    <x v="0"/>
    <n v="12031"/>
    <x v="23"/>
    <n v="4"/>
    <x v="1"/>
    <x v="1"/>
    <x v="2"/>
  </r>
  <r>
    <s v="STAFF-1986"/>
    <n v="40"/>
    <x v="0"/>
    <x v="0"/>
    <x v="0"/>
    <n v="5677"/>
    <x v="19"/>
    <n v="2"/>
    <x v="1"/>
    <x v="1"/>
    <x v="0"/>
  </r>
  <r>
    <s v="STAFF-1875"/>
    <n v="28"/>
    <x v="0"/>
    <x v="0"/>
    <x v="6"/>
    <n v="2856"/>
    <x v="6"/>
    <n v="2"/>
    <x v="1"/>
    <x v="1"/>
    <x v="1"/>
  </r>
  <r>
    <s v="STAFF-1527"/>
    <n v="46"/>
    <x v="0"/>
    <x v="0"/>
    <x v="5"/>
    <n v="16606"/>
    <x v="20"/>
    <n v="2"/>
    <x v="1"/>
    <x v="1"/>
    <x v="2"/>
  </r>
  <r>
    <s v="STAFF-1935"/>
    <n v="56"/>
    <x v="0"/>
    <x v="0"/>
    <x v="0"/>
    <n v="5380"/>
    <x v="2"/>
    <n v="1"/>
    <x v="1"/>
    <x v="1"/>
    <x v="0"/>
  </r>
  <r>
    <s v="STAFF-1598"/>
    <n v="40"/>
    <x v="0"/>
    <x v="0"/>
    <x v="0"/>
    <n v="4639"/>
    <x v="8"/>
    <n v="1"/>
    <x v="1"/>
    <x v="1"/>
    <x v="0"/>
  </r>
  <r>
    <s v="STAFF-1784"/>
    <n v="31"/>
    <x v="0"/>
    <x v="0"/>
    <x v="0"/>
    <n v="5468"/>
    <x v="12"/>
    <n v="4"/>
    <x v="1"/>
    <x v="1"/>
    <x v="0"/>
  </r>
  <r>
    <s v="STAFF-2024"/>
    <n v="36"/>
    <x v="0"/>
    <x v="0"/>
    <x v="0"/>
    <n v="7644"/>
    <x v="7"/>
    <n v="4"/>
    <x v="1"/>
    <x v="1"/>
    <x v="2"/>
  </r>
  <r>
    <s v="STAFF-1673"/>
    <n v="31"/>
    <x v="0"/>
    <x v="0"/>
    <x v="0"/>
    <n v="5476"/>
    <x v="1"/>
    <n v="4"/>
    <x v="1"/>
    <x v="1"/>
    <x v="0"/>
  </r>
  <r>
    <s v="STAFF-1436"/>
    <n v="36"/>
    <x v="0"/>
    <x v="0"/>
    <x v="0"/>
    <n v="5647"/>
    <x v="11"/>
    <n v="1"/>
    <x v="1"/>
    <x v="1"/>
    <x v="0"/>
  </r>
  <r>
    <s v="STAFF-2016"/>
    <n v="32"/>
    <x v="0"/>
    <x v="0"/>
    <x v="0"/>
    <n v="10422"/>
    <x v="13"/>
    <n v="4"/>
    <x v="1"/>
    <x v="1"/>
    <x v="2"/>
  </r>
  <r>
    <s v="STAFF-1898"/>
    <n v="27"/>
    <x v="0"/>
    <x v="0"/>
    <x v="0"/>
    <n v="6500"/>
    <x v="3"/>
    <n v="3"/>
    <x v="1"/>
    <x v="1"/>
    <x v="0"/>
  </r>
  <r>
    <s v="STAFF-1583"/>
    <n v="38"/>
    <x v="0"/>
    <x v="0"/>
    <x v="0"/>
    <n v="4198"/>
    <x v="11"/>
    <n v="2"/>
    <x v="1"/>
    <x v="1"/>
    <x v="0"/>
  </r>
  <r>
    <s v="STAFF-1585"/>
    <n v="36"/>
    <x v="0"/>
    <x v="0"/>
    <x v="0"/>
    <n v="6815"/>
    <x v="6"/>
    <n v="3"/>
    <x v="1"/>
    <x v="1"/>
    <x v="0"/>
  </r>
  <r>
    <s v="STAFF-1657"/>
    <n v="20"/>
    <x v="0"/>
    <x v="0"/>
    <x v="6"/>
    <n v="2783"/>
    <x v="4"/>
    <n v="3"/>
    <x v="1"/>
    <x v="1"/>
    <x v="1"/>
  </r>
  <r>
    <s v="STAFF-1710"/>
    <n v="36"/>
    <x v="0"/>
    <x v="0"/>
    <x v="6"/>
    <n v="4502"/>
    <x v="20"/>
    <n v="4"/>
    <x v="1"/>
    <x v="1"/>
    <x v="0"/>
  </r>
  <r>
    <s v="STAFF-1779"/>
    <n v="34"/>
    <x v="0"/>
    <x v="0"/>
    <x v="0"/>
    <n v="6029"/>
    <x v="4"/>
    <n v="4"/>
    <x v="1"/>
    <x v="1"/>
    <x v="0"/>
  </r>
  <r>
    <s v="STAFF-2060"/>
    <n v="26"/>
    <x v="0"/>
    <x v="0"/>
    <x v="6"/>
    <n v="2966"/>
    <x v="9"/>
    <n v="3"/>
    <x v="1"/>
    <x v="1"/>
    <x v="1"/>
  </r>
  <r>
    <s v="STAFF-2046"/>
    <n v="45"/>
    <x v="0"/>
    <x v="0"/>
    <x v="0"/>
    <n v="4850"/>
    <x v="8"/>
    <n v="3"/>
    <x v="1"/>
    <x v="1"/>
    <x v="0"/>
  </r>
  <r>
    <s v="STAFF-1757"/>
    <n v="49"/>
    <x v="0"/>
    <x v="0"/>
    <x v="0"/>
    <n v="4507"/>
    <x v="8"/>
    <n v="4"/>
    <x v="1"/>
    <x v="1"/>
    <x v="0"/>
  </r>
  <r>
    <s v="STAFF-1858"/>
    <n v="28"/>
    <x v="1"/>
    <x v="2"/>
    <x v="8"/>
    <n v="2706"/>
    <x v="11"/>
    <n v="4"/>
    <x v="1"/>
    <x v="1"/>
    <x v="1"/>
  </r>
  <r>
    <s v="STAFF-1805"/>
    <n v="38"/>
    <x v="1"/>
    <x v="2"/>
    <x v="8"/>
    <n v="2592"/>
    <x v="19"/>
    <n v="2"/>
    <x v="1"/>
    <x v="1"/>
    <x v="1"/>
  </r>
  <r>
    <s v="STAFF-1722"/>
    <n v="41"/>
    <x v="1"/>
    <x v="2"/>
    <x v="8"/>
    <n v="6430"/>
    <x v="11"/>
    <n v="2"/>
    <x v="1"/>
    <x v="1"/>
    <x v="0"/>
  </r>
  <r>
    <s v="STAFF-1804"/>
    <n v="35"/>
    <x v="1"/>
    <x v="1"/>
    <x v="3"/>
    <n v="5762"/>
    <x v="5"/>
    <n v="4"/>
    <x v="1"/>
    <x v="1"/>
    <x v="0"/>
  </r>
  <r>
    <s v="STAFF-1468"/>
    <n v="40"/>
    <x v="1"/>
    <x v="1"/>
    <x v="7"/>
    <n v="13757"/>
    <x v="7"/>
    <n v="2"/>
    <x v="1"/>
    <x v="1"/>
    <x v="2"/>
  </r>
  <r>
    <s v="STAFF-1482"/>
    <n v="30"/>
    <x v="1"/>
    <x v="1"/>
    <x v="1"/>
    <n v="1274"/>
    <x v="6"/>
    <n v="3"/>
    <x v="1"/>
    <x v="1"/>
    <x v="1"/>
  </r>
  <r>
    <s v="STAFF-1449"/>
    <n v="40"/>
    <x v="1"/>
    <x v="1"/>
    <x v="2"/>
    <n v="3975"/>
    <x v="3"/>
    <n v="3"/>
    <x v="1"/>
    <x v="1"/>
    <x v="0"/>
  </r>
  <r>
    <s v="STAFF-1771"/>
    <n v="33"/>
    <x v="1"/>
    <x v="1"/>
    <x v="1"/>
    <n v="3055"/>
    <x v="7"/>
    <n v="2"/>
    <x v="1"/>
    <x v="1"/>
    <x v="0"/>
  </r>
  <r>
    <s v="STAFF-1994"/>
    <n v="33"/>
    <x v="1"/>
    <x v="1"/>
    <x v="2"/>
    <n v="2008"/>
    <x v="6"/>
    <n v="3"/>
    <x v="1"/>
    <x v="1"/>
    <x v="1"/>
  </r>
  <r>
    <s v="STAFF-1934"/>
    <n v="47"/>
    <x v="1"/>
    <x v="1"/>
    <x v="1"/>
    <n v="5467"/>
    <x v="3"/>
    <n v="2"/>
    <x v="1"/>
    <x v="1"/>
    <x v="0"/>
  </r>
  <r>
    <s v="STAFF-1574"/>
    <n v="32"/>
    <x v="1"/>
    <x v="1"/>
    <x v="1"/>
    <n v="4087"/>
    <x v="0"/>
    <n v="1"/>
    <x v="1"/>
    <x v="1"/>
    <x v="0"/>
  </r>
  <r>
    <s v="STAFF-1813"/>
    <n v="43"/>
    <x v="1"/>
    <x v="1"/>
    <x v="1"/>
    <n v="2438"/>
    <x v="11"/>
    <n v="3"/>
    <x v="1"/>
    <x v="1"/>
    <x v="1"/>
  </r>
  <r>
    <s v="STAFF-2057"/>
    <n v="31"/>
    <x v="1"/>
    <x v="1"/>
    <x v="3"/>
    <n v="9936"/>
    <x v="7"/>
    <n v="1"/>
    <x v="1"/>
    <x v="1"/>
    <x v="2"/>
  </r>
  <r>
    <s v="STAFF-1764"/>
    <n v="32"/>
    <x v="1"/>
    <x v="1"/>
    <x v="1"/>
    <n v="2718"/>
    <x v="5"/>
    <n v="2"/>
    <x v="1"/>
    <x v="1"/>
    <x v="1"/>
  </r>
  <r>
    <s v="STAFF-1471"/>
    <n v="44"/>
    <x v="1"/>
    <x v="1"/>
    <x v="2"/>
    <n v="3162"/>
    <x v="8"/>
    <n v="3"/>
    <x v="1"/>
    <x v="1"/>
    <x v="0"/>
  </r>
  <r>
    <s v="STAFF-1947"/>
    <n v="28"/>
    <x v="1"/>
    <x v="1"/>
    <x v="1"/>
    <n v="2144"/>
    <x v="8"/>
    <n v="3"/>
    <x v="1"/>
    <x v="1"/>
    <x v="1"/>
  </r>
  <r>
    <s v="STAFF-1440"/>
    <n v="37"/>
    <x v="1"/>
    <x v="1"/>
    <x v="2"/>
    <n v="3500"/>
    <x v="0"/>
    <n v="3"/>
    <x v="1"/>
    <x v="1"/>
    <x v="0"/>
  </r>
  <r>
    <s v="STAFF-1976"/>
    <n v="42"/>
    <x v="1"/>
    <x v="1"/>
    <x v="1"/>
    <n v="4332"/>
    <x v="23"/>
    <n v="3"/>
    <x v="1"/>
    <x v="1"/>
    <x v="0"/>
  </r>
  <r>
    <s v="STAFF-2022"/>
    <n v="39"/>
    <x v="1"/>
    <x v="1"/>
    <x v="5"/>
    <n v="19431"/>
    <x v="0"/>
    <n v="4"/>
    <x v="1"/>
    <x v="1"/>
    <x v="2"/>
  </r>
  <r>
    <s v="STAFF-2019"/>
    <n v="52"/>
    <x v="1"/>
    <x v="0"/>
    <x v="6"/>
    <n v="3482"/>
    <x v="7"/>
    <n v="4"/>
    <x v="1"/>
    <x v="1"/>
    <x v="0"/>
  </r>
  <r>
    <s v="STAFF-1612"/>
    <n v="45"/>
    <x v="1"/>
    <x v="0"/>
    <x v="0"/>
    <n v="4385"/>
    <x v="1"/>
    <n v="1"/>
    <x v="1"/>
    <x v="1"/>
    <x v="0"/>
  </r>
  <r>
    <s v="STAFF-1731"/>
    <n v="47"/>
    <x v="1"/>
    <x v="0"/>
    <x v="0"/>
    <n v="4978"/>
    <x v="6"/>
    <n v="2"/>
    <x v="1"/>
    <x v="1"/>
    <x v="0"/>
  </r>
  <r>
    <s v="STAFF-1801"/>
    <n v="46"/>
    <x v="1"/>
    <x v="0"/>
    <x v="0"/>
    <n v="7991"/>
    <x v="4"/>
    <n v="2"/>
    <x v="1"/>
    <x v="1"/>
    <x v="2"/>
  </r>
  <r>
    <s v="STAFF-1563"/>
    <n v="38"/>
    <x v="1"/>
    <x v="2"/>
    <x v="8"/>
    <n v="6077"/>
    <x v="0"/>
    <n v="3"/>
    <x v="1"/>
    <x v="1"/>
    <x v="0"/>
  </r>
  <r>
    <s v="STAFF-1746"/>
    <n v="24"/>
    <x v="1"/>
    <x v="2"/>
    <x v="8"/>
    <n v="2145"/>
    <x v="4"/>
    <n v="4"/>
    <x v="1"/>
    <x v="1"/>
    <x v="1"/>
  </r>
  <r>
    <s v="STAFF-1590"/>
    <n v="29"/>
    <x v="1"/>
    <x v="1"/>
    <x v="4"/>
    <n v="8853"/>
    <x v="0"/>
    <n v="4"/>
    <x v="1"/>
    <x v="1"/>
    <x v="2"/>
  </r>
  <r>
    <s v="STAFF-1615"/>
    <n v="34"/>
    <x v="1"/>
    <x v="1"/>
    <x v="3"/>
    <n v="4724"/>
    <x v="7"/>
    <n v="4"/>
    <x v="1"/>
    <x v="1"/>
    <x v="0"/>
  </r>
  <r>
    <s v="STAFF-1485"/>
    <n v="34"/>
    <x v="1"/>
    <x v="1"/>
    <x v="7"/>
    <n v="17007"/>
    <x v="13"/>
    <n v="1"/>
    <x v="1"/>
    <x v="1"/>
    <x v="2"/>
  </r>
  <r>
    <s v="STAFF-1431"/>
    <n v="34"/>
    <x v="1"/>
    <x v="1"/>
    <x v="1"/>
    <n v="2996"/>
    <x v="9"/>
    <n v="1"/>
    <x v="1"/>
    <x v="1"/>
    <x v="1"/>
  </r>
  <r>
    <s v="STAFF-1653"/>
    <n v="25"/>
    <x v="1"/>
    <x v="1"/>
    <x v="3"/>
    <n v="5206"/>
    <x v="5"/>
    <n v="3"/>
    <x v="1"/>
    <x v="1"/>
    <x v="0"/>
  </r>
  <r>
    <s v="STAFF-1941"/>
    <n v="49"/>
    <x v="1"/>
    <x v="1"/>
    <x v="7"/>
    <n v="19161"/>
    <x v="8"/>
    <n v="4"/>
    <x v="1"/>
    <x v="1"/>
    <x v="2"/>
  </r>
  <r>
    <s v="STAFF-1852"/>
    <n v="29"/>
    <x v="1"/>
    <x v="1"/>
    <x v="2"/>
    <n v="3812"/>
    <x v="19"/>
    <n v="4"/>
    <x v="1"/>
    <x v="1"/>
    <x v="0"/>
  </r>
  <r>
    <s v="STAFF-1997"/>
    <n v="38"/>
    <x v="1"/>
    <x v="1"/>
    <x v="3"/>
    <n v="5321"/>
    <x v="3"/>
    <n v="3"/>
    <x v="1"/>
    <x v="1"/>
    <x v="0"/>
  </r>
  <r>
    <s v="STAFF-1720"/>
    <n v="32"/>
    <x v="1"/>
    <x v="1"/>
    <x v="1"/>
    <n v="3433"/>
    <x v="8"/>
    <n v="3"/>
    <x v="1"/>
    <x v="1"/>
    <x v="0"/>
  </r>
  <r>
    <s v="STAFF-1918"/>
    <n v="26"/>
    <x v="1"/>
    <x v="1"/>
    <x v="2"/>
    <n v="2544"/>
    <x v="5"/>
    <n v="4"/>
    <x v="1"/>
    <x v="1"/>
    <x v="1"/>
  </r>
  <r>
    <s v="STAFF-2061"/>
    <n v="36"/>
    <x v="1"/>
    <x v="1"/>
    <x v="2"/>
    <n v="2571"/>
    <x v="8"/>
    <n v="4"/>
    <x v="1"/>
    <x v="1"/>
    <x v="1"/>
  </r>
  <r>
    <s v="STAFF-1597"/>
    <n v="34"/>
    <x v="1"/>
    <x v="1"/>
    <x v="4"/>
    <n v="5063"/>
    <x v="3"/>
    <n v="3"/>
    <x v="1"/>
    <x v="1"/>
    <x v="0"/>
  </r>
  <r>
    <s v="STAFF-1668"/>
    <n v="38"/>
    <x v="1"/>
    <x v="1"/>
    <x v="1"/>
    <n v="4735"/>
    <x v="20"/>
    <n v="4"/>
    <x v="1"/>
    <x v="1"/>
    <x v="0"/>
  </r>
  <r>
    <s v="STAFF-1922"/>
    <n v="45"/>
    <x v="1"/>
    <x v="1"/>
    <x v="4"/>
    <n v="5399"/>
    <x v="9"/>
    <n v="3"/>
    <x v="1"/>
    <x v="1"/>
    <x v="0"/>
  </r>
  <r>
    <s v="STAFF-1412"/>
    <n v="35"/>
    <x v="1"/>
    <x v="1"/>
    <x v="3"/>
    <n v="9362"/>
    <x v="4"/>
    <n v="4"/>
    <x v="1"/>
    <x v="1"/>
    <x v="2"/>
  </r>
  <r>
    <s v="STAFF-1648"/>
    <n v="27"/>
    <x v="1"/>
    <x v="1"/>
    <x v="1"/>
    <n v="2580"/>
    <x v="9"/>
    <n v="4"/>
    <x v="1"/>
    <x v="1"/>
    <x v="1"/>
  </r>
  <r>
    <s v="STAFF-1812"/>
    <n v="39"/>
    <x v="1"/>
    <x v="0"/>
    <x v="0"/>
    <n v="4127"/>
    <x v="4"/>
    <n v="4"/>
    <x v="1"/>
    <x v="1"/>
    <x v="0"/>
  </r>
  <r>
    <s v="STAFF-1700"/>
    <n v="37"/>
    <x v="1"/>
    <x v="0"/>
    <x v="0"/>
    <n v="9525"/>
    <x v="0"/>
    <n v="4"/>
    <x v="1"/>
    <x v="1"/>
    <x v="2"/>
  </r>
  <r>
    <s v="STAFF-2065"/>
    <n v="49"/>
    <x v="1"/>
    <x v="0"/>
    <x v="0"/>
    <n v="5390"/>
    <x v="7"/>
    <n v="2"/>
    <x v="1"/>
    <x v="1"/>
    <x v="0"/>
  </r>
  <r>
    <s v="STAFF-1477"/>
    <n v="33"/>
    <x v="1"/>
    <x v="0"/>
    <x v="0"/>
    <n v="4373"/>
    <x v="9"/>
    <n v="1"/>
    <x v="1"/>
    <x v="1"/>
    <x v="0"/>
  </r>
  <r>
    <s v="STAFF-1507"/>
    <n v="28"/>
    <x v="1"/>
    <x v="0"/>
    <x v="0"/>
    <n v="4898"/>
    <x v="9"/>
    <n v="1"/>
    <x v="1"/>
    <x v="1"/>
    <x v="0"/>
  </r>
  <r>
    <s v="STAFF-1613"/>
    <n v="31"/>
    <x v="1"/>
    <x v="0"/>
    <x v="0"/>
    <n v="5332"/>
    <x v="8"/>
    <n v="1"/>
    <x v="1"/>
    <x v="1"/>
    <x v="0"/>
  </r>
  <r>
    <s v="STAFF-1853"/>
    <n v="32"/>
    <x v="1"/>
    <x v="0"/>
    <x v="0"/>
    <n v="4648"/>
    <x v="2"/>
    <n v="4"/>
    <x v="1"/>
    <x v="1"/>
    <x v="0"/>
  </r>
  <r>
    <s v="STAFF-1794"/>
    <n v="37"/>
    <x v="1"/>
    <x v="2"/>
    <x v="8"/>
    <n v="4071"/>
    <x v="1"/>
    <n v="2"/>
    <x v="1"/>
    <x v="1"/>
    <x v="0"/>
  </r>
  <r>
    <s v="STAFF-1865"/>
    <n v="29"/>
    <x v="1"/>
    <x v="2"/>
    <x v="8"/>
    <n v="2804"/>
    <x v="6"/>
    <n v="2"/>
    <x v="1"/>
    <x v="1"/>
    <x v="1"/>
  </r>
  <r>
    <s v="STAFF-1419"/>
    <n v="29"/>
    <x v="1"/>
    <x v="2"/>
    <x v="8"/>
    <n v="7988"/>
    <x v="1"/>
    <n v="1"/>
    <x v="1"/>
    <x v="1"/>
    <x v="2"/>
  </r>
  <r>
    <s v="STAFF-1778"/>
    <n v="43"/>
    <x v="1"/>
    <x v="2"/>
    <x v="8"/>
    <n v="3539"/>
    <x v="7"/>
    <n v="4"/>
    <x v="1"/>
    <x v="1"/>
    <x v="0"/>
  </r>
  <r>
    <s v="STAFF-1694"/>
    <n v="55"/>
    <x v="1"/>
    <x v="1"/>
    <x v="1"/>
    <n v="3537"/>
    <x v="9"/>
    <n v="2"/>
    <x v="1"/>
    <x v="1"/>
    <x v="0"/>
  </r>
  <r>
    <s v="STAFF-1506"/>
    <n v="28"/>
    <x v="1"/>
    <x v="1"/>
    <x v="1"/>
    <n v="1563"/>
    <x v="6"/>
    <n v="3"/>
    <x v="1"/>
    <x v="1"/>
    <x v="1"/>
  </r>
  <r>
    <s v="STAFF-1892"/>
    <n v="40"/>
    <x v="1"/>
    <x v="1"/>
    <x v="5"/>
    <n v="16823"/>
    <x v="27"/>
    <n v="1"/>
    <x v="1"/>
    <x v="1"/>
    <x v="2"/>
  </r>
  <r>
    <s v="STAFF-1881"/>
    <n v="31"/>
    <x v="1"/>
    <x v="1"/>
    <x v="2"/>
    <n v="4197"/>
    <x v="1"/>
    <n v="3"/>
    <x v="1"/>
    <x v="1"/>
    <x v="0"/>
  </r>
  <r>
    <s v="STAFF-1627"/>
    <n v="39"/>
    <x v="1"/>
    <x v="1"/>
    <x v="2"/>
    <n v="3069"/>
    <x v="1"/>
    <n v="3"/>
    <x v="1"/>
    <x v="1"/>
    <x v="0"/>
  </r>
  <r>
    <s v="STAFF-1474"/>
    <n v="40"/>
    <x v="1"/>
    <x v="1"/>
    <x v="1"/>
    <n v="2345"/>
    <x v="11"/>
    <n v="3"/>
    <x v="1"/>
    <x v="1"/>
    <x v="1"/>
  </r>
  <r>
    <s v="STAFF-1857"/>
    <n v="46"/>
    <x v="1"/>
    <x v="1"/>
    <x v="3"/>
    <n v="8578"/>
    <x v="7"/>
    <n v="4"/>
    <x v="1"/>
    <x v="1"/>
    <x v="2"/>
  </r>
  <r>
    <s v="STAFF-1599"/>
    <n v="43"/>
    <x v="1"/>
    <x v="1"/>
    <x v="2"/>
    <n v="4876"/>
    <x v="0"/>
    <n v="2"/>
    <x v="1"/>
    <x v="1"/>
    <x v="0"/>
  </r>
  <r>
    <s v="STAFF-1940"/>
    <n v="38"/>
    <x v="1"/>
    <x v="1"/>
    <x v="1"/>
    <n v="4771"/>
    <x v="8"/>
    <n v="4"/>
    <x v="1"/>
    <x v="1"/>
    <x v="0"/>
  </r>
  <r>
    <s v="STAFF-1424"/>
    <n v="55"/>
    <x v="1"/>
    <x v="1"/>
    <x v="7"/>
    <n v="14732"/>
    <x v="5"/>
    <n v="4"/>
    <x v="1"/>
    <x v="1"/>
    <x v="2"/>
  </r>
  <r>
    <s v="STAFF-1484"/>
    <n v="49"/>
    <x v="1"/>
    <x v="1"/>
    <x v="4"/>
    <n v="10466"/>
    <x v="3"/>
    <n v="2"/>
    <x v="1"/>
    <x v="1"/>
    <x v="2"/>
  </r>
  <r>
    <s v="STAFF-1859"/>
    <n v="29"/>
    <x v="1"/>
    <x v="1"/>
    <x v="4"/>
    <n v="6384"/>
    <x v="5"/>
    <n v="3"/>
    <x v="1"/>
    <x v="1"/>
    <x v="0"/>
  </r>
  <r>
    <s v="STAFF-1619"/>
    <n v="27"/>
    <x v="1"/>
    <x v="1"/>
    <x v="2"/>
    <n v="4066"/>
    <x v="5"/>
    <n v="1"/>
    <x v="1"/>
    <x v="1"/>
    <x v="0"/>
  </r>
  <r>
    <s v="STAFF-1671"/>
    <n v="32"/>
    <x v="1"/>
    <x v="1"/>
    <x v="1"/>
    <n v="5470"/>
    <x v="7"/>
    <n v="2"/>
    <x v="1"/>
    <x v="1"/>
    <x v="0"/>
  </r>
  <r>
    <s v="STAFF-1553"/>
    <n v="45"/>
    <x v="1"/>
    <x v="1"/>
    <x v="4"/>
    <n v="7441"/>
    <x v="1"/>
    <n v="2"/>
    <x v="1"/>
    <x v="1"/>
    <x v="2"/>
  </r>
  <r>
    <s v="STAFF-1725"/>
    <n v="24"/>
    <x v="1"/>
    <x v="1"/>
    <x v="2"/>
    <n v="3907"/>
    <x v="0"/>
    <n v="1"/>
    <x v="1"/>
    <x v="1"/>
    <x v="0"/>
  </r>
  <r>
    <s v="STAFF-1551"/>
    <n v="24"/>
    <x v="1"/>
    <x v="1"/>
    <x v="2"/>
    <n v="2296"/>
    <x v="6"/>
    <n v="1"/>
    <x v="1"/>
    <x v="1"/>
    <x v="1"/>
  </r>
  <r>
    <s v="STAFF-1871"/>
    <n v="39"/>
    <x v="1"/>
    <x v="1"/>
    <x v="1"/>
    <n v="3902"/>
    <x v="4"/>
    <n v="4"/>
    <x v="1"/>
    <x v="1"/>
    <x v="0"/>
  </r>
  <r>
    <s v="STAFF-2031"/>
    <n v="42"/>
    <x v="1"/>
    <x v="1"/>
    <x v="5"/>
    <n v="18880"/>
    <x v="14"/>
    <n v="3"/>
    <x v="1"/>
    <x v="1"/>
    <x v="2"/>
  </r>
  <r>
    <s v="STAFF-1543"/>
    <n v="37"/>
    <x v="1"/>
    <x v="1"/>
    <x v="1"/>
    <n v="4285"/>
    <x v="1"/>
    <n v="4"/>
    <x v="1"/>
    <x v="1"/>
    <x v="0"/>
  </r>
  <r>
    <s v="STAFF-1434"/>
    <n v="27"/>
    <x v="1"/>
    <x v="1"/>
    <x v="2"/>
    <n v="2099"/>
    <x v="8"/>
    <n v="1"/>
    <x v="1"/>
    <x v="1"/>
    <x v="1"/>
  </r>
  <r>
    <s v="STAFF-1621"/>
    <n v="35"/>
    <x v="1"/>
    <x v="1"/>
    <x v="1"/>
    <n v="5208"/>
    <x v="22"/>
    <n v="1"/>
    <x v="1"/>
    <x v="1"/>
    <x v="0"/>
  </r>
  <r>
    <s v="STAFF-2068"/>
    <n v="34"/>
    <x v="1"/>
    <x v="1"/>
    <x v="2"/>
    <n v="4404"/>
    <x v="9"/>
    <n v="3"/>
    <x v="1"/>
    <x v="1"/>
    <x v="0"/>
  </r>
  <r>
    <s v="STAFF-1689"/>
    <n v="53"/>
    <x v="1"/>
    <x v="1"/>
    <x v="4"/>
    <n v="7005"/>
    <x v="9"/>
    <n v="4"/>
    <x v="1"/>
    <x v="1"/>
    <x v="2"/>
  </r>
  <r>
    <s v="STAFF-1867"/>
    <n v="48"/>
    <x v="1"/>
    <x v="1"/>
    <x v="7"/>
    <n v="19665"/>
    <x v="14"/>
    <n v="2"/>
    <x v="1"/>
    <x v="1"/>
    <x v="2"/>
  </r>
  <r>
    <s v="STAFF-1989"/>
    <n v="30"/>
    <x v="1"/>
    <x v="1"/>
    <x v="2"/>
    <n v="3748"/>
    <x v="12"/>
    <n v="2"/>
    <x v="1"/>
    <x v="1"/>
    <x v="0"/>
  </r>
  <r>
    <s v="STAFF-1954"/>
    <n v="29"/>
    <x v="1"/>
    <x v="1"/>
    <x v="4"/>
    <n v="5373"/>
    <x v="8"/>
    <n v="1"/>
    <x v="1"/>
    <x v="1"/>
    <x v="0"/>
  </r>
  <r>
    <s v="STAFF-1473"/>
    <n v="49"/>
    <x v="1"/>
    <x v="1"/>
    <x v="4"/>
    <n v="6651"/>
    <x v="11"/>
    <n v="3"/>
    <x v="1"/>
    <x v="1"/>
    <x v="0"/>
  </r>
  <r>
    <s v="STAFF-1971"/>
    <n v="43"/>
    <x v="1"/>
    <x v="1"/>
    <x v="4"/>
    <n v="7510"/>
    <x v="1"/>
    <n v="3"/>
    <x v="1"/>
    <x v="1"/>
    <x v="2"/>
  </r>
  <r>
    <s v="STAFF-1415"/>
    <n v="25"/>
    <x v="1"/>
    <x v="1"/>
    <x v="2"/>
    <n v="3229"/>
    <x v="11"/>
    <n v="4"/>
    <x v="1"/>
    <x v="1"/>
    <x v="0"/>
  </r>
  <r>
    <s v="STAFF-1438"/>
    <n v="47"/>
    <x v="1"/>
    <x v="1"/>
    <x v="1"/>
    <n v="3420"/>
    <x v="0"/>
    <n v="4"/>
    <x v="1"/>
    <x v="1"/>
    <x v="0"/>
  </r>
  <r>
    <s v="STAFF-1826"/>
    <n v="35"/>
    <x v="1"/>
    <x v="1"/>
    <x v="2"/>
    <n v="2705"/>
    <x v="8"/>
    <n v="3"/>
    <x v="1"/>
    <x v="1"/>
    <x v="1"/>
  </r>
  <r>
    <s v="STAFF-1609"/>
    <n v="30"/>
    <x v="1"/>
    <x v="1"/>
    <x v="1"/>
    <n v="2141"/>
    <x v="0"/>
    <n v="2"/>
    <x v="1"/>
    <x v="1"/>
    <x v="1"/>
  </r>
  <r>
    <s v="STAFF-1696"/>
    <n v="34"/>
    <x v="1"/>
    <x v="1"/>
    <x v="2"/>
    <n v="3986"/>
    <x v="15"/>
    <n v="4"/>
    <x v="1"/>
    <x v="1"/>
    <x v="0"/>
  </r>
  <r>
    <s v="STAFF-1931"/>
    <n v="27"/>
    <x v="1"/>
    <x v="1"/>
    <x v="1"/>
    <n v="2226"/>
    <x v="8"/>
    <n v="2"/>
    <x v="1"/>
    <x v="1"/>
    <x v="1"/>
  </r>
  <r>
    <s v="STAFF-1721"/>
    <n v="31"/>
    <x v="1"/>
    <x v="1"/>
    <x v="2"/>
    <n v="3477"/>
    <x v="8"/>
    <n v="3"/>
    <x v="1"/>
    <x v="1"/>
    <x v="0"/>
  </r>
  <r>
    <s v="STAFF-1729"/>
    <n v="30"/>
    <x v="1"/>
    <x v="1"/>
    <x v="1"/>
    <n v="2862"/>
    <x v="1"/>
    <n v="4"/>
    <x v="1"/>
    <x v="1"/>
    <x v="1"/>
  </r>
  <r>
    <s v="STAFF-1580"/>
    <n v="34"/>
    <x v="1"/>
    <x v="1"/>
    <x v="1"/>
    <n v="5484"/>
    <x v="4"/>
    <n v="4"/>
    <x v="1"/>
    <x v="1"/>
    <x v="0"/>
  </r>
  <r>
    <s v="STAFF-1903"/>
    <n v="44"/>
    <x v="1"/>
    <x v="1"/>
    <x v="4"/>
    <n v="5033"/>
    <x v="4"/>
    <n v="1"/>
    <x v="1"/>
    <x v="1"/>
    <x v="0"/>
  </r>
  <r>
    <s v="STAFF-1542"/>
    <n v="42"/>
    <x v="1"/>
    <x v="1"/>
    <x v="2"/>
    <n v="4841"/>
    <x v="6"/>
    <n v="2"/>
    <x v="1"/>
    <x v="1"/>
    <x v="0"/>
  </r>
  <r>
    <s v="STAFF-1601"/>
    <n v="35"/>
    <x v="1"/>
    <x v="1"/>
    <x v="2"/>
    <n v="2690"/>
    <x v="6"/>
    <n v="4"/>
    <x v="1"/>
    <x v="1"/>
    <x v="1"/>
  </r>
  <r>
    <s v="STAFF-1911"/>
    <n v="42"/>
    <x v="1"/>
    <x v="1"/>
    <x v="7"/>
    <n v="13348"/>
    <x v="20"/>
    <n v="1"/>
    <x v="1"/>
    <x v="1"/>
    <x v="2"/>
  </r>
  <r>
    <s v="STAFF-1799"/>
    <n v="28"/>
    <x v="1"/>
    <x v="1"/>
    <x v="1"/>
    <n v="2044"/>
    <x v="8"/>
    <n v="4"/>
    <x v="1"/>
    <x v="1"/>
    <x v="1"/>
  </r>
  <r>
    <s v="STAFF-1763"/>
    <n v="30"/>
    <x v="1"/>
    <x v="1"/>
    <x v="4"/>
    <n v="5294"/>
    <x v="5"/>
    <n v="3"/>
    <x v="1"/>
    <x v="1"/>
    <x v="0"/>
  </r>
  <r>
    <s v="STAFF-1707"/>
    <n v="24"/>
    <x v="1"/>
    <x v="1"/>
    <x v="1"/>
    <n v="4401"/>
    <x v="8"/>
    <n v="3"/>
    <x v="1"/>
    <x v="1"/>
    <x v="0"/>
  </r>
  <r>
    <s v="STAFF-2062"/>
    <n v="39"/>
    <x v="1"/>
    <x v="1"/>
    <x v="4"/>
    <n v="9991"/>
    <x v="5"/>
    <n v="1"/>
    <x v="1"/>
    <x v="1"/>
    <x v="2"/>
  </r>
  <r>
    <s v="STAFF-1523"/>
    <n v="44"/>
    <x v="1"/>
    <x v="1"/>
    <x v="7"/>
    <n v="16328"/>
    <x v="23"/>
    <n v="1"/>
    <x v="1"/>
    <x v="1"/>
    <x v="2"/>
  </r>
  <r>
    <s v="STAFF-1728"/>
    <n v="35"/>
    <x v="1"/>
    <x v="1"/>
    <x v="3"/>
    <n v="6883"/>
    <x v="5"/>
    <n v="3"/>
    <x v="1"/>
    <x v="1"/>
    <x v="0"/>
  </r>
  <r>
    <s v="STAFF-1798"/>
    <n v="33"/>
    <x v="1"/>
    <x v="1"/>
    <x v="1"/>
    <n v="3143"/>
    <x v="1"/>
    <n v="1"/>
    <x v="1"/>
    <x v="1"/>
    <x v="0"/>
  </r>
  <r>
    <s v="STAFF-1592"/>
    <n v="23"/>
    <x v="1"/>
    <x v="1"/>
    <x v="1"/>
    <n v="2073"/>
    <x v="4"/>
    <n v="3"/>
    <x v="1"/>
    <x v="1"/>
    <x v="1"/>
  </r>
  <r>
    <s v="STAFF-1682"/>
    <n v="36"/>
    <x v="1"/>
    <x v="1"/>
    <x v="4"/>
    <n v="5347"/>
    <x v="11"/>
    <n v="3"/>
    <x v="1"/>
    <x v="1"/>
    <x v="0"/>
  </r>
  <r>
    <s v="STAFF-2012"/>
    <n v="40"/>
    <x v="1"/>
    <x v="1"/>
    <x v="2"/>
    <n v="2406"/>
    <x v="6"/>
    <n v="4"/>
    <x v="1"/>
    <x v="1"/>
    <x v="1"/>
  </r>
  <r>
    <s v="STAFF-1803"/>
    <n v="42"/>
    <x v="1"/>
    <x v="1"/>
    <x v="4"/>
    <n v="5538"/>
    <x v="2"/>
    <n v="1"/>
    <x v="1"/>
    <x v="1"/>
    <x v="0"/>
  </r>
  <r>
    <s v="STAFF-1596"/>
    <n v="35"/>
    <x v="1"/>
    <x v="1"/>
    <x v="2"/>
    <n v="3407"/>
    <x v="1"/>
    <n v="3"/>
    <x v="1"/>
    <x v="1"/>
    <x v="0"/>
  </r>
  <r>
    <s v="STAFF-1514"/>
    <n v="28"/>
    <x v="1"/>
    <x v="1"/>
    <x v="3"/>
    <n v="6549"/>
    <x v="3"/>
    <n v="2"/>
    <x v="1"/>
    <x v="1"/>
    <x v="0"/>
  </r>
  <r>
    <s v="STAFF-1558"/>
    <n v="29"/>
    <x v="1"/>
    <x v="1"/>
    <x v="1"/>
    <n v="2451"/>
    <x v="6"/>
    <n v="3"/>
    <x v="1"/>
    <x v="1"/>
    <x v="1"/>
  </r>
  <r>
    <s v="STAFF-1618"/>
    <n v="39"/>
    <x v="1"/>
    <x v="1"/>
    <x v="3"/>
    <n v="5377"/>
    <x v="5"/>
    <n v="1"/>
    <x v="1"/>
    <x v="1"/>
    <x v="0"/>
  </r>
  <r>
    <s v="STAFF-1698"/>
    <n v="33"/>
    <x v="1"/>
    <x v="1"/>
    <x v="2"/>
    <n v="2028"/>
    <x v="13"/>
    <n v="2"/>
    <x v="1"/>
    <x v="1"/>
    <x v="1"/>
  </r>
  <r>
    <s v="STAFF-1770"/>
    <n v="55"/>
    <x v="1"/>
    <x v="1"/>
    <x v="7"/>
    <n v="19038"/>
    <x v="6"/>
    <n v="1"/>
    <x v="1"/>
    <x v="1"/>
    <x v="2"/>
  </r>
  <r>
    <s v="STAFF-1631"/>
    <n v="37"/>
    <x v="1"/>
    <x v="1"/>
    <x v="3"/>
    <n v="5768"/>
    <x v="9"/>
    <n v="3"/>
    <x v="1"/>
    <x v="1"/>
    <x v="0"/>
  </r>
  <r>
    <s v="STAFF-1718"/>
    <n v="26"/>
    <x v="1"/>
    <x v="1"/>
    <x v="2"/>
    <n v="2305"/>
    <x v="11"/>
    <n v="3"/>
    <x v="1"/>
    <x v="1"/>
    <x v="1"/>
  </r>
  <r>
    <s v="STAFF-1435"/>
    <n v="36"/>
    <x v="1"/>
    <x v="1"/>
    <x v="2"/>
    <n v="5810"/>
    <x v="1"/>
    <n v="4"/>
    <x v="1"/>
    <x v="1"/>
    <x v="0"/>
  </r>
  <r>
    <s v="STAFF-1659"/>
    <n v="36"/>
    <x v="1"/>
    <x v="1"/>
    <x v="2"/>
    <n v="2013"/>
    <x v="9"/>
    <n v="2"/>
    <x v="1"/>
    <x v="1"/>
    <x v="1"/>
  </r>
  <r>
    <s v="STAFF-1533"/>
    <n v="23"/>
    <x v="1"/>
    <x v="1"/>
    <x v="2"/>
    <n v="2272"/>
    <x v="9"/>
    <n v="3"/>
    <x v="1"/>
    <x v="1"/>
    <x v="1"/>
  </r>
  <r>
    <s v="STAFF-1577"/>
    <n v="34"/>
    <x v="1"/>
    <x v="1"/>
    <x v="1"/>
    <n v="2972"/>
    <x v="6"/>
    <n v="4"/>
    <x v="1"/>
    <x v="1"/>
    <x v="1"/>
  </r>
  <r>
    <s v="STAFF-2014"/>
    <n v="39"/>
    <x v="1"/>
    <x v="1"/>
    <x v="1"/>
    <n v="4108"/>
    <x v="5"/>
    <n v="4"/>
    <x v="1"/>
    <x v="1"/>
    <x v="0"/>
  </r>
  <r>
    <s v="STAFF-1981"/>
    <n v="24"/>
    <x v="1"/>
    <x v="1"/>
    <x v="4"/>
    <n v="4617"/>
    <x v="9"/>
    <n v="3"/>
    <x v="1"/>
    <x v="1"/>
    <x v="0"/>
  </r>
  <r>
    <s v="STAFF-2008"/>
    <n v="35"/>
    <x v="1"/>
    <x v="1"/>
    <x v="1"/>
    <n v="5098"/>
    <x v="1"/>
    <n v="3"/>
    <x v="1"/>
    <x v="1"/>
    <x v="0"/>
  </r>
  <r>
    <s v="STAFF-1814"/>
    <n v="41"/>
    <x v="1"/>
    <x v="1"/>
    <x v="4"/>
    <n v="6870"/>
    <x v="11"/>
    <n v="2"/>
    <x v="1"/>
    <x v="1"/>
    <x v="0"/>
  </r>
  <r>
    <s v="STAFF-2048"/>
    <n v="40"/>
    <x v="1"/>
    <x v="1"/>
    <x v="1"/>
    <n v="2809"/>
    <x v="4"/>
    <n v="3"/>
    <x v="1"/>
    <x v="1"/>
    <x v="1"/>
  </r>
  <r>
    <s v="STAFF-1952"/>
    <n v="26"/>
    <x v="1"/>
    <x v="1"/>
    <x v="2"/>
    <n v="2867"/>
    <x v="5"/>
    <n v="1"/>
    <x v="1"/>
    <x v="1"/>
    <x v="1"/>
  </r>
  <r>
    <s v="STAFF-1727"/>
    <n v="46"/>
    <x v="1"/>
    <x v="1"/>
    <x v="4"/>
    <n v="5562"/>
    <x v="1"/>
    <n v="2"/>
    <x v="1"/>
    <x v="1"/>
    <x v="0"/>
  </r>
  <r>
    <s v="STAFF-1677"/>
    <n v="49"/>
    <x v="1"/>
    <x v="1"/>
    <x v="5"/>
    <n v="15379"/>
    <x v="3"/>
    <n v="3"/>
    <x v="1"/>
    <x v="1"/>
    <x v="2"/>
  </r>
  <r>
    <s v="STAFF-1623"/>
    <n v="21"/>
    <x v="1"/>
    <x v="1"/>
    <x v="1"/>
    <n v="3117"/>
    <x v="4"/>
    <n v="4"/>
    <x v="1"/>
    <x v="1"/>
    <x v="0"/>
  </r>
  <r>
    <s v="STAFF-1417"/>
    <n v="26"/>
    <x v="1"/>
    <x v="1"/>
    <x v="2"/>
    <n v="3578"/>
    <x v="5"/>
    <n v="1"/>
    <x v="1"/>
    <x v="1"/>
    <x v="0"/>
  </r>
  <r>
    <s v="STAFF-1564"/>
    <n v="35"/>
    <x v="1"/>
    <x v="1"/>
    <x v="2"/>
    <n v="2450"/>
    <x v="11"/>
    <n v="1"/>
    <x v="1"/>
    <x v="1"/>
    <x v="1"/>
  </r>
  <r>
    <s v="STAFF-1545"/>
    <n v="33"/>
    <x v="1"/>
    <x v="1"/>
    <x v="3"/>
    <n v="4320"/>
    <x v="8"/>
    <n v="2"/>
    <x v="1"/>
    <x v="1"/>
    <x v="0"/>
  </r>
  <r>
    <s v="STAFF-1883"/>
    <n v="29"/>
    <x v="1"/>
    <x v="1"/>
    <x v="2"/>
    <n v="2062"/>
    <x v="11"/>
    <n v="1"/>
    <x v="1"/>
    <x v="1"/>
    <x v="1"/>
  </r>
  <r>
    <s v="STAFF-2038"/>
    <n v="32"/>
    <x v="1"/>
    <x v="1"/>
    <x v="1"/>
    <n v="2439"/>
    <x v="9"/>
    <n v="1"/>
    <x v="1"/>
    <x v="1"/>
    <x v="1"/>
  </r>
  <r>
    <s v="STAFF-1475"/>
    <n v="44"/>
    <x v="1"/>
    <x v="1"/>
    <x v="1"/>
    <n v="3420"/>
    <x v="8"/>
    <n v="2"/>
    <x v="1"/>
    <x v="1"/>
    <x v="0"/>
  </r>
  <r>
    <s v="STAFF-1860"/>
    <n v="42"/>
    <x v="1"/>
    <x v="1"/>
    <x v="2"/>
    <n v="3968"/>
    <x v="2"/>
    <n v="3"/>
    <x v="1"/>
    <x v="1"/>
    <x v="0"/>
  </r>
  <r>
    <s v="STAFF-2007"/>
    <n v="22"/>
    <x v="1"/>
    <x v="1"/>
    <x v="1"/>
    <n v="3375"/>
    <x v="11"/>
    <n v="3"/>
    <x v="1"/>
    <x v="1"/>
    <x v="0"/>
  </r>
  <r>
    <s v="STAFF-1982"/>
    <n v="23"/>
    <x v="1"/>
    <x v="1"/>
    <x v="2"/>
    <n v="2647"/>
    <x v="8"/>
    <n v="4"/>
    <x v="1"/>
    <x v="1"/>
    <x v="1"/>
  </r>
  <r>
    <s v="STAFF-1472"/>
    <n v="53"/>
    <x v="1"/>
    <x v="1"/>
    <x v="7"/>
    <n v="16598"/>
    <x v="7"/>
    <n v="2"/>
    <x v="1"/>
    <x v="1"/>
    <x v="2"/>
  </r>
  <r>
    <s v="STAFF-1453"/>
    <n v="31"/>
    <x v="1"/>
    <x v="0"/>
    <x v="0"/>
    <n v="10793"/>
    <x v="20"/>
    <n v="4"/>
    <x v="1"/>
    <x v="1"/>
    <x v="2"/>
  </r>
  <r>
    <s v="STAFF-1754"/>
    <n v="30"/>
    <x v="1"/>
    <x v="0"/>
    <x v="0"/>
    <n v="7140"/>
    <x v="5"/>
    <n v="1"/>
    <x v="1"/>
    <x v="1"/>
    <x v="2"/>
  </r>
  <r>
    <s v="STAFF-2037"/>
    <n v="41"/>
    <x v="1"/>
    <x v="0"/>
    <x v="0"/>
    <n v="8938"/>
    <x v="8"/>
    <n v="2"/>
    <x v="1"/>
    <x v="1"/>
    <x v="2"/>
  </r>
  <r>
    <s v="STAFF-1951"/>
    <n v="34"/>
    <x v="1"/>
    <x v="0"/>
    <x v="0"/>
    <n v="8628"/>
    <x v="3"/>
    <n v="3"/>
    <x v="1"/>
    <x v="1"/>
    <x v="2"/>
  </r>
  <r>
    <s v="STAFF-1497"/>
    <n v="29"/>
    <x v="1"/>
    <x v="0"/>
    <x v="0"/>
    <n v="8620"/>
    <x v="1"/>
    <n v="3"/>
    <x v="1"/>
    <x v="1"/>
    <x v="2"/>
  </r>
  <r>
    <s v="STAFF-1670"/>
    <n v="33"/>
    <x v="1"/>
    <x v="0"/>
    <x v="0"/>
    <n v="5505"/>
    <x v="0"/>
    <n v="4"/>
    <x v="1"/>
    <x v="1"/>
    <x v="0"/>
  </r>
  <r>
    <s v="STAFF-1466"/>
    <n v="48"/>
    <x v="1"/>
    <x v="0"/>
    <x v="0"/>
    <n v="5486"/>
    <x v="4"/>
    <n v="1"/>
    <x v="1"/>
    <x v="1"/>
    <x v="0"/>
  </r>
  <r>
    <s v="STAFF-1548"/>
    <n v="40"/>
    <x v="1"/>
    <x v="0"/>
    <x v="0"/>
    <n v="5473"/>
    <x v="3"/>
    <n v="1"/>
    <x v="1"/>
    <x v="1"/>
    <x v="0"/>
  </r>
  <r>
    <s v="STAFF-1560"/>
    <n v="33"/>
    <x v="1"/>
    <x v="0"/>
    <x v="0"/>
    <n v="6392"/>
    <x v="4"/>
    <n v="1"/>
    <x v="1"/>
    <x v="1"/>
    <x v="0"/>
  </r>
  <r>
    <s v="STAFF-1996"/>
    <n v="31"/>
    <x v="1"/>
    <x v="0"/>
    <x v="6"/>
    <n v="3067"/>
    <x v="4"/>
    <n v="3"/>
    <x v="1"/>
    <x v="1"/>
    <x v="0"/>
  </r>
  <r>
    <s v="STAFF-1749"/>
    <n v="31"/>
    <x v="1"/>
    <x v="0"/>
    <x v="0"/>
    <n v="8346"/>
    <x v="8"/>
    <n v="3"/>
    <x v="1"/>
    <x v="1"/>
    <x v="2"/>
  </r>
  <r>
    <s v="STAFF-2013"/>
    <n v="32"/>
    <x v="1"/>
    <x v="0"/>
    <x v="6"/>
    <n v="2269"/>
    <x v="4"/>
    <n v="2"/>
    <x v="1"/>
    <x v="1"/>
    <x v="1"/>
  </r>
  <r>
    <s v="STAFF-1945"/>
    <n v="35"/>
    <x v="1"/>
    <x v="0"/>
    <x v="0"/>
    <n v="5561"/>
    <x v="8"/>
    <n v="1"/>
    <x v="1"/>
    <x v="1"/>
    <x v="0"/>
  </r>
  <r>
    <s v="STAFF-1568"/>
    <n v="30"/>
    <x v="1"/>
    <x v="0"/>
    <x v="0"/>
    <n v="9250"/>
    <x v="9"/>
    <n v="2"/>
    <x v="1"/>
    <x v="1"/>
    <x v="2"/>
  </r>
  <r>
    <s v="STAFF-1582"/>
    <n v="38"/>
    <x v="1"/>
    <x v="0"/>
    <x v="0"/>
    <n v="9924"/>
    <x v="7"/>
    <n v="2"/>
    <x v="1"/>
    <x v="1"/>
    <x v="2"/>
  </r>
  <r>
    <s v="STAFF-1739"/>
    <n v="32"/>
    <x v="1"/>
    <x v="0"/>
    <x v="0"/>
    <n v="9610"/>
    <x v="9"/>
    <n v="3"/>
    <x v="1"/>
    <x v="1"/>
    <x v="2"/>
  </r>
  <r>
    <s v="STAFF-1492"/>
    <n v="35"/>
    <x v="1"/>
    <x v="0"/>
    <x v="6"/>
    <n v="2404"/>
    <x v="6"/>
    <n v="3"/>
    <x v="1"/>
    <x v="1"/>
    <x v="1"/>
  </r>
  <r>
    <s v="STAFF-1446"/>
    <n v="32"/>
    <x v="1"/>
    <x v="0"/>
    <x v="0"/>
    <n v="9204"/>
    <x v="9"/>
    <n v="4"/>
    <x v="1"/>
    <x v="1"/>
    <x v="2"/>
  </r>
  <r>
    <s v="STAFF-1588"/>
    <n v="39"/>
    <x v="1"/>
    <x v="0"/>
    <x v="0"/>
    <n v="8237"/>
    <x v="5"/>
    <n v="3"/>
    <x v="1"/>
    <x v="1"/>
    <x v="2"/>
  </r>
  <r>
    <s v="STAFF-1787"/>
    <n v="37"/>
    <x v="1"/>
    <x v="0"/>
    <x v="0"/>
    <n v="4189"/>
    <x v="8"/>
    <n v="2"/>
    <x v="1"/>
    <x v="1"/>
    <x v="0"/>
  </r>
  <r>
    <s v="STAFF-1908"/>
    <n v="36"/>
    <x v="1"/>
    <x v="0"/>
    <x v="0"/>
    <n v="5507"/>
    <x v="9"/>
    <n v="2"/>
    <x v="1"/>
    <x v="1"/>
    <x v="0"/>
  </r>
  <r>
    <s v="STAFF-1995"/>
    <n v="38"/>
    <x v="1"/>
    <x v="0"/>
    <x v="0"/>
    <n v="4440"/>
    <x v="15"/>
    <n v="2"/>
    <x v="1"/>
    <x v="1"/>
    <x v="0"/>
  </r>
  <r>
    <s v="STAFF-1479"/>
    <n v="30"/>
    <x v="1"/>
    <x v="0"/>
    <x v="0"/>
    <n v="5301"/>
    <x v="4"/>
    <n v="3"/>
    <x v="1"/>
    <x v="1"/>
    <x v="0"/>
  </r>
  <r>
    <s v="STAFF-1961"/>
    <n v="38"/>
    <x v="1"/>
    <x v="0"/>
    <x v="6"/>
    <n v="2858"/>
    <x v="6"/>
    <n v="1"/>
    <x v="1"/>
    <x v="1"/>
    <x v="1"/>
  </r>
  <r>
    <s v="STAFF-1975"/>
    <n v="39"/>
    <x v="1"/>
    <x v="0"/>
    <x v="0"/>
    <n v="13341"/>
    <x v="23"/>
    <n v="1"/>
    <x v="1"/>
    <x v="1"/>
    <x v="2"/>
  </r>
  <r>
    <s v="STAFF-1740"/>
    <n v="40"/>
    <x v="1"/>
    <x v="0"/>
    <x v="5"/>
    <n v="19833"/>
    <x v="17"/>
    <n v="2"/>
    <x v="1"/>
    <x v="1"/>
    <x v="2"/>
  </r>
  <r>
    <s v="STAFF-1924"/>
    <n v="33"/>
    <x v="1"/>
    <x v="0"/>
    <x v="0"/>
    <n v="5487"/>
    <x v="1"/>
    <n v="3"/>
    <x v="1"/>
    <x v="1"/>
    <x v="0"/>
  </r>
  <r>
    <s v="STAFF-1650"/>
    <n v="29"/>
    <x v="1"/>
    <x v="0"/>
    <x v="0"/>
    <n v="5869"/>
    <x v="8"/>
    <n v="3"/>
    <x v="1"/>
    <x v="1"/>
    <x v="0"/>
  </r>
  <r>
    <s v="STAFF-1836"/>
    <n v="26"/>
    <x v="1"/>
    <x v="0"/>
    <x v="0"/>
    <n v="4684"/>
    <x v="8"/>
    <n v="4"/>
    <x v="1"/>
    <x v="1"/>
    <x v="0"/>
  </r>
  <r>
    <s v="STAFF-1478"/>
    <n v="34"/>
    <x v="1"/>
    <x v="0"/>
    <x v="0"/>
    <n v="4759"/>
    <x v="20"/>
    <n v="1"/>
    <x v="1"/>
    <x v="1"/>
    <x v="0"/>
  </r>
  <r>
    <s v="STAFF-1680"/>
    <n v="20"/>
    <x v="1"/>
    <x v="0"/>
    <x v="6"/>
    <n v="2728"/>
    <x v="4"/>
    <n v="1"/>
    <x v="1"/>
    <x v="1"/>
    <x v="1"/>
  </r>
  <r>
    <s v="STAFF-1469"/>
    <n v="28"/>
    <x v="1"/>
    <x v="0"/>
    <x v="0"/>
    <n v="8463"/>
    <x v="8"/>
    <n v="1"/>
    <x v="1"/>
    <x v="1"/>
    <x v="2"/>
  </r>
  <r>
    <s v="STAFF-1708"/>
    <n v="41"/>
    <x v="1"/>
    <x v="0"/>
    <x v="0"/>
    <n v="9241"/>
    <x v="1"/>
    <n v="3"/>
    <x v="1"/>
    <x v="1"/>
    <x v="2"/>
  </r>
  <r>
    <s v="STAFF-1965"/>
    <n v="27"/>
    <x v="1"/>
    <x v="0"/>
    <x v="0"/>
    <n v="4105"/>
    <x v="5"/>
    <n v="4"/>
    <x v="1"/>
    <x v="1"/>
    <x v="0"/>
  </r>
  <r>
    <s v="STAFF-1602"/>
    <n v="46"/>
    <x v="1"/>
    <x v="0"/>
    <x v="5"/>
    <n v="17567"/>
    <x v="34"/>
    <n v="1"/>
    <x v="1"/>
    <x v="1"/>
    <x v="2"/>
  </r>
  <r>
    <s v="STAFF-1605"/>
    <n v="22"/>
    <x v="0"/>
    <x v="1"/>
    <x v="1"/>
    <n v="2814"/>
    <x v="9"/>
    <n v="3"/>
    <x v="0"/>
    <x v="1"/>
    <x v="1"/>
  </r>
  <r>
    <s v="STAFF-1937"/>
    <n v="38"/>
    <x v="0"/>
    <x v="1"/>
    <x v="1"/>
    <n v="2133"/>
    <x v="23"/>
    <n v="2"/>
    <x v="0"/>
    <x v="1"/>
    <x v="1"/>
  </r>
  <r>
    <s v="STAFF-1646"/>
    <n v="24"/>
    <x v="0"/>
    <x v="1"/>
    <x v="1"/>
    <n v="3760"/>
    <x v="0"/>
    <n v="4"/>
    <x v="0"/>
    <x v="1"/>
    <x v="0"/>
  </r>
  <r>
    <s v="STAFF-1850"/>
    <n v="27"/>
    <x v="0"/>
    <x v="1"/>
    <x v="2"/>
    <n v="2379"/>
    <x v="8"/>
    <n v="4"/>
    <x v="0"/>
    <x v="1"/>
    <x v="1"/>
  </r>
  <r>
    <s v="STAFF-1683"/>
    <n v="44"/>
    <x v="0"/>
    <x v="2"/>
    <x v="8"/>
    <n v="3195"/>
    <x v="4"/>
    <n v="4"/>
    <x v="0"/>
    <x v="1"/>
    <x v="0"/>
  </r>
  <r>
    <s v="STAFF-2040"/>
    <n v="35"/>
    <x v="0"/>
    <x v="2"/>
    <x v="8"/>
    <n v="8837"/>
    <x v="7"/>
    <n v="4"/>
    <x v="0"/>
    <x v="1"/>
    <x v="2"/>
  </r>
  <r>
    <s v="STAFF-1608"/>
    <n v="44"/>
    <x v="0"/>
    <x v="1"/>
    <x v="7"/>
    <n v="19049"/>
    <x v="14"/>
    <n v="4"/>
    <x v="0"/>
    <x v="1"/>
    <x v="2"/>
  </r>
  <r>
    <s v="STAFF-1827"/>
    <n v="47"/>
    <x v="0"/>
    <x v="1"/>
    <x v="3"/>
    <n v="10333"/>
    <x v="14"/>
    <n v="2"/>
    <x v="0"/>
    <x v="1"/>
    <x v="2"/>
  </r>
  <r>
    <s v="STAFF-1674"/>
    <n v="49"/>
    <x v="0"/>
    <x v="1"/>
    <x v="2"/>
    <n v="2587"/>
    <x v="4"/>
    <n v="1"/>
    <x v="0"/>
    <x v="1"/>
    <x v="1"/>
  </r>
  <r>
    <s v="STAFF-1974"/>
    <n v="31"/>
    <x v="0"/>
    <x v="1"/>
    <x v="2"/>
    <n v="1129"/>
    <x v="6"/>
    <n v="4"/>
    <x v="0"/>
    <x v="1"/>
    <x v="1"/>
  </r>
  <r>
    <s v="STAFF-1886"/>
    <n v="35"/>
    <x v="0"/>
    <x v="1"/>
    <x v="3"/>
    <n v="4788"/>
    <x v="11"/>
    <n v="2"/>
    <x v="0"/>
    <x v="1"/>
    <x v="0"/>
  </r>
  <r>
    <s v="STAFF-1893"/>
    <n v="26"/>
    <x v="0"/>
    <x v="1"/>
    <x v="1"/>
    <n v="2933"/>
    <x v="6"/>
    <n v="3"/>
    <x v="0"/>
    <x v="1"/>
    <x v="1"/>
  </r>
  <r>
    <s v="STAFF-1724"/>
    <n v="40"/>
    <x v="0"/>
    <x v="1"/>
    <x v="3"/>
    <n v="6516"/>
    <x v="6"/>
    <n v="1"/>
    <x v="0"/>
    <x v="1"/>
    <x v="0"/>
  </r>
  <r>
    <s v="STAFF-2009"/>
    <n v="33"/>
    <x v="0"/>
    <x v="1"/>
    <x v="4"/>
    <n v="4878"/>
    <x v="7"/>
    <n v="4"/>
    <x v="0"/>
    <x v="1"/>
    <x v="0"/>
  </r>
  <r>
    <s v="STAFF-1661"/>
    <n v="49"/>
    <x v="0"/>
    <x v="1"/>
    <x v="4"/>
    <n v="13966"/>
    <x v="15"/>
    <n v="3"/>
    <x v="0"/>
    <x v="1"/>
    <x v="2"/>
  </r>
  <r>
    <s v="STAFF-1703"/>
    <n v="44"/>
    <x v="0"/>
    <x v="1"/>
    <x v="4"/>
    <n v="7879"/>
    <x v="3"/>
    <n v="4"/>
    <x v="0"/>
    <x v="1"/>
    <x v="2"/>
  </r>
  <r>
    <s v="STAFF-1638"/>
    <n v="38"/>
    <x v="0"/>
    <x v="1"/>
    <x v="3"/>
    <n v="7756"/>
    <x v="8"/>
    <n v="3"/>
    <x v="0"/>
    <x v="1"/>
    <x v="2"/>
  </r>
  <r>
    <s v="STAFF-1614"/>
    <n v="36"/>
    <x v="0"/>
    <x v="1"/>
    <x v="3"/>
    <n v="4663"/>
    <x v="11"/>
    <n v="3"/>
    <x v="0"/>
    <x v="1"/>
    <x v="0"/>
  </r>
  <r>
    <s v="STAFF-1587"/>
    <n v="35"/>
    <x v="0"/>
    <x v="1"/>
    <x v="4"/>
    <n v="6142"/>
    <x v="8"/>
    <n v="3"/>
    <x v="0"/>
    <x v="1"/>
    <x v="0"/>
  </r>
  <r>
    <s v="STAFF-1611"/>
    <n v="45"/>
    <x v="0"/>
    <x v="1"/>
    <x v="2"/>
    <n v="5769"/>
    <x v="1"/>
    <n v="1"/>
    <x v="0"/>
    <x v="1"/>
    <x v="0"/>
  </r>
  <r>
    <s v="STAFF-1980"/>
    <n v="54"/>
    <x v="0"/>
    <x v="1"/>
    <x v="3"/>
    <n v="4440"/>
    <x v="8"/>
    <n v="1"/>
    <x v="0"/>
    <x v="1"/>
    <x v="0"/>
  </r>
  <r>
    <s v="STAFF-1641"/>
    <n v="40"/>
    <x v="0"/>
    <x v="1"/>
    <x v="3"/>
    <n v="7945"/>
    <x v="9"/>
    <n v="4"/>
    <x v="0"/>
    <x v="1"/>
    <x v="2"/>
  </r>
  <r>
    <s v="STAFF-1815"/>
    <n v="41"/>
    <x v="0"/>
    <x v="0"/>
    <x v="0"/>
    <n v="10447"/>
    <x v="14"/>
    <n v="3"/>
    <x v="0"/>
    <x v="1"/>
    <x v="2"/>
  </r>
  <r>
    <s v="STAFF-1912"/>
    <n v="31"/>
    <x v="0"/>
    <x v="0"/>
    <x v="0"/>
    <n v="6583"/>
    <x v="8"/>
    <n v="4"/>
    <x v="0"/>
    <x v="1"/>
    <x v="0"/>
  </r>
  <r>
    <s v="STAFF-1962"/>
    <n v="35"/>
    <x v="0"/>
    <x v="0"/>
    <x v="0"/>
    <n v="5204"/>
    <x v="1"/>
    <n v="4"/>
    <x v="0"/>
    <x v="1"/>
    <x v="0"/>
  </r>
  <r>
    <s v="STAFF-1915"/>
    <n v="34"/>
    <x v="0"/>
    <x v="0"/>
    <x v="0"/>
    <n v="8103"/>
    <x v="9"/>
    <n v="4"/>
    <x v="0"/>
    <x v="1"/>
    <x v="2"/>
  </r>
  <r>
    <s v="STAFF-1880"/>
    <n v="36"/>
    <x v="0"/>
    <x v="0"/>
    <x v="0"/>
    <n v="5673"/>
    <x v="1"/>
    <n v="3"/>
    <x v="0"/>
    <x v="1"/>
    <x v="0"/>
  </r>
  <r>
    <s v="STAFF-1503"/>
    <n v="47"/>
    <x v="0"/>
    <x v="0"/>
    <x v="0"/>
    <n v="4591"/>
    <x v="8"/>
    <n v="3"/>
    <x v="0"/>
    <x v="1"/>
    <x v="0"/>
  </r>
  <r>
    <s v="STAFF-1938"/>
    <n v="58"/>
    <x v="0"/>
    <x v="0"/>
    <x v="5"/>
    <n v="17875"/>
    <x v="6"/>
    <n v="4"/>
    <x v="0"/>
    <x v="1"/>
    <x v="2"/>
  </r>
  <r>
    <s v="STAFF-1445"/>
    <n v="24"/>
    <x v="0"/>
    <x v="0"/>
    <x v="0"/>
    <n v="4162"/>
    <x v="8"/>
    <n v="3"/>
    <x v="0"/>
    <x v="1"/>
    <x v="0"/>
  </r>
  <r>
    <s v="STAFF-1425"/>
    <n v="36"/>
    <x v="0"/>
    <x v="0"/>
    <x v="0"/>
    <n v="9278"/>
    <x v="8"/>
    <n v="2"/>
    <x v="0"/>
    <x v="1"/>
    <x v="2"/>
  </r>
  <r>
    <s v="STAFF-1552"/>
    <n v="40"/>
    <x v="1"/>
    <x v="1"/>
    <x v="4"/>
    <n v="4069"/>
    <x v="4"/>
    <n v="4"/>
    <x v="0"/>
    <x v="1"/>
    <x v="0"/>
  </r>
  <r>
    <s v="STAFF-1948"/>
    <n v="31"/>
    <x v="1"/>
    <x v="1"/>
    <x v="1"/>
    <n v="3065"/>
    <x v="9"/>
    <n v="1"/>
    <x v="0"/>
    <x v="1"/>
    <x v="0"/>
  </r>
  <r>
    <s v="STAFF-1737"/>
    <n v="39"/>
    <x v="1"/>
    <x v="1"/>
    <x v="2"/>
    <n v="6472"/>
    <x v="7"/>
    <n v="4"/>
    <x v="0"/>
    <x v="1"/>
    <x v="0"/>
  </r>
  <r>
    <s v="STAFF-1774"/>
    <n v="34"/>
    <x v="1"/>
    <x v="0"/>
    <x v="0"/>
    <n v="4001"/>
    <x v="15"/>
    <n v="3"/>
    <x v="0"/>
    <x v="1"/>
    <x v="0"/>
  </r>
  <r>
    <s v="STAFF-1642"/>
    <n v="44"/>
    <x v="1"/>
    <x v="2"/>
    <x v="8"/>
    <n v="5743"/>
    <x v="1"/>
    <n v="4"/>
    <x v="0"/>
    <x v="1"/>
    <x v="0"/>
  </r>
  <r>
    <s v="STAFF-1972"/>
    <n v="38"/>
    <x v="1"/>
    <x v="2"/>
    <x v="8"/>
    <n v="2991"/>
    <x v="0"/>
    <n v="2"/>
    <x v="0"/>
    <x v="1"/>
    <x v="1"/>
  </r>
  <r>
    <s v="STAFF-1837"/>
    <n v="58"/>
    <x v="1"/>
    <x v="1"/>
    <x v="7"/>
    <n v="15787"/>
    <x v="4"/>
    <n v="3"/>
    <x v="0"/>
    <x v="1"/>
    <x v="2"/>
  </r>
  <r>
    <s v="STAFF-1932"/>
    <n v="34"/>
    <x v="1"/>
    <x v="1"/>
    <x v="1"/>
    <n v="5747"/>
    <x v="15"/>
    <n v="4"/>
    <x v="0"/>
    <x v="1"/>
    <x v="0"/>
  </r>
  <r>
    <s v="STAFF-1594"/>
    <n v="36"/>
    <x v="1"/>
    <x v="1"/>
    <x v="2"/>
    <n v="5562"/>
    <x v="11"/>
    <n v="1"/>
    <x v="0"/>
    <x v="1"/>
    <x v="0"/>
  </r>
  <r>
    <s v="STAFF-1606"/>
    <n v="50"/>
    <x v="1"/>
    <x v="1"/>
    <x v="4"/>
    <n v="11245"/>
    <x v="35"/>
    <n v="3"/>
    <x v="0"/>
    <x v="1"/>
    <x v="2"/>
  </r>
  <r>
    <s v="STAFF-1547"/>
    <n v="42"/>
    <x v="1"/>
    <x v="1"/>
    <x v="4"/>
    <n v="10124"/>
    <x v="23"/>
    <n v="4"/>
    <x v="0"/>
    <x v="1"/>
    <x v="2"/>
  </r>
  <r>
    <s v="STAFF-2049"/>
    <n v="35"/>
    <x v="1"/>
    <x v="1"/>
    <x v="4"/>
    <n v="5689"/>
    <x v="1"/>
    <n v="3"/>
    <x v="0"/>
    <x v="1"/>
    <x v="0"/>
  </r>
  <r>
    <s v="STAFF-1704"/>
    <n v="35"/>
    <x v="1"/>
    <x v="1"/>
    <x v="1"/>
    <n v="4930"/>
    <x v="8"/>
    <n v="4"/>
    <x v="0"/>
    <x v="1"/>
    <x v="0"/>
  </r>
  <r>
    <s v="STAFF-1496"/>
    <n v="44"/>
    <x v="1"/>
    <x v="1"/>
    <x v="3"/>
    <n v="10209"/>
    <x v="4"/>
    <n v="3"/>
    <x v="0"/>
    <x v="1"/>
    <x v="2"/>
  </r>
  <r>
    <s v="STAFF-1539"/>
    <n v="50"/>
    <x v="1"/>
    <x v="1"/>
    <x v="7"/>
    <n v="14411"/>
    <x v="32"/>
    <n v="4"/>
    <x v="0"/>
    <x v="1"/>
    <x v="2"/>
  </r>
  <r>
    <s v="STAFF-1753"/>
    <n v="29"/>
    <x v="1"/>
    <x v="1"/>
    <x v="4"/>
    <n v="6294"/>
    <x v="11"/>
    <n v="3"/>
    <x v="0"/>
    <x v="1"/>
    <x v="0"/>
  </r>
  <r>
    <s v="STAFF-1927"/>
    <n v="28"/>
    <x v="1"/>
    <x v="0"/>
    <x v="0"/>
    <n v="6834"/>
    <x v="5"/>
    <n v="4"/>
    <x v="0"/>
    <x v="1"/>
    <x v="0"/>
  </r>
  <r>
    <s v="STAFF-1973"/>
    <n v="55"/>
    <x v="1"/>
    <x v="2"/>
    <x v="5"/>
    <n v="19636"/>
    <x v="1"/>
    <n v="2"/>
    <x v="0"/>
    <x v="1"/>
    <x v="2"/>
  </r>
  <r>
    <s v="STAFF-1460"/>
    <n v="45"/>
    <x v="1"/>
    <x v="1"/>
    <x v="4"/>
    <n v="10851"/>
    <x v="5"/>
    <n v="1"/>
    <x v="0"/>
    <x v="1"/>
    <x v="2"/>
  </r>
  <r>
    <s v="STAFF-1789"/>
    <n v="46"/>
    <x v="1"/>
    <x v="1"/>
    <x v="7"/>
    <n v="19328"/>
    <x v="4"/>
    <n v="4"/>
    <x v="0"/>
    <x v="1"/>
    <x v="2"/>
  </r>
  <r>
    <s v="STAFF-1998"/>
    <n v="42"/>
    <x v="1"/>
    <x v="1"/>
    <x v="1"/>
    <n v="5410"/>
    <x v="9"/>
    <n v="1"/>
    <x v="0"/>
    <x v="1"/>
    <x v="0"/>
  </r>
  <r>
    <s v="STAFF-1992"/>
    <n v="25"/>
    <x v="1"/>
    <x v="1"/>
    <x v="2"/>
    <n v="3977"/>
    <x v="4"/>
    <n v="3"/>
    <x v="0"/>
    <x v="1"/>
    <x v="0"/>
  </r>
  <r>
    <s v="STAFF-1448"/>
    <n v="41"/>
    <x v="1"/>
    <x v="1"/>
    <x v="1"/>
    <n v="2127"/>
    <x v="9"/>
    <n v="3"/>
    <x v="0"/>
    <x v="1"/>
    <x v="1"/>
  </r>
  <r>
    <s v="STAFF-1501"/>
    <n v="55"/>
    <x v="1"/>
    <x v="1"/>
    <x v="4"/>
    <n v="4035"/>
    <x v="11"/>
    <n v="3"/>
    <x v="0"/>
    <x v="1"/>
    <x v="0"/>
  </r>
  <r>
    <s v="STAFF-1766"/>
    <n v="38"/>
    <x v="1"/>
    <x v="1"/>
    <x v="4"/>
    <n v="5811"/>
    <x v="6"/>
    <n v="4"/>
    <x v="0"/>
    <x v="1"/>
    <x v="0"/>
  </r>
  <r>
    <s v="STAFF-1549"/>
    <n v="33"/>
    <x v="1"/>
    <x v="1"/>
    <x v="2"/>
    <n v="5207"/>
    <x v="15"/>
    <n v="3"/>
    <x v="0"/>
    <x v="1"/>
    <x v="0"/>
  </r>
  <r>
    <s v="STAFF-2053"/>
    <n v="29"/>
    <x v="1"/>
    <x v="1"/>
    <x v="2"/>
    <n v="4025"/>
    <x v="9"/>
    <n v="2"/>
    <x v="0"/>
    <x v="1"/>
    <x v="0"/>
  </r>
  <r>
    <s v="STAFF-1790"/>
    <n v="36"/>
    <x v="1"/>
    <x v="1"/>
    <x v="4"/>
    <n v="8321"/>
    <x v="12"/>
    <n v="1"/>
    <x v="0"/>
    <x v="1"/>
    <x v="2"/>
  </r>
  <r>
    <s v="STAFF-2003"/>
    <n v="35"/>
    <x v="1"/>
    <x v="1"/>
    <x v="2"/>
    <n v="2660"/>
    <x v="4"/>
    <n v="3"/>
    <x v="0"/>
    <x v="1"/>
    <x v="1"/>
  </r>
  <r>
    <s v="STAFF-1465"/>
    <n v="45"/>
    <x v="1"/>
    <x v="1"/>
    <x v="3"/>
    <n v="9380"/>
    <x v="11"/>
    <n v="4"/>
    <x v="0"/>
    <x v="1"/>
    <x v="2"/>
  </r>
  <r>
    <s v="STAFF-1755"/>
    <n v="34"/>
    <x v="1"/>
    <x v="1"/>
    <x v="1"/>
    <n v="2932"/>
    <x v="8"/>
    <n v="4"/>
    <x v="0"/>
    <x v="1"/>
    <x v="1"/>
  </r>
  <r>
    <s v="STAFF-1586"/>
    <n v="29"/>
    <x v="1"/>
    <x v="1"/>
    <x v="2"/>
    <n v="4723"/>
    <x v="1"/>
    <n v="1"/>
    <x v="0"/>
    <x v="1"/>
    <x v="0"/>
  </r>
  <r>
    <s v="STAFF-2020"/>
    <n v="44"/>
    <x v="1"/>
    <x v="1"/>
    <x v="1"/>
    <n v="2436"/>
    <x v="9"/>
    <n v="4"/>
    <x v="0"/>
    <x v="1"/>
    <x v="1"/>
  </r>
  <r>
    <s v="STAFF-1515"/>
    <n v="33"/>
    <x v="1"/>
    <x v="1"/>
    <x v="4"/>
    <n v="6388"/>
    <x v="2"/>
    <n v="3"/>
    <x v="0"/>
    <x v="1"/>
    <x v="0"/>
  </r>
  <r>
    <s v="STAFF-1669"/>
    <n v="29"/>
    <x v="1"/>
    <x v="0"/>
    <x v="0"/>
    <n v="4187"/>
    <x v="1"/>
    <n v="2"/>
    <x v="0"/>
    <x v="1"/>
    <x v="0"/>
  </r>
  <r>
    <s v="STAFF-1732"/>
    <n v="46"/>
    <x v="1"/>
    <x v="0"/>
    <x v="0"/>
    <n v="10368"/>
    <x v="1"/>
    <n v="4"/>
    <x v="0"/>
    <x v="1"/>
    <x v="2"/>
  </r>
  <r>
    <s v="STAFF-1943"/>
    <n v="42"/>
    <x v="1"/>
    <x v="0"/>
    <x v="0"/>
    <n v="5087"/>
    <x v="2"/>
    <n v="4"/>
    <x v="0"/>
    <x v="1"/>
    <x v="0"/>
  </r>
  <r>
    <s v="STAFF-1535"/>
    <n v="34"/>
    <x v="1"/>
    <x v="0"/>
    <x v="0"/>
    <n v="7083"/>
    <x v="1"/>
    <n v="3"/>
    <x v="0"/>
    <x v="1"/>
    <x v="2"/>
  </r>
  <r>
    <s v="STAFF-1591"/>
    <n v="50"/>
    <x v="1"/>
    <x v="0"/>
    <x v="5"/>
    <n v="19331"/>
    <x v="6"/>
    <n v="3"/>
    <x v="0"/>
    <x v="1"/>
    <x v="2"/>
  </r>
  <r>
    <s v="STAFF-1706"/>
    <n v="43"/>
    <x v="1"/>
    <x v="0"/>
    <x v="0"/>
    <n v="7847"/>
    <x v="1"/>
    <n v="4"/>
    <x v="0"/>
    <x v="1"/>
    <x v="2"/>
  </r>
  <r>
    <s v="STAFF-1882"/>
    <n v="34"/>
    <x v="1"/>
    <x v="0"/>
    <x v="0"/>
    <n v="9713"/>
    <x v="8"/>
    <n v="4"/>
    <x v="0"/>
    <x v="1"/>
    <x v="2"/>
  </r>
  <r>
    <s v="STAFF-2021"/>
    <n v="21"/>
    <x v="1"/>
    <x v="0"/>
    <x v="6"/>
    <n v="2380"/>
    <x v="4"/>
    <n v="1"/>
    <x v="0"/>
    <x v="1"/>
    <x v="1"/>
  </r>
  <r>
    <s v="STAFF-1678"/>
    <n v="41"/>
    <x v="1"/>
    <x v="0"/>
    <x v="0"/>
    <n v="7082"/>
    <x v="4"/>
    <n v="3"/>
    <x v="0"/>
    <x v="1"/>
    <x v="2"/>
  </r>
  <r>
    <s v="STAFF-1979"/>
    <n v="31"/>
    <x v="0"/>
    <x v="1"/>
    <x v="7"/>
    <n v="11031"/>
    <x v="19"/>
    <n v="3"/>
    <x v="1"/>
    <x v="1"/>
    <x v="2"/>
  </r>
  <r>
    <s v="STAFF-1845"/>
    <n v="45"/>
    <x v="0"/>
    <x v="0"/>
    <x v="0"/>
    <n v="5154"/>
    <x v="3"/>
    <n v="3"/>
    <x v="1"/>
    <x v="1"/>
    <x v="0"/>
  </r>
  <r>
    <s v="STAFF-1520"/>
    <n v="54"/>
    <x v="0"/>
    <x v="1"/>
    <x v="5"/>
    <n v="16032"/>
    <x v="13"/>
    <n v="4"/>
    <x v="1"/>
    <x v="1"/>
    <x v="2"/>
  </r>
  <r>
    <s v="STAFF-1675"/>
    <n v="38"/>
    <x v="0"/>
    <x v="1"/>
    <x v="2"/>
    <n v="2440"/>
    <x v="9"/>
    <n v="2"/>
    <x v="1"/>
    <x v="1"/>
    <x v="1"/>
  </r>
  <r>
    <s v="STAFF-1736"/>
    <n v="31"/>
    <x v="0"/>
    <x v="1"/>
    <x v="3"/>
    <n v="5238"/>
    <x v="8"/>
    <n v="4"/>
    <x v="1"/>
    <x v="1"/>
    <x v="0"/>
  </r>
  <r>
    <s v="STAFF-1744"/>
    <n v="45"/>
    <x v="0"/>
    <x v="2"/>
    <x v="8"/>
    <n v="9756"/>
    <x v="8"/>
    <n v="3"/>
    <x v="1"/>
    <x v="1"/>
    <x v="2"/>
  </r>
  <r>
    <s v="STAFF-1622"/>
    <n v="28"/>
    <x v="0"/>
    <x v="1"/>
    <x v="3"/>
    <n v="4877"/>
    <x v="8"/>
    <n v="1"/>
    <x v="1"/>
    <x v="1"/>
    <x v="0"/>
  </r>
  <r>
    <s v="STAFF-1581"/>
    <n v="26"/>
    <x v="0"/>
    <x v="1"/>
    <x v="1"/>
    <n v="2061"/>
    <x v="6"/>
    <n v="4"/>
    <x v="1"/>
    <x v="1"/>
    <x v="1"/>
  </r>
  <r>
    <s v="STAFF-2034"/>
    <n v="41"/>
    <x v="0"/>
    <x v="1"/>
    <x v="3"/>
    <n v="13570"/>
    <x v="23"/>
    <n v="2"/>
    <x v="1"/>
    <x v="1"/>
    <x v="2"/>
  </r>
  <r>
    <s v="STAFF-1441"/>
    <n v="56"/>
    <x v="0"/>
    <x v="1"/>
    <x v="1"/>
    <n v="2066"/>
    <x v="11"/>
    <n v="1"/>
    <x v="1"/>
    <x v="1"/>
    <x v="1"/>
  </r>
  <r>
    <s v="STAFF-1665"/>
    <n v="54"/>
    <x v="0"/>
    <x v="1"/>
    <x v="5"/>
    <n v="17426"/>
    <x v="1"/>
    <n v="3"/>
    <x v="1"/>
    <x v="1"/>
    <x v="2"/>
  </r>
  <r>
    <s v="STAFF-1509"/>
    <n v="49"/>
    <x v="0"/>
    <x v="1"/>
    <x v="2"/>
    <n v="4789"/>
    <x v="11"/>
    <n v="1"/>
    <x v="1"/>
    <x v="1"/>
    <x v="0"/>
  </r>
  <r>
    <s v="STAFF-1834"/>
    <n v="28"/>
    <x v="0"/>
    <x v="1"/>
    <x v="1"/>
    <n v="3591"/>
    <x v="11"/>
    <n v="1"/>
    <x v="1"/>
    <x v="1"/>
    <x v="0"/>
  </r>
  <r>
    <s v="STAFF-1864"/>
    <n v="27"/>
    <x v="0"/>
    <x v="0"/>
    <x v="6"/>
    <n v="3540"/>
    <x v="7"/>
    <n v="3"/>
    <x v="1"/>
    <x v="1"/>
    <x v="0"/>
  </r>
  <r>
    <s v="STAFF-1909"/>
    <n v="41"/>
    <x v="0"/>
    <x v="0"/>
    <x v="0"/>
    <n v="4393"/>
    <x v="8"/>
    <n v="2"/>
    <x v="1"/>
    <x v="1"/>
    <x v="0"/>
  </r>
  <r>
    <s v="STAFF-1554"/>
    <n v="35"/>
    <x v="0"/>
    <x v="0"/>
    <x v="6"/>
    <n v="2430"/>
    <x v="8"/>
    <n v="3"/>
    <x v="1"/>
    <x v="1"/>
    <x v="1"/>
  </r>
  <r>
    <s v="STAFF-2035"/>
    <n v="34"/>
    <x v="0"/>
    <x v="0"/>
    <x v="0"/>
    <n v="6712"/>
    <x v="3"/>
    <n v="3"/>
    <x v="1"/>
    <x v="1"/>
    <x v="0"/>
  </r>
  <r>
    <s v="STAFF-2026"/>
    <n v="56"/>
    <x v="1"/>
    <x v="1"/>
    <x v="4"/>
    <n v="6306"/>
    <x v="20"/>
    <n v="3"/>
    <x v="1"/>
    <x v="1"/>
    <x v="0"/>
  </r>
  <r>
    <s v="STAFF-1949"/>
    <n v="36"/>
    <x v="1"/>
    <x v="1"/>
    <x v="2"/>
    <n v="2810"/>
    <x v="8"/>
    <n v="2"/>
    <x v="1"/>
    <x v="1"/>
    <x v="1"/>
  </r>
  <r>
    <s v="STAFF-1712"/>
    <n v="45"/>
    <x v="1"/>
    <x v="1"/>
    <x v="4"/>
    <n v="10748"/>
    <x v="36"/>
    <n v="3"/>
    <x v="1"/>
    <x v="1"/>
    <x v="2"/>
  </r>
  <r>
    <s v="STAFF-1854"/>
    <n v="42"/>
    <x v="1"/>
    <x v="1"/>
    <x v="1"/>
    <n v="2936"/>
    <x v="0"/>
    <n v="3"/>
    <x v="1"/>
    <x v="1"/>
    <x v="1"/>
  </r>
  <r>
    <s v="STAFF-1693"/>
    <n v="26"/>
    <x v="1"/>
    <x v="1"/>
    <x v="2"/>
    <n v="2570"/>
    <x v="5"/>
    <n v="4"/>
    <x v="1"/>
    <x v="1"/>
    <x v="1"/>
  </r>
  <r>
    <s v="STAFF-1824"/>
    <n v="58"/>
    <x v="1"/>
    <x v="0"/>
    <x v="5"/>
    <n v="16291"/>
    <x v="22"/>
    <n v="2"/>
    <x v="1"/>
    <x v="1"/>
    <x v="2"/>
  </r>
  <r>
    <s v="STAFF-2036"/>
    <n v="36"/>
    <x v="1"/>
    <x v="0"/>
    <x v="0"/>
    <n v="5406"/>
    <x v="15"/>
    <n v="4"/>
    <x v="1"/>
    <x v="1"/>
    <x v="0"/>
  </r>
  <r>
    <s v="STAFF-1890"/>
    <n v="36"/>
    <x v="1"/>
    <x v="2"/>
    <x v="8"/>
    <n v="3886"/>
    <x v="1"/>
    <n v="4"/>
    <x v="1"/>
    <x v="1"/>
    <x v="0"/>
  </r>
  <r>
    <s v="STAFF-1970"/>
    <n v="33"/>
    <x v="1"/>
    <x v="1"/>
    <x v="4"/>
    <n v="5968"/>
    <x v="7"/>
    <n v="3"/>
    <x v="1"/>
    <x v="1"/>
    <x v="0"/>
  </r>
  <r>
    <s v="STAFF-1956"/>
    <n v="31"/>
    <x v="1"/>
    <x v="1"/>
    <x v="1"/>
    <n v="5003"/>
    <x v="1"/>
    <n v="1"/>
    <x v="1"/>
    <x v="1"/>
    <x v="0"/>
  </r>
  <r>
    <s v="STAFF-1644"/>
    <n v="48"/>
    <x v="1"/>
    <x v="1"/>
    <x v="5"/>
    <n v="15202"/>
    <x v="4"/>
    <n v="4"/>
    <x v="1"/>
    <x v="1"/>
    <x v="2"/>
  </r>
  <r>
    <s v="STAFF-1849"/>
    <n v="43"/>
    <x v="1"/>
    <x v="0"/>
    <x v="0"/>
    <n v="5675"/>
    <x v="5"/>
    <n v="4"/>
    <x v="1"/>
    <x v="1"/>
    <x v="0"/>
  </r>
  <r>
    <s v="STAFF-1499"/>
    <n v="30"/>
    <x v="1"/>
    <x v="2"/>
    <x v="8"/>
    <n v="2064"/>
    <x v="8"/>
    <n v="3"/>
    <x v="1"/>
    <x v="1"/>
    <x v="1"/>
  </r>
  <r>
    <s v="STAFF-1697"/>
    <n v="60"/>
    <x v="1"/>
    <x v="1"/>
    <x v="4"/>
    <n v="10883"/>
    <x v="6"/>
    <n v="4"/>
    <x v="1"/>
    <x v="1"/>
    <x v="2"/>
  </r>
  <r>
    <s v="STAFF-1664"/>
    <n v="36"/>
    <x v="1"/>
    <x v="1"/>
    <x v="4"/>
    <n v="6842"/>
    <x v="8"/>
    <n v="1"/>
    <x v="1"/>
    <x v="1"/>
    <x v="0"/>
  </r>
  <r>
    <s v="STAFF-1772"/>
    <n v="41"/>
    <x v="1"/>
    <x v="1"/>
    <x v="2"/>
    <n v="2289"/>
    <x v="8"/>
    <n v="1"/>
    <x v="1"/>
    <x v="1"/>
    <x v="1"/>
  </r>
  <r>
    <s v="STAFF-1768"/>
    <n v="42"/>
    <x v="1"/>
    <x v="1"/>
    <x v="2"/>
    <n v="2766"/>
    <x v="8"/>
    <n v="2"/>
    <x v="1"/>
    <x v="1"/>
    <x v="1"/>
  </r>
  <r>
    <s v="STAFF-1654"/>
    <n v="39"/>
    <x v="1"/>
    <x v="1"/>
    <x v="3"/>
    <n v="5295"/>
    <x v="8"/>
    <n v="2"/>
    <x v="1"/>
    <x v="1"/>
    <x v="0"/>
  </r>
  <r>
    <s v="STAFF-1936"/>
    <n v="39"/>
    <x v="1"/>
    <x v="1"/>
    <x v="3"/>
    <n v="5151"/>
    <x v="1"/>
    <n v="1"/>
    <x v="1"/>
    <x v="1"/>
    <x v="0"/>
  </r>
  <r>
    <s v="STAFF-1873"/>
    <n v="55"/>
    <x v="1"/>
    <x v="1"/>
    <x v="1"/>
    <n v="2662"/>
    <x v="8"/>
    <n v="4"/>
    <x v="1"/>
    <x v="1"/>
    <x v="1"/>
  </r>
  <r>
    <s v="STAFF-1483"/>
    <n v="57"/>
    <x v="1"/>
    <x v="1"/>
    <x v="1"/>
    <n v="4900"/>
    <x v="12"/>
    <n v="3"/>
    <x v="1"/>
    <x v="1"/>
    <x v="0"/>
  </r>
  <r>
    <s v="STAFF-1666"/>
    <n v="43"/>
    <x v="1"/>
    <x v="1"/>
    <x v="7"/>
    <n v="17603"/>
    <x v="13"/>
    <n v="3"/>
    <x v="1"/>
    <x v="1"/>
    <x v="2"/>
  </r>
  <r>
    <s v="STAFF-1999"/>
    <n v="41"/>
    <x v="1"/>
    <x v="1"/>
    <x v="1"/>
    <n v="2782"/>
    <x v="8"/>
    <n v="4"/>
    <x v="1"/>
    <x v="1"/>
    <x v="1"/>
  </r>
  <r>
    <s v="STAFF-1546"/>
    <n v="45"/>
    <x v="1"/>
    <x v="1"/>
    <x v="1"/>
    <n v="2132"/>
    <x v="8"/>
    <n v="4"/>
    <x v="1"/>
    <x v="1"/>
    <x v="1"/>
  </r>
  <r>
    <s v="STAFF-1993"/>
    <n v="47"/>
    <x v="1"/>
    <x v="1"/>
    <x v="4"/>
    <n v="8633"/>
    <x v="18"/>
    <n v="3"/>
    <x v="1"/>
    <x v="1"/>
    <x v="2"/>
  </r>
  <r>
    <s v="STAFF-1800"/>
    <n v="39"/>
    <x v="1"/>
    <x v="1"/>
    <x v="7"/>
    <n v="13464"/>
    <x v="9"/>
    <n v="3"/>
    <x v="1"/>
    <x v="1"/>
    <x v="2"/>
  </r>
  <r>
    <s v="STAFF-1516"/>
    <n v="32"/>
    <x v="1"/>
    <x v="1"/>
    <x v="5"/>
    <n v="11244"/>
    <x v="8"/>
    <n v="4"/>
    <x v="1"/>
    <x v="1"/>
    <x v="2"/>
  </r>
  <r>
    <s v="STAFF-1966"/>
    <n v="32"/>
    <x v="1"/>
    <x v="1"/>
    <x v="3"/>
    <n v="9679"/>
    <x v="6"/>
    <n v="4"/>
    <x v="1"/>
    <x v="1"/>
    <x v="2"/>
  </r>
  <r>
    <s v="STAFF-1595"/>
    <n v="42"/>
    <x v="1"/>
    <x v="1"/>
    <x v="5"/>
    <n v="19613"/>
    <x v="6"/>
    <n v="4"/>
    <x v="1"/>
    <x v="1"/>
    <x v="2"/>
  </r>
  <r>
    <s v="STAFF-1578"/>
    <n v="55"/>
    <x v="1"/>
    <x v="0"/>
    <x v="5"/>
    <n v="19586"/>
    <x v="28"/>
    <n v="4"/>
    <x v="1"/>
    <x v="1"/>
    <x v="2"/>
  </r>
  <r>
    <s v="STAFF-1823"/>
    <n v="34"/>
    <x v="1"/>
    <x v="0"/>
    <x v="0"/>
    <n v="6799"/>
    <x v="1"/>
    <n v="3"/>
    <x v="1"/>
    <x v="1"/>
    <x v="0"/>
  </r>
  <r>
    <s v="STAFF-1950"/>
    <n v="34"/>
    <x v="1"/>
    <x v="0"/>
    <x v="0"/>
    <n v="9888"/>
    <x v="13"/>
    <n v="4"/>
    <x v="1"/>
    <x v="1"/>
    <x v="2"/>
  </r>
  <r>
    <s v="STAFF-1775"/>
    <n v="53"/>
    <x v="0"/>
    <x v="1"/>
    <x v="3"/>
    <n v="12965"/>
    <x v="11"/>
    <n v="3"/>
    <x v="0"/>
    <x v="1"/>
    <x v="2"/>
  </r>
  <r>
    <s v="STAFF-1681"/>
    <n v="33"/>
    <x v="0"/>
    <x v="0"/>
    <x v="0"/>
    <n v="5368"/>
    <x v="0"/>
    <n v="4"/>
    <x v="0"/>
    <x v="1"/>
    <x v="0"/>
  </r>
  <r>
    <s v="STAFF-2017"/>
    <n v="37"/>
    <x v="0"/>
    <x v="1"/>
    <x v="7"/>
    <n v="13744"/>
    <x v="22"/>
    <n v="4"/>
    <x v="0"/>
    <x v="1"/>
    <x v="2"/>
  </r>
  <r>
    <s v="STAFF-1423"/>
    <n v="58"/>
    <x v="0"/>
    <x v="1"/>
    <x v="7"/>
    <n v="19701"/>
    <x v="7"/>
    <n v="1"/>
    <x v="0"/>
    <x v="1"/>
    <x v="2"/>
  </r>
  <r>
    <s v="STAFF-1847"/>
    <n v="36"/>
    <x v="0"/>
    <x v="1"/>
    <x v="1"/>
    <n v="6962"/>
    <x v="6"/>
    <n v="2"/>
    <x v="0"/>
    <x v="1"/>
    <x v="0"/>
  </r>
  <r>
    <s v="STAFF-2018"/>
    <n v="25"/>
    <x v="0"/>
    <x v="0"/>
    <x v="0"/>
    <n v="4907"/>
    <x v="8"/>
    <n v="3"/>
    <x v="0"/>
    <x v="1"/>
    <x v="0"/>
  </r>
  <r>
    <s v="STAFF-1835"/>
    <n v="38"/>
    <x v="0"/>
    <x v="0"/>
    <x v="6"/>
    <n v="5405"/>
    <x v="9"/>
    <n v="4"/>
    <x v="0"/>
    <x v="1"/>
    <x v="0"/>
  </r>
  <r>
    <s v="STAFF-1550"/>
    <n v="40"/>
    <x v="1"/>
    <x v="2"/>
    <x v="5"/>
    <n v="16437"/>
    <x v="17"/>
    <n v="4"/>
    <x v="0"/>
    <x v="1"/>
    <x v="2"/>
  </r>
  <r>
    <s v="STAFF-2064"/>
    <n v="27"/>
    <x v="1"/>
    <x v="1"/>
    <x v="3"/>
    <n v="6142"/>
    <x v="0"/>
    <n v="2"/>
    <x v="0"/>
    <x v="1"/>
    <x v="0"/>
  </r>
  <r>
    <s v="STAFF-1885"/>
    <n v="37"/>
    <x v="1"/>
    <x v="1"/>
    <x v="1"/>
    <n v="4284"/>
    <x v="8"/>
    <n v="1"/>
    <x v="0"/>
    <x v="1"/>
    <x v="0"/>
  </r>
  <r>
    <s v="STAFF-1541"/>
    <n v="34"/>
    <x v="1"/>
    <x v="0"/>
    <x v="6"/>
    <n v="2308"/>
    <x v="19"/>
    <n v="3"/>
    <x v="0"/>
    <x v="1"/>
    <x v="1"/>
  </r>
  <r>
    <s v="STAFF-1556"/>
    <n v="36"/>
    <x v="1"/>
    <x v="0"/>
    <x v="6"/>
    <n v="2644"/>
    <x v="11"/>
    <n v="4"/>
    <x v="0"/>
    <x v="1"/>
    <x v="1"/>
  </r>
  <r>
    <s v="STAFF-1747"/>
    <n v="30"/>
    <x v="0"/>
    <x v="2"/>
    <x v="8"/>
    <n v="2180"/>
    <x v="9"/>
    <n v="4"/>
    <x v="1"/>
    <x v="0"/>
    <x v="1"/>
  </r>
  <r>
    <s v="STAFF-1944"/>
    <n v="27"/>
    <x v="0"/>
    <x v="2"/>
    <x v="8"/>
    <n v="2863"/>
    <x v="6"/>
    <n v="2"/>
    <x v="1"/>
    <x v="0"/>
    <x v="1"/>
  </r>
  <r>
    <s v="STAFF-1459"/>
    <n v="31"/>
    <x v="0"/>
    <x v="1"/>
    <x v="3"/>
    <n v="7446"/>
    <x v="1"/>
    <n v="2"/>
    <x v="1"/>
    <x v="0"/>
    <x v="2"/>
  </r>
  <r>
    <s v="STAFF-1537"/>
    <n v="31"/>
    <x v="0"/>
    <x v="1"/>
    <x v="1"/>
    <n v="4084"/>
    <x v="5"/>
    <n v="3"/>
    <x v="1"/>
    <x v="0"/>
    <x v="0"/>
  </r>
  <r>
    <s v="STAFF-1487"/>
    <n v="29"/>
    <x v="0"/>
    <x v="0"/>
    <x v="0"/>
    <n v="5765"/>
    <x v="8"/>
    <n v="2"/>
    <x v="1"/>
    <x v="0"/>
    <x v="0"/>
  </r>
  <r>
    <s v="STAFF-1427"/>
    <n v="31"/>
    <x v="0"/>
    <x v="0"/>
    <x v="6"/>
    <n v="1359"/>
    <x v="6"/>
    <n v="3"/>
    <x v="1"/>
    <x v="0"/>
    <x v="1"/>
  </r>
  <r>
    <s v="STAFF-1467"/>
    <n v="34"/>
    <x v="0"/>
    <x v="2"/>
    <x v="8"/>
    <n v="2742"/>
    <x v="4"/>
    <n v="3"/>
    <x v="1"/>
    <x v="0"/>
    <x v="1"/>
  </r>
  <r>
    <s v="STAFF-1572"/>
    <n v="53"/>
    <x v="0"/>
    <x v="1"/>
    <x v="3"/>
    <n v="10169"/>
    <x v="26"/>
    <n v="4"/>
    <x v="1"/>
    <x v="0"/>
    <x v="2"/>
  </r>
  <r>
    <s v="STAFF-1433"/>
    <n v="31"/>
    <x v="0"/>
    <x v="1"/>
    <x v="1"/>
    <n v="1261"/>
    <x v="6"/>
    <n v="2"/>
    <x v="1"/>
    <x v="0"/>
    <x v="1"/>
  </r>
  <r>
    <s v="STAFF-1752"/>
    <n v="29"/>
    <x v="0"/>
    <x v="0"/>
    <x v="6"/>
    <n v="2760"/>
    <x v="4"/>
    <n v="2"/>
    <x v="1"/>
    <x v="0"/>
    <x v="1"/>
  </r>
  <r>
    <s v="STAFF-1807"/>
    <n v="34"/>
    <x v="1"/>
    <x v="1"/>
    <x v="2"/>
    <n v="5346"/>
    <x v="5"/>
    <n v="1"/>
    <x v="1"/>
    <x v="0"/>
    <x v="0"/>
  </r>
  <r>
    <s v="STAFF-1504"/>
    <n v="28"/>
    <x v="1"/>
    <x v="1"/>
    <x v="2"/>
    <n v="2561"/>
    <x v="2"/>
    <n v="1"/>
    <x v="1"/>
    <x v="0"/>
    <x v="1"/>
  </r>
  <r>
    <s v="STAFF-2044"/>
    <n v="50"/>
    <x v="1"/>
    <x v="0"/>
    <x v="0"/>
    <n v="6728"/>
    <x v="0"/>
    <n v="3"/>
    <x v="1"/>
    <x v="0"/>
    <x v="0"/>
  </r>
  <r>
    <s v="STAFF-1716"/>
    <n v="47"/>
    <x v="1"/>
    <x v="0"/>
    <x v="0"/>
    <n v="12936"/>
    <x v="36"/>
    <n v="3"/>
    <x v="1"/>
    <x v="0"/>
    <x v="2"/>
  </r>
  <r>
    <s v="STAFF-1486"/>
    <n v="28"/>
    <x v="1"/>
    <x v="0"/>
    <x v="6"/>
    <n v="2909"/>
    <x v="11"/>
    <n v="3"/>
    <x v="1"/>
    <x v="0"/>
    <x v="1"/>
  </r>
  <r>
    <s v="STAFF-2023"/>
    <n v="23"/>
    <x v="1"/>
    <x v="0"/>
    <x v="6"/>
    <n v="1790"/>
    <x v="6"/>
    <n v="1"/>
    <x v="1"/>
    <x v="0"/>
    <x v="1"/>
  </r>
  <r>
    <s v="STAFF-1928"/>
    <n v="29"/>
    <x v="1"/>
    <x v="0"/>
    <x v="6"/>
    <n v="1091"/>
    <x v="6"/>
    <n v="1"/>
    <x v="1"/>
    <x v="0"/>
    <x v="1"/>
  </r>
  <r>
    <s v="STAFF-1842"/>
    <n v="31"/>
    <x v="1"/>
    <x v="2"/>
    <x v="8"/>
    <n v="2956"/>
    <x v="6"/>
    <n v="1"/>
    <x v="1"/>
    <x v="0"/>
    <x v="1"/>
  </r>
  <r>
    <s v="STAFF-1714"/>
    <n v="24"/>
    <x v="1"/>
    <x v="2"/>
    <x v="8"/>
    <n v="1555"/>
    <x v="6"/>
    <n v="3"/>
    <x v="1"/>
    <x v="0"/>
    <x v="1"/>
  </r>
  <r>
    <s v="STAFF-1960"/>
    <n v="28"/>
    <x v="1"/>
    <x v="1"/>
    <x v="2"/>
    <n v="2367"/>
    <x v="9"/>
    <n v="4"/>
    <x v="1"/>
    <x v="0"/>
    <x v="1"/>
  </r>
  <r>
    <s v="STAFF-2032"/>
    <n v="56"/>
    <x v="1"/>
    <x v="1"/>
    <x v="2"/>
    <n v="2339"/>
    <x v="1"/>
    <n v="3"/>
    <x v="1"/>
    <x v="0"/>
    <x v="1"/>
  </r>
  <r>
    <s v="STAFF-1573"/>
    <n v="38"/>
    <x v="1"/>
    <x v="1"/>
    <x v="3"/>
    <n v="4855"/>
    <x v="8"/>
    <n v="2"/>
    <x v="1"/>
    <x v="0"/>
    <x v="0"/>
  </r>
  <r>
    <s v="STAFF-1522"/>
    <n v="29"/>
    <x v="1"/>
    <x v="1"/>
    <x v="1"/>
    <n v="2362"/>
    <x v="7"/>
    <n v="1"/>
    <x v="1"/>
    <x v="0"/>
    <x v="1"/>
  </r>
  <r>
    <s v="STAFF-1907"/>
    <n v="56"/>
    <x v="1"/>
    <x v="1"/>
    <x v="2"/>
    <n v="2587"/>
    <x v="9"/>
    <n v="4"/>
    <x v="1"/>
    <x v="0"/>
    <x v="1"/>
  </r>
  <r>
    <s v="STAFF-1534"/>
    <n v="40"/>
    <x v="1"/>
    <x v="1"/>
    <x v="2"/>
    <n v="2018"/>
    <x v="8"/>
    <n v="1"/>
    <x v="1"/>
    <x v="0"/>
    <x v="1"/>
  </r>
  <r>
    <s v="STAFF-1809"/>
    <n v="37"/>
    <x v="1"/>
    <x v="1"/>
    <x v="3"/>
    <n v="4213"/>
    <x v="1"/>
    <n v="1"/>
    <x v="1"/>
    <x v="0"/>
    <x v="0"/>
  </r>
  <r>
    <s v="STAFF-1692"/>
    <n v="32"/>
    <x v="1"/>
    <x v="1"/>
    <x v="2"/>
    <n v="1393"/>
    <x v="6"/>
    <n v="2"/>
    <x v="1"/>
    <x v="0"/>
    <x v="1"/>
  </r>
  <r>
    <s v="STAFF-1457"/>
    <n v="46"/>
    <x v="1"/>
    <x v="0"/>
    <x v="0"/>
    <n v="10096"/>
    <x v="5"/>
    <n v="4"/>
    <x v="1"/>
    <x v="0"/>
    <x v="2"/>
  </r>
  <r>
    <s v="STAFF-1439"/>
    <n v="25"/>
    <x v="1"/>
    <x v="0"/>
    <x v="6"/>
    <n v="4400"/>
    <x v="11"/>
    <n v="1"/>
    <x v="1"/>
    <x v="0"/>
    <x v="0"/>
  </r>
  <r>
    <s v="STAFF-1639"/>
    <n v="35"/>
    <x v="1"/>
    <x v="0"/>
    <x v="0"/>
    <n v="10306"/>
    <x v="20"/>
    <n v="1"/>
    <x v="1"/>
    <x v="0"/>
    <x v="2"/>
  </r>
  <r>
    <s v="STAFF-1562"/>
    <n v="30"/>
    <x v="1"/>
    <x v="0"/>
    <x v="0"/>
    <n v="9714"/>
    <x v="1"/>
    <n v="1"/>
    <x v="1"/>
    <x v="0"/>
    <x v="2"/>
  </r>
  <r>
    <s v="STAFF-1761"/>
    <n v="31"/>
    <x v="1"/>
    <x v="0"/>
    <x v="0"/>
    <n v="8161"/>
    <x v="6"/>
    <n v="3"/>
    <x v="1"/>
    <x v="0"/>
    <x v="2"/>
  </r>
  <r>
    <s v="STAFF-1734"/>
    <n v="32"/>
    <x v="1"/>
    <x v="0"/>
    <x v="0"/>
    <n v="6735"/>
    <x v="2"/>
    <n v="2"/>
    <x v="1"/>
    <x v="0"/>
    <x v="0"/>
  </r>
  <r>
    <s v="STAFF-1780"/>
    <n v="21"/>
    <x v="1"/>
    <x v="0"/>
    <x v="6"/>
    <n v="2679"/>
    <x v="6"/>
    <n v="2"/>
    <x v="1"/>
    <x v="0"/>
    <x v="1"/>
  </r>
  <r>
    <s v="STAFF-1876"/>
    <n v="30"/>
    <x v="1"/>
    <x v="0"/>
    <x v="6"/>
    <n v="1081"/>
    <x v="6"/>
    <n v="4"/>
    <x v="1"/>
    <x v="0"/>
    <x v="1"/>
  </r>
  <r>
    <s v="STAFF-1939"/>
    <n v="32"/>
    <x v="0"/>
    <x v="1"/>
    <x v="1"/>
    <n v="2432"/>
    <x v="9"/>
    <n v="3"/>
    <x v="0"/>
    <x v="0"/>
    <x v="1"/>
  </r>
  <r>
    <s v="STAFF-1421"/>
    <n v="29"/>
    <x v="0"/>
    <x v="1"/>
    <x v="4"/>
    <n v="7553"/>
    <x v="3"/>
    <n v="4"/>
    <x v="0"/>
    <x v="0"/>
    <x v="2"/>
  </r>
  <r>
    <s v="STAFF-1691"/>
    <n v="48"/>
    <x v="0"/>
    <x v="0"/>
    <x v="6"/>
    <n v="2655"/>
    <x v="7"/>
    <n v="3"/>
    <x v="0"/>
    <x v="0"/>
    <x v="1"/>
  </r>
  <r>
    <s v="STAFF-1624"/>
    <n v="18"/>
    <x v="0"/>
    <x v="0"/>
    <x v="6"/>
    <n v="1569"/>
    <x v="2"/>
    <n v="4"/>
    <x v="0"/>
    <x v="0"/>
    <x v="1"/>
  </r>
  <r>
    <s v="STAFF-1818"/>
    <n v="26"/>
    <x v="0"/>
    <x v="2"/>
    <x v="8"/>
    <n v="2148"/>
    <x v="8"/>
    <n v="2"/>
    <x v="0"/>
    <x v="0"/>
    <x v="1"/>
  </r>
  <r>
    <s v="STAFF-1569"/>
    <n v="35"/>
    <x v="0"/>
    <x v="1"/>
    <x v="2"/>
    <n v="2074"/>
    <x v="6"/>
    <n v="1"/>
    <x v="0"/>
    <x v="0"/>
    <x v="1"/>
  </r>
  <r>
    <s v="STAFF-1783"/>
    <n v="22"/>
    <x v="0"/>
    <x v="1"/>
    <x v="2"/>
    <n v="2398"/>
    <x v="6"/>
    <n v="1"/>
    <x v="0"/>
    <x v="0"/>
    <x v="1"/>
  </r>
  <r>
    <s v="STAFF-1933"/>
    <n v="28"/>
    <x v="0"/>
    <x v="0"/>
    <x v="0"/>
    <n v="9854"/>
    <x v="4"/>
    <n v="3"/>
    <x v="0"/>
    <x v="0"/>
    <x v="2"/>
  </r>
  <r>
    <s v="STAFF-1792"/>
    <n v="44"/>
    <x v="1"/>
    <x v="1"/>
    <x v="1"/>
    <n v="2342"/>
    <x v="8"/>
    <n v="2"/>
    <x v="0"/>
    <x v="0"/>
    <x v="1"/>
  </r>
  <r>
    <s v="STAFF-1464"/>
    <n v="31"/>
    <x v="1"/>
    <x v="1"/>
    <x v="2"/>
    <n v="3722"/>
    <x v="4"/>
    <n v="4"/>
    <x v="0"/>
    <x v="0"/>
    <x v="0"/>
  </r>
  <r>
    <s v="STAFF-1767"/>
    <n v="43"/>
    <x v="1"/>
    <x v="1"/>
    <x v="1"/>
    <n v="2437"/>
    <x v="6"/>
    <n v="3"/>
    <x v="0"/>
    <x v="0"/>
    <x v="1"/>
  </r>
  <r>
    <s v="STAFF-1494"/>
    <n v="24"/>
    <x v="1"/>
    <x v="1"/>
    <x v="2"/>
    <n v="3172"/>
    <x v="2"/>
    <n v="1"/>
    <x v="0"/>
    <x v="0"/>
    <x v="0"/>
  </r>
  <r>
    <s v="STAFF-1967"/>
    <n v="31"/>
    <x v="1"/>
    <x v="0"/>
    <x v="0"/>
    <n v="5617"/>
    <x v="1"/>
    <n v="4"/>
    <x v="0"/>
    <x v="0"/>
    <x v="0"/>
  </r>
  <r>
    <s v="STAFF-1844"/>
    <n v="29"/>
    <x v="1"/>
    <x v="2"/>
    <x v="8"/>
    <n v="2335"/>
    <x v="4"/>
    <n v="1"/>
    <x v="0"/>
    <x v="0"/>
    <x v="1"/>
  </r>
  <r>
    <s v="STAFF-2027"/>
    <n v="29"/>
    <x v="1"/>
    <x v="1"/>
    <x v="1"/>
    <n v="4787"/>
    <x v="4"/>
    <n v="4"/>
    <x v="0"/>
    <x v="0"/>
    <x v="0"/>
  </r>
  <r>
    <s v="STAFF-1604"/>
    <n v="28"/>
    <x v="1"/>
    <x v="1"/>
    <x v="2"/>
    <n v="2408"/>
    <x v="6"/>
    <n v="2"/>
    <x v="0"/>
    <x v="0"/>
    <x v="1"/>
  </r>
  <r>
    <s v="STAFF-1649"/>
    <n v="40"/>
    <x v="1"/>
    <x v="1"/>
    <x v="2"/>
    <n v="2166"/>
    <x v="9"/>
    <n v="1"/>
    <x v="0"/>
    <x v="0"/>
    <x v="1"/>
  </r>
  <r>
    <s v="STAFF-1684"/>
    <n v="23"/>
    <x v="1"/>
    <x v="1"/>
    <x v="2"/>
    <n v="3989"/>
    <x v="8"/>
    <n v="3"/>
    <x v="0"/>
    <x v="0"/>
    <x v="0"/>
  </r>
  <r>
    <s v="STAFF-2055"/>
    <n v="50"/>
    <x v="1"/>
    <x v="0"/>
    <x v="0"/>
    <n v="10854"/>
    <x v="11"/>
    <n v="1"/>
    <x v="0"/>
    <x v="0"/>
    <x v="2"/>
  </r>
  <r>
    <s v="STAFF-1645"/>
    <n v="35"/>
    <x v="1"/>
    <x v="0"/>
    <x v="0"/>
    <n v="5440"/>
    <x v="4"/>
    <n v="4"/>
    <x v="0"/>
    <x v="0"/>
    <x v="0"/>
  </r>
  <r>
    <s v="STAFF-1733"/>
    <n v="36"/>
    <x v="1"/>
    <x v="0"/>
    <x v="0"/>
    <n v="6134"/>
    <x v="4"/>
    <n v="1"/>
    <x v="0"/>
    <x v="0"/>
    <x v="0"/>
  </r>
  <r>
    <s v="STAFF-1968"/>
    <n v="53"/>
    <x v="1"/>
    <x v="0"/>
    <x v="0"/>
    <n v="10448"/>
    <x v="4"/>
    <n v="1"/>
    <x v="0"/>
    <x v="0"/>
    <x v="2"/>
  </r>
  <r>
    <s v="STAFF-1862"/>
    <n v="32"/>
    <x v="1"/>
    <x v="0"/>
    <x v="0"/>
    <n v="9907"/>
    <x v="4"/>
    <n v="2"/>
    <x v="0"/>
    <x v="0"/>
    <x v="2"/>
  </r>
  <r>
    <s v="STAFF-1797"/>
    <n v="35"/>
    <x v="1"/>
    <x v="0"/>
    <x v="0"/>
    <n v="5813"/>
    <x v="1"/>
    <n v="4"/>
    <x v="0"/>
    <x v="0"/>
    <x v="0"/>
  </r>
  <r>
    <s v="STAFF-1821"/>
    <n v="46"/>
    <x v="0"/>
    <x v="1"/>
    <x v="4"/>
    <n v="8926"/>
    <x v="7"/>
    <n v="2"/>
    <x v="1"/>
    <x v="0"/>
    <x v="2"/>
  </r>
  <r>
    <s v="STAFF-1869"/>
    <n v="46"/>
    <x v="0"/>
    <x v="0"/>
    <x v="0"/>
    <n v="7314"/>
    <x v="3"/>
    <n v="2"/>
    <x v="1"/>
    <x v="0"/>
    <x v="2"/>
  </r>
  <r>
    <s v="STAFF-1420"/>
    <n v="49"/>
    <x v="1"/>
    <x v="1"/>
    <x v="2"/>
    <n v="4284"/>
    <x v="9"/>
    <n v="1"/>
    <x v="1"/>
    <x v="0"/>
    <x v="0"/>
  </r>
  <r>
    <s v="STAFF-1458"/>
    <n v="39"/>
    <x v="0"/>
    <x v="1"/>
    <x v="2"/>
    <n v="3646"/>
    <x v="6"/>
    <n v="1"/>
    <x v="0"/>
    <x v="0"/>
    <x v="0"/>
  </r>
  <r>
    <s v="STAFF-1489"/>
    <n v="34"/>
    <x v="0"/>
    <x v="0"/>
    <x v="0"/>
    <n v="4599"/>
    <x v="15"/>
    <n v="2"/>
    <x v="0"/>
    <x v="0"/>
    <x v="0"/>
  </r>
  <r>
    <s v="STAFF-1758"/>
    <n v="33"/>
    <x v="0"/>
    <x v="0"/>
    <x v="0"/>
    <n v="8564"/>
    <x v="2"/>
    <n v="1"/>
    <x v="0"/>
    <x v="0"/>
    <x v="2"/>
  </r>
  <r>
    <s v="STAFF-1905"/>
    <n v="34"/>
    <x v="1"/>
    <x v="1"/>
    <x v="1"/>
    <n v="2307"/>
    <x v="8"/>
    <n v="1"/>
    <x v="0"/>
    <x v="0"/>
    <x v="1"/>
  </r>
  <r>
    <s v="STAFF-1868"/>
    <n v="29"/>
    <x v="1"/>
    <x v="1"/>
    <x v="1"/>
    <n v="2439"/>
    <x v="6"/>
    <n v="4"/>
    <x v="0"/>
    <x v="0"/>
    <x v="1"/>
  </r>
  <r>
    <s v="STAFF-1667"/>
    <n v="35"/>
    <x v="1"/>
    <x v="0"/>
    <x v="0"/>
    <n v="4581"/>
    <x v="19"/>
    <n v="4"/>
    <x v="0"/>
    <x v="0"/>
    <x v="0"/>
  </r>
  <r>
    <s v="STAFF-1878"/>
    <n v="22"/>
    <x v="1"/>
    <x v="1"/>
    <x v="1"/>
    <n v="2472"/>
    <x v="6"/>
    <n v="2"/>
    <x v="0"/>
    <x v="0"/>
    <x v="1"/>
  </r>
  <r>
    <s v="STAFF-1702"/>
    <n v="23"/>
    <x v="1"/>
    <x v="0"/>
    <x v="6"/>
    <n v="2275"/>
    <x v="11"/>
    <n v="4"/>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DEDA3-C428-4AE4-8868-4D433527B3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F12" firstHeaderRow="1" firstDataRow="1" firstDataCol="1" rowPageCount="1" colPageCount="1"/>
  <pivotFields count="11">
    <pivotField showAll="0"/>
    <pivotField showAll="0"/>
    <pivotField showAll="0">
      <items count="3">
        <item x="0"/>
        <item x="1"/>
        <item t="default"/>
      </items>
    </pivotField>
    <pivotField showAll="0">
      <items count="4">
        <item x="2"/>
        <item x="1"/>
        <item x="0"/>
        <item t="default"/>
      </items>
    </pivotField>
    <pivotField showAll="0">
      <items count="10">
        <item x="4"/>
        <item x="8"/>
        <item x="2"/>
        <item x="5"/>
        <item x="3"/>
        <item x="7"/>
        <item x="1"/>
        <item x="0"/>
        <item x="6"/>
        <item t="default"/>
      </items>
    </pivotField>
    <pivotField numFmtId="164" showAll="0"/>
    <pivotField numFmtId="2" showAll="0"/>
    <pivotField showAll="0"/>
    <pivotField showAll="0"/>
    <pivotField axis="axisPage" dataField="1" showAll="0">
      <items count="3">
        <item x="1"/>
        <item x="0"/>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0"/>
  </rowFields>
  <rowItems count="4">
    <i>
      <x v="1"/>
    </i>
    <i>
      <x v="2"/>
    </i>
    <i>
      <x/>
    </i>
    <i t="grand">
      <x/>
    </i>
  </rowItems>
  <colItems count="1">
    <i/>
  </colItems>
  <pageFields count="1">
    <pageField fld="9" item="1" hier="-1"/>
  </pageFields>
  <dataFields count="1">
    <dataField name="Count of Attrition" fld="9"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3" format="7">
      <pivotArea type="data" outline="0" fieldPosition="0">
        <references count="2">
          <reference field="4294967294" count="1" selected="0">
            <x v="0"/>
          </reference>
          <reference field="10" count="1" selected="0">
            <x v="2"/>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F0DF9-2297-4016-9BD1-8D4DD87390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8:C12" firstHeaderRow="1" firstDataRow="1" firstDataCol="1" rowPageCount="1" colPageCount="1"/>
  <pivotFields count="11">
    <pivotField showAll="0"/>
    <pivotField showAll="0"/>
    <pivotField showAll="0">
      <items count="3">
        <item x="0"/>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0">
        <item x="4"/>
        <item x="8"/>
        <item x="2"/>
        <item x="5"/>
        <item x="3"/>
        <item x="7"/>
        <item x="1"/>
        <item x="0"/>
        <item x="6"/>
        <item t="default"/>
      </items>
    </pivotField>
    <pivotField numFmtId="164" showAll="0"/>
    <pivotField numFmtId="2" showAll="0"/>
    <pivotField showAll="0"/>
    <pivotField showAll="0"/>
    <pivotField axis="axisPage" dataField="1" showAll="0">
      <items count="3">
        <item x="1"/>
        <item x="0"/>
        <item t="default"/>
      </items>
    </pivotField>
    <pivotField showAll="0"/>
  </pivotFields>
  <rowFields count="1">
    <field x="3"/>
  </rowFields>
  <rowItems count="4">
    <i>
      <x v="1"/>
    </i>
    <i>
      <x v="2"/>
    </i>
    <i>
      <x/>
    </i>
    <i t="grand">
      <x/>
    </i>
  </rowItems>
  <colItems count="1">
    <i/>
  </colItems>
  <pageFields count="1">
    <pageField fld="9" item="1" hier="-1"/>
  </pageFields>
  <dataFields count="1">
    <dataField name="Count of Attrition" fld="9"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479537-2C5B-4607-BF5F-2AC445C370B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s At Company" colHeaderCaption="Attrition">
  <location ref="L6:N44" firstHeaderRow="1" firstDataRow="2" firstDataCol="1"/>
  <pivotFields count="11">
    <pivotField dataField="1" showAll="0"/>
    <pivotField showAll="0"/>
    <pivotField showAll="0">
      <items count="3">
        <item x="0"/>
        <item x="1"/>
        <item t="default"/>
      </items>
    </pivotField>
    <pivotField showAll="0">
      <items count="4">
        <item x="2"/>
        <item x="1"/>
        <item x="0"/>
        <item t="default"/>
      </items>
    </pivotField>
    <pivotField showAll="0">
      <items count="10">
        <item x="4"/>
        <item x="8"/>
        <item x="2"/>
        <item x="5"/>
        <item x="3"/>
        <item x="7"/>
        <item x="1"/>
        <item x="0"/>
        <item x="6"/>
        <item t="default"/>
      </items>
    </pivotField>
    <pivotField numFmtId="164" showAll="0"/>
    <pivotField axis="axisRow" numFmtId="2" showAll="0" sortType="descending">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autoSortScope>
        <pivotArea dataOnly="0" outline="0" fieldPosition="0">
          <references count="2">
            <reference field="4294967294" count="1" selected="0">
              <x v="0"/>
            </reference>
            <reference field="9" count="1" selected="0">
              <x v="1"/>
            </reference>
          </references>
        </pivotArea>
      </autoSortScope>
    </pivotField>
    <pivotField showAll="0"/>
    <pivotField showAll="0"/>
    <pivotField axis="axisCol" showAll="0">
      <items count="3">
        <item x="1"/>
        <item x="0"/>
        <item t="default"/>
      </items>
    </pivotField>
    <pivotField showAll="0"/>
  </pivotFields>
  <rowFields count="1">
    <field x="6"/>
  </rowFields>
  <rowItems count="37">
    <i>
      <x v="1"/>
    </i>
    <i>
      <x v="2"/>
    </i>
    <i>
      <x v="5"/>
    </i>
    <i>
      <x v="3"/>
    </i>
    <i>
      <x v="4"/>
    </i>
    <i>
      <x v="10"/>
    </i>
    <i>
      <x/>
    </i>
    <i>
      <x v="7"/>
    </i>
    <i>
      <x v="8"/>
    </i>
    <i>
      <x v="6"/>
    </i>
    <i>
      <x v="9"/>
    </i>
    <i>
      <x v="13"/>
    </i>
    <i>
      <x v="11"/>
    </i>
    <i>
      <x v="14"/>
    </i>
    <i>
      <x v="22"/>
    </i>
    <i>
      <x v="31"/>
    </i>
    <i>
      <x v="24"/>
    </i>
    <i>
      <x v="16"/>
    </i>
    <i>
      <x v="15"/>
    </i>
    <i>
      <x v="17"/>
    </i>
    <i>
      <x v="23"/>
    </i>
    <i>
      <x v="36"/>
    </i>
    <i>
      <x v="30"/>
    </i>
    <i>
      <x v="19"/>
    </i>
    <i>
      <x v="32"/>
    </i>
    <i>
      <x v="20"/>
    </i>
    <i>
      <x v="21"/>
    </i>
    <i>
      <x v="18"/>
    </i>
    <i>
      <x v="35"/>
    </i>
    <i>
      <x v="33"/>
    </i>
    <i>
      <x v="28"/>
    </i>
    <i>
      <x v="29"/>
    </i>
    <i>
      <x v="34"/>
    </i>
    <i>
      <x v="12"/>
    </i>
    <i>
      <x v="27"/>
    </i>
    <i>
      <x v="25"/>
    </i>
    <i>
      <x v="26"/>
    </i>
  </rowItems>
  <colFields count="1">
    <field x="9"/>
  </colFields>
  <colItems count="2">
    <i>
      <x/>
    </i>
    <i>
      <x v="1"/>
    </i>
  </colItems>
  <dataFields count="1">
    <dataField name="Employees" fld="0" subtotal="count" baseField="0"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94A62-2A22-4C9F-BF49-914DF9A81FF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Overtime" colHeaderCaption="Attrition">
  <location ref="H6:J9" firstHeaderRow="1" firstDataRow="2" firstDataCol="1"/>
  <pivotFields count="11">
    <pivotField dataField="1" showAll="0"/>
    <pivotField showAll="0"/>
    <pivotField showAll="0">
      <items count="3">
        <item x="0"/>
        <item x="1"/>
        <item t="default"/>
      </items>
    </pivotField>
    <pivotField showAll="0">
      <items count="4">
        <item x="2"/>
        <item x="1"/>
        <item x="0"/>
        <item t="default"/>
      </items>
    </pivotField>
    <pivotField showAll="0">
      <items count="10">
        <item x="4"/>
        <item x="8"/>
        <item x="2"/>
        <item x="5"/>
        <item x="3"/>
        <item x="7"/>
        <item x="1"/>
        <item x="0"/>
        <item x="6"/>
        <item t="default"/>
      </items>
    </pivotField>
    <pivotField numFmtId="164" showAll="0"/>
    <pivotField numFmtId="2" showAll="0"/>
    <pivotField showAll="0"/>
    <pivotField axis="axisRow" showAll="0" sortType="descending">
      <items count="3">
        <item x="1"/>
        <item x="0"/>
        <item t="default"/>
      </items>
      <autoSortScope>
        <pivotArea dataOnly="0" outline="0" fieldPosition="0">
          <references count="2">
            <reference field="4294967294" count="1" selected="0">
              <x v="0"/>
            </reference>
            <reference field="9" count="1" selected="0">
              <x v="0"/>
            </reference>
          </references>
        </pivotArea>
      </autoSortScope>
    </pivotField>
    <pivotField axis="axisCol" showAll="0">
      <items count="3">
        <item x="1"/>
        <item x="0"/>
        <item t="default"/>
      </items>
    </pivotField>
    <pivotField showAll="0"/>
  </pivotFields>
  <rowFields count="1">
    <field x="8"/>
  </rowFields>
  <rowItems count="2">
    <i>
      <x/>
    </i>
    <i>
      <x v="1"/>
    </i>
  </rowItems>
  <colFields count="1">
    <field x="9"/>
  </colFields>
  <colItems count="2">
    <i>
      <x/>
    </i>
    <i>
      <x v="1"/>
    </i>
  </colItems>
  <dataFields count="1">
    <dataField name="Employees" fld="0" subtotal="count" showDataAs="percentOfRow" baseField="0" baseItem="0" numFmtId="10"/>
  </dataFields>
  <chartFormats count="2">
    <chartFormat chart="11" format="4" series="1">
      <pivotArea type="data" outline="0" fieldPosition="0">
        <references count="2">
          <reference field="4294967294" count="1" selected="0">
            <x v="0"/>
          </reference>
          <reference field="9" count="1" selected="0">
            <x v="0"/>
          </reference>
        </references>
      </pivotArea>
    </chartFormat>
    <chartFormat chart="11"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730E4F-3C6E-4724-A339-932746514F9D}" sourceName="Gender">
  <pivotTables>
    <pivotTable tabId="2" name="PivotTable1"/>
    <pivotTable tabId="2" name="PivotTable2"/>
    <pivotTable tabId="2" name="PivotTable3"/>
    <pivotTable tabId="2" name="PivotTable4"/>
  </pivotTables>
  <data>
    <tabular pivotCacheId="6405728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6CAD38A-C0E3-4457-8B38-AC2DCC53C575}" sourceName="Department">
  <pivotTables>
    <pivotTable tabId="2" name="PivotTable1"/>
    <pivotTable tabId="2" name="PivotTable2"/>
    <pivotTable tabId="2" name="PivotTable3"/>
    <pivotTable tabId="2" name="PivotTable4"/>
  </pivotTables>
  <data>
    <tabular pivotCacheId="64057281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3FF940B2-0FD4-4317-BC01-249F8B273FD1}" sourceName="Job Role">
  <pivotTables>
    <pivotTable tabId="2" name="PivotTable1"/>
    <pivotTable tabId="2" name="PivotTable2"/>
    <pivotTable tabId="2" name="PivotTable3"/>
    <pivotTable tabId="2" name="PivotTable4"/>
  </pivotTables>
  <data>
    <tabular pivotCacheId="640572819">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9A2E01A-62AA-4B0E-AB66-0C8FEEC31156}" cache="Slicer_Gender" caption="Gender" style="SlicerStyleLight2" rowHeight="260350"/>
  <slicer name="Department" xr10:uid="{7E3985E1-D71C-4ACC-BCF6-A04254C894E7}" cache="Slicer_Department" caption="Department" style="SlicerStyleLight2" rowHeight="260350"/>
  <slicer name="Job Role" xr10:uid="{9A002FB1-57D6-4168-B61A-A7E654E9715C}" cache="Slicer_Job_Role" caption="Job Role" style="SlicerStyleLigh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BBAA9-15FE-4717-A3B9-AC65503923F6}" name="Table1" displayName="Table1" ref="B1:L1471" totalsRowShown="0" headerRowDxfId="13" dataDxfId="12" tableBorderDxfId="11">
  <autoFilter ref="B1:L1471" xr:uid="{FD7BBAA9-15FE-4717-A3B9-AC65503923F6}"/>
  <tableColumns count="11">
    <tableColumn id="1" xr3:uid="{0B4FC023-A28F-4802-9558-4FA16192759E}" name="Emp ID" dataDxfId="10"/>
    <tableColumn id="2" xr3:uid="{676FBA78-71BD-4A39-8CEF-245A037B0742}" name="Age" dataDxfId="9"/>
    <tableColumn id="3" xr3:uid="{150F080C-DAD4-44BA-8E2B-996309F8A660}" name="Gender" dataDxfId="8"/>
    <tableColumn id="4" xr3:uid="{99765720-6020-49B3-8E63-CADDA8A8EB5A}" name="Department" dataDxfId="7"/>
    <tableColumn id="5" xr3:uid="{728CD8CF-C639-4968-B8FD-752D3FA78E7A}" name="Job Role" dataDxfId="6"/>
    <tableColumn id="6" xr3:uid="{868EDCBD-93F5-43A5-8D53-530BB84C5175}" name="Monthly Income" dataDxfId="5"/>
    <tableColumn id="7" xr3:uid="{F4F86B50-A728-4080-BD8D-C34F9283384A}" name="Years At Company" dataDxfId="4"/>
    <tableColumn id="8" xr3:uid="{79A227F4-202B-4E51-A484-F007FCF235A9}" name="Job Satisfaction" dataDxfId="3"/>
    <tableColumn id="9" xr3:uid="{4921ACFA-2C6B-4629-BC25-9FD1452DF367}" name="Over Time" dataDxfId="2"/>
    <tableColumn id="10" xr3:uid="{A969DA1F-1581-473E-AF86-11BC125CE154}" name="Attrition" dataDxfId="1"/>
    <tableColumn id="11" xr3:uid="{775C5D96-8865-4354-A55C-504740245ECC}" name="Salary Range" dataDxfId="0">
      <calculatedColumnFormula>IF(Table1[[#This Row],[Monthly Income]]&lt;3000,"Low",IF(Table1[[#This Row],[Monthly Income]]&lt;7000,"Medium","High"))</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37ED-6170-432A-8DB4-062CFA107190}">
  <dimension ref="B1:BE1471"/>
  <sheetViews>
    <sheetView workbookViewId="0">
      <selection activeCell="M18" sqref="M18"/>
    </sheetView>
  </sheetViews>
  <sheetFormatPr defaultRowHeight="15.6" x14ac:dyDescent="0.3"/>
  <cols>
    <col min="2" max="2" width="9" customWidth="1"/>
    <col min="5" max="5" width="12.796875" customWidth="1"/>
    <col min="6" max="6" width="23.296875" bestFit="1" customWidth="1"/>
    <col min="7" max="7" width="16.296875" style="20" customWidth="1"/>
    <col min="8" max="8" width="17.8984375" style="12" customWidth="1"/>
    <col min="9" max="9" width="15.69921875" customWidth="1"/>
    <col min="10" max="10" width="11.19921875" customWidth="1"/>
    <col min="11" max="11" width="9.796875" customWidth="1"/>
    <col min="12" max="12" width="13.5" bestFit="1" customWidth="1"/>
    <col min="13" max="13" width="10.09765625" customWidth="1"/>
    <col min="14" max="14" width="22.796875" customWidth="1"/>
    <col min="37" max="37" width="14" customWidth="1"/>
    <col min="38" max="38" width="23.59765625" customWidth="1"/>
    <col min="39" max="39" width="18.796875" customWidth="1"/>
    <col min="40" max="40" width="19.09765625" customWidth="1"/>
    <col min="41" max="41" width="23.296875" customWidth="1"/>
    <col min="42" max="42" width="15.69921875" customWidth="1"/>
    <col min="43" max="43" width="18.19921875" customWidth="1"/>
    <col min="44" max="44" width="19.5" customWidth="1"/>
    <col min="45" max="45" width="17.59765625" customWidth="1"/>
    <col min="47" max="47" width="20.3984375" customWidth="1"/>
    <col min="48" max="48" width="11.09765625" customWidth="1"/>
    <col min="49" max="49" width="20.09765625" customWidth="1"/>
    <col min="50" max="50" width="11" customWidth="1"/>
    <col min="51" max="51" width="16.3984375" customWidth="1"/>
    <col min="52" max="52" width="23.59765625" customWidth="1"/>
    <col min="53" max="53" width="12.5" customWidth="1"/>
    <col min="54" max="54" width="16.3984375" customWidth="1"/>
    <col min="55" max="55" width="10.19921875" customWidth="1"/>
  </cols>
  <sheetData>
    <row r="1" spans="2:55" x14ac:dyDescent="0.3">
      <c r="B1" s="7" t="s">
        <v>1495</v>
      </c>
      <c r="C1" s="7" t="s">
        <v>5</v>
      </c>
      <c r="D1" s="7" t="s">
        <v>2</v>
      </c>
      <c r="E1" s="7" t="s">
        <v>1</v>
      </c>
      <c r="F1" s="7" t="s">
        <v>3</v>
      </c>
      <c r="G1" s="17" t="s">
        <v>7</v>
      </c>
      <c r="H1" s="9" t="s">
        <v>8</v>
      </c>
      <c r="I1" s="7" t="s">
        <v>6</v>
      </c>
      <c r="J1" s="7" t="s">
        <v>4</v>
      </c>
      <c r="K1" s="8" t="s">
        <v>0</v>
      </c>
      <c r="L1" s="8" t="s">
        <v>1500</v>
      </c>
      <c r="AK1" s="2"/>
      <c r="AL1" s="2"/>
      <c r="AM1" s="2"/>
      <c r="AN1" s="2"/>
      <c r="AO1" s="2"/>
      <c r="AP1" s="2"/>
      <c r="AQ1" s="2"/>
      <c r="AR1" s="2"/>
      <c r="AS1" s="2"/>
      <c r="AU1" s="2"/>
      <c r="AV1" s="2"/>
      <c r="AW1" s="2"/>
      <c r="AX1" s="2"/>
      <c r="AY1" s="2"/>
      <c r="AZ1" s="2"/>
      <c r="BA1" s="2"/>
      <c r="BB1" s="2"/>
      <c r="BC1" s="2"/>
    </row>
    <row r="2" spans="2:55" x14ac:dyDescent="0.3">
      <c r="B2" s="4" t="s">
        <v>11</v>
      </c>
      <c r="C2" s="4">
        <v>41</v>
      </c>
      <c r="D2" s="4" t="s">
        <v>12</v>
      </c>
      <c r="E2" s="4" t="s">
        <v>10</v>
      </c>
      <c r="F2" s="4" t="s">
        <v>13</v>
      </c>
      <c r="G2" s="18">
        <v>5993</v>
      </c>
      <c r="H2" s="10">
        <v>6</v>
      </c>
      <c r="I2" s="4">
        <v>4</v>
      </c>
      <c r="J2" s="4" t="s">
        <v>9</v>
      </c>
      <c r="K2" s="3" t="s">
        <v>9</v>
      </c>
      <c r="L2" s="3" t="str">
        <f>IF(Table1[[#This Row],[Monthly Income]]&lt;3000,"Low",IF(Table1[[#This Row],[Monthly Income]]&lt;7000,"Medium","High"))</f>
        <v>Medium</v>
      </c>
      <c r="AK2" s="4"/>
      <c r="AL2" s="4"/>
      <c r="AM2" s="4"/>
      <c r="AN2" s="4"/>
      <c r="AO2" s="4"/>
      <c r="AP2" s="4"/>
      <c r="AQ2" s="4"/>
      <c r="AR2" s="4"/>
      <c r="AS2" s="4"/>
      <c r="AU2" s="4"/>
      <c r="AV2" s="4"/>
      <c r="AW2" s="4"/>
      <c r="AX2" s="4"/>
      <c r="AY2" s="4"/>
      <c r="AZ2" s="4"/>
      <c r="BA2" s="4"/>
      <c r="BB2" s="4"/>
      <c r="BC2" s="4"/>
    </row>
    <row r="3" spans="2:55" x14ac:dyDescent="0.3">
      <c r="B3" s="6" t="s">
        <v>16</v>
      </c>
      <c r="C3" s="6">
        <v>49</v>
      </c>
      <c r="D3" s="6" t="s">
        <v>17</v>
      </c>
      <c r="E3" s="6" t="s">
        <v>15</v>
      </c>
      <c r="F3" s="6" t="s">
        <v>18</v>
      </c>
      <c r="G3" s="19">
        <v>5130</v>
      </c>
      <c r="H3" s="11">
        <v>10</v>
      </c>
      <c r="I3" s="6">
        <v>2</v>
      </c>
      <c r="J3" s="6" t="s">
        <v>14</v>
      </c>
      <c r="K3" s="5" t="s">
        <v>14</v>
      </c>
      <c r="L3" s="3" t="str">
        <f>IF(Table1[[#This Row],[Monthly Income]]&lt;3000,"Low",IF(Table1[[#This Row],[Monthly Income]]&lt;7000,"Medium","High"))</f>
        <v>Medium</v>
      </c>
      <c r="AK3" s="6"/>
      <c r="AL3" s="6"/>
      <c r="AM3" s="6"/>
      <c r="AN3" s="6"/>
      <c r="AO3" s="6"/>
      <c r="AP3" s="6"/>
      <c r="AQ3" s="6"/>
      <c r="AR3" s="6"/>
      <c r="AS3" s="6"/>
      <c r="AU3" s="6"/>
      <c r="AV3" s="6"/>
      <c r="AW3" s="6"/>
      <c r="AX3" s="6"/>
      <c r="AY3" s="6"/>
      <c r="AZ3" s="6"/>
      <c r="BA3" s="6"/>
      <c r="BB3" s="6"/>
      <c r="BC3" s="6"/>
    </row>
    <row r="4" spans="2:55" x14ac:dyDescent="0.3">
      <c r="B4" s="4" t="s">
        <v>19</v>
      </c>
      <c r="C4" s="4">
        <v>37</v>
      </c>
      <c r="D4" s="4" t="s">
        <v>17</v>
      </c>
      <c r="E4" s="4" t="s">
        <v>15</v>
      </c>
      <c r="F4" s="4" t="s">
        <v>20</v>
      </c>
      <c r="G4" s="18">
        <v>2090</v>
      </c>
      <c r="H4" s="10">
        <v>0</v>
      </c>
      <c r="I4" s="4">
        <v>3</v>
      </c>
      <c r="J4" s="4" t="s">
        <v>9</v>
      </c>
      <c r="K4" s="3" t="s">
        <v>9</v>
      </c>
      <c r="L4" s="3" t="str">
        <f>IF(Table1[[#This Row],[Monthly Income]]&lt;3000,"Low",IF(Table1[[#This Row],[Monthly Income]]&lt;7000,"Medium","High"))</f>
        <v>Low</v>
      </c>
      <c r="AK4" s="4"/>
      <c r="AL4" s="4"/>
      <c r="AM4" s="4"/>
      <c r="AN4" s="4"/>
      <c r="AO4" s="4"/>
      <c r="AP4" s="4"/>
      <c r="AQ4" s="4"/>
      <c r="AR4" s="4"/>
      <c r="AS4" s="4"/>
      <c r="AU4" s="4"/>
      <c r="AV4" s="4"/>
      <c r="AW4" s="4"/>
      <c r="AX4" s="4"/>
      <c r="AY4" s="4"/>
      <c r="AZ4" s="4"/>
      <c r="BA4" s="4"/>
      <c r="BB4" s="4"/>
      <c r="BC4" s="4"/>
    </row>
    <row r="5" spans="2:55" x14ac:dyDescent="0.3">
      <c r="B5" s="6" t="s">
        <v>21</v>
      </c>
      <c r="C5" s="6">
        <v>33</v>
      </c>
      <c r="D5" s="6" t="s">
        <v>12</v>
      </c>
      <c r="E5" s="6" t="s">
        <v>15</v>
      </c>
      <c r="F5" s="6" t="s">
        <v>18</v>
      </c>
      <c r="G5" s="19">
        <v>2909</v>
      </c>
      <c r="H5" s="11">
        <v>8</v>
      </c>
      <c r="I5" s="6">
        <v>3</v>
      </c>
      <c r="J5" s="6" t="s">
        <v>9</v>
      </c>
      <c r="K5" s="5" t="s">
        <v>14</v>
      </c>
      <c r="L5" s="3" t="str">
        <f>IF(Table1[[#This Row],[Monthly Income]]&lt;3000,"Low",IF(Table1[[#This Row],[Monthly Income]]&lt;7000,"Medium","High"))</f>
        <v>Low</v>
      </c>
      <c r="AK5" s="6"/>
      <c r="AL5" s="6"/>
      <c r="AM5" s="6"/>
      <c r="AN5" s="6"/>
      <c r="AO5" s="6"/>
      <c r="AP5" s="6"/>
      <c r="AQ5" s="6"/>
      <c r="AR5" s="6"/>
      <c r="AS5" s="6"/>
      <c r="AU5" s="6"/>
      <c r="AV5" s="6"/>
      <c r="AW5" s="6"/>
      <c r="AX5" s="6"/>
      <c r="AY5" s="6"/>
      <c r="AZ5" s="6"/>
      <c r="BA5" s="6"/>
      <c r="BB5" s="6"/>
      <c r="BC5" s="6"/>
    </row>
    <row r="6" spans="2:55" x14ac:dyDescent="0.3">
      <c r="B6" s="4" t="s">
        <v>22</v>
      </c>
      <c r="C6" s="4">
        <v>27</v>
      </c>
      <c r="D6" s="4" t="s">
        <v>17</v>
      </c>
      <c r="E6" s="4" t="s">
        <v>15</v>
      </c>
      <c r="F6" s="4" t="s">
        <v>20</v>
      </c>
      <c r="G6" s="18">
        <v>3468</v>
      </c>
      <c r="H6" s="10">
        <v>2</v>
      </c>
      <c r="I6" s="4">
        <v>2</v>
      </c>
      <c r="J6" s="4" t="s">
        <v>14</v>
      </c>
      <c r="K6" s="3" t="s">
        <v>14</v>
      </c>
      <c r="L6" s="3" t="str">
        <f>IF(Table1[[#This Row],[Monthly Income]]&lt;3000,"Low",IF(Table1[[#This Row],[Monthly Income]]&lt;7000,"Medium","High"))</f>
        <v>Medium</v>
      </c>
      <c r="AK6" s="4"/>
      <c r="AL6" s="4"/>
      <c r="AM6" s="4"/>
      <c r="AN6" s="4"/>
      <c r="AO6" s="4"/>
      <c r="AP6" s="4"/>
      <c r="AQ6" s="4"/>
      <c r="AR6" s="4"/>
      <c r="AS6" s="4"/>
      <c r="AU6" s="4"/>
      <c r="AV6" s="4"/>
      <c r="AW6" s="4"/>
      <c r="AX6" s="4"/>
      <c r="AY6" s="4"/>
      <c r="AZ6" s="4"/>
      <c r="BA6" s="4"/>
      <c r="BB6" s="4"/>
      <c r="BC6" s="4"/>
    </row>
    <row r="7" spans="2:55" x14ac:dyDescent="0.3">
      <c r="B7" s="6" t="s">
        <v>23</v>
      </c>
      <c r="C7" s="6">
        <v>32</v>
      </c>
      <c r="D7" s="6" t="s">
        <v>17</v>
      </c>
      <c r="E7" s="6" t="s">
        <v>15</v>
      </c>
      <c r="F7" s="6" t="s">
        <v>20</v>
      </c>
      <c r="G7" s="19">
        <v>3068</v>
      </c>
      <c r="H7" s="11">
        <v>7</v>
      </c>
      <c r="I7" s="6">
        <v>4</v>
      </c>
      <c r="J7" s="6" t="s">
        <v>14</v>
      </c>
      <c r="K7" s="5" t="s">
        <v>14</v>
      </c>
      <c r="L7" s="3" t="str">
        <f>IF(Table1[[#This Row],[Monthly Income]]&lt;3000,"Low",IF(Table1[[#This Row],[Monthly Income]]&lt;7000,"Medium","High"))</f>
        <v>Medium</v>
      </c>
      <c r="AK7" s="6"/>
      <c r="AL7" s="6"/>
      <c r="AM7" s="6"/>
      <c r="AN7" s="6"/>
      <c r="AO7" s="6"/>
      <c r="AP7" s="6"/>
      <c r="AQ7" s="6"/>
      <c r="AR7" s="6"/>
      <c r="AS7" s="6"/>
      <c r="AU7" s="6"/>
      <c r="AV7" s="6"/>
      <c r="AW7" s="6"/>
      <c r="AX7" s="6"/>
      <c r="AY7" s="6"/>
      <c r="AZ7" s="6"/>
      <c r="BA7" s="6"/>
      <c r="BB7" s="6"/>
      <c r="BC7" s="6"/>
    </row>
    <row r="8" spans="2:55" x14ac:dyDescent="0.3">
      <c r="B8" s="4" t="s">
        <v>24</v>
      </c>
      <c r="C8" s="4">
        <v>59</v>
      </c>
      <c r="D8" s="4" t="s">
        <v>12</v>
      </c>
      <c r="E8" s="4" t="s">
        <v>15</v>
      </c>
      <c r="F8" s="4" t="s">
        <v>20</v>
      </c>
      <c r="G8" s="18">
        <v>2670</v>
      </c>
      <c r="H8" s="10">
        <v>1</v>
      </c>
      <c r="I8" s="4">
        <v>1</v>
      </c>
      <c r="J8" s="4" t="s">
        <v>9</v>
      </c>
      <c r="K8" s="3" t="s">
        <v>14</v>
      </c>
      <c r="L8" s="3" t="str">
        <f>IF(Table1[[#This Row],[Monthly Income]]&lt;3000,"Low",IF(Table1[[#This Row],[Monthly Income]]&lt;7000,"Medium","High"))</f>
        <v>Low</v>
      </c>
      <c r="AK8" s="4"/>
      <c r="AL8" s="4"/>
      <c r="AM8" s="4"/>
      <c r="AN8" s="4"/>
      <c r="AO8" s="4"/>
      <c r="AP8" s="4"/>
      <c r="AQ8" s="4"/>
      <c r="AR8" s="4"/>
      <c r="AS8" s="4"/>
      <c r="AU8" s="4"/>
      <c r="AV8" s="4"/>
      <c r="AW8" s="4"/>
      <c r="AX8" s="4"/>
      <c r="AY8" s="4"/>
      <c r="AZ8" s="4"/>
      <c r="BA8" s="4"/>
      <c r="BB8" s="4"/>
      <c r="BC8" s="4"/>
    </row>
    <row r="9" spans="2:55" x14ac:dyDescent="0.3">
      <c r="B9" s="6" t="s">
        <v>25</v>
      </c>
      <c r="C9" s="6">
        <v>30</v>
      </c>
      <c r="D9" s="6" t="s">
        <v>17</v>
      </c>
      <c r="E9" s="6" t="s">
        <v>15</v>
      </c>
      <c r="F9" s="6" t="s">
        <v>20</v>
      </c>
      <c r="G9" s="19">
        <v>2693</v>
      </c>
      <c r="H9" s="11">
        <v>1</v>
      </c>
      <c r="I9" s="6">
        <v>3</v>
      </c>
      <c r="J9" s="6" t="s">
        <v>14</v>
      </c>
      <c r="K9" s="5" t="s">
        <v>14</v>
      </c>
      <c r="L9" s="3" t="str">
        <f>IF(Table1[[#This Row],[Monthly Income]]&lt;3000,"Low",IF(Table1[[#This Row],[Monthly Income]]&lt;7000,"Medium","High"))</f>
        <v>Low</v>
      </c>
      <c r="AK9" s="6"/>
      <c r="AL9" s="6"/>
      <c r="AM9" s="6"/>
      <c r="AN9" s="6"/>
      <c r="AO9" s="6"/>
      <c r="AP9" s="6"/>
      <c r="AQ9" s="6"/>
      <c r="AR9" s="6"/>
      <c r="AS9" s="6"/>
      <c r="AU9" s="6"/>
      <c r="AV9" s="6"/>
      <c r="AW9" s="6"/>
      <c r="AX9" s="6"/>
      <c r="AY9" s="6"/>
      <c r="AZ9" s="6"/>
      <c r="BA9" s="6"/>
      <c r="BB9" s="6"/>
      <c r="BC9" s="6"/>
    </row>
    <row r="10" spans="2:55" x14ac:dyDescent="0.3">
      <c r="B10" s="4" t="s">
        <v>26</v>
      </c>
      <c r="C10" s="4">
        <v>38</v>
      </c>
      <c r="D10" s="4" t="s">
        <v>17</v>
      </c>
      <c r="E10" s="4" t="s">
        <v>15</v>
      </c>
      <c r="F10" s="4" t="s">
        <v>27</v>
      </c>
      <c r="G10" s="18">
        <v>9526</v>
      </c>
      <c r="H10" s="10">
        <v>9</v>
      </c>
      <c r="I10" s="4">
        <v>3</v>
      </c>
      <c r="J10" s="4" t="s">
        <v>14</v>
      </c>
      <c r="K10" s="3" t="s">
        <v>14</v>
      </c>
      <c r="L10" s="3" t="str">
        <f>IF(Table1[[#This Row],[Monthly Income]]&lt;3000,"Low",IF(Table1[[#This Row],[Monthly Income]]&lt;7000,"Medium","High"))</f>
        <v>High</v>
      </c>
      <c r="AK10" s="4"/>
      <c r="AL10" s="4"/>
      <c r="AM10" s="4"/>
      <c r="AN10" s="4"/>
      <c r="AO10" s="4"/>
      <c r="AP10" s="4"/>
      <c r="AQ10" s="4"/>
      <c r="AR10" s="4"/>
      <c r="AS10" s="4"/>
      <c r="AU10" s="4"/>
      <c r="AV10" s="4"/>
      <c r="AW10" s="4"/>
      <c r="AX10" s="4"/>
      <c r="AY10" s="4"/>
      <c r="AZ10" s="4"/>
      <c r="BA10" s="4"/>
      <c r="BB10" s="4"/>
      <c r="BC10" s="4"/>
    </row>
    <row r="11" spans="2:55" x14ac:dyDescent="0.3">
      <c r="B11" s="6" t="s">
        <v>28</v>
      </c>
      <c r="C11" s="6">
        <v>36</v>
      </c>
      <c r="D11" s="6" t="s">
        <v>17</v>
      </c>
      <c r="E11" s="6" t="s">
        <v>15</v>
      </c>
      <c r="F11" s="6" t="s">
        <v>29</v>
      </c>
      <c r="G11" s="19">
        <v>5237</v>
      </c>
      <c r="H11" s="11">
        <v>7</v>
      </c>
      <c r="I11" s="6">
        <v>3</v>
      </c>
      <c r="J11" s="6" t="s">
        <v>14</v>
      </c>
      <c r="K11" s="5" t="s">
        <v>14</v>
      </c>
      <c r="L11" s="3" t="str">
        <f>IF(Table1[[#This Row],[Monthly Income]]&lt;3000,"Low",IF(Table1[[#This Row],[Monthly Income]]&lt;7000,"Medium","High"))</f>
        <v>Medium</v>
      </c>
      <c r="AK11" s="6"/>
      <c r="AL11" s="6"/>
      <c r="AM11" s="6"/>
      <c r="AN11" s="6"/>
      <c r="AO11" s="6"/>
      <c r="AP11" s="6"/>
      <c r="AQ11" s="6"/>
      <c r="AR11" s="6"/>
      <c r="AS11" s="6"/>
      <c r="AU11" s="6"/>
      <c r="AV11" s="6"/>
      <c r="AW11" s="6"/>
      <c r="AX11" s="6"/>
      <c r="AY11" s="6"/>
      <c r="AZ11" s="6"/>
      <c r="BA11" s="6"/>
      <c r="BB11" s="6"/>
      <c r="BC11" s="6"/>
    </row>
    <row r="12" spans="2:55" x14ac:dyDescent="0.3">
      <c r="B12" s="4" t="s">
        <v>30</v>
      </c>
      <c r="C12" s="4">
        <v>35</v>
      </c>
      <c r="D12" s="4" t="s">
        <v>17</v>
      </c>
      <c r="E12" s="4" t="s">
        <v>15</v>
      </c>
      <c r="F12" s="4" t="s">
        <v>20</v>
      </c>
      <c r="G12" s="18">
        <v>2426</v>
      </c>
      <c r="H12" s="10">
        <v>5</v>
      </c>
      <c r="I12" s="4">
        <v>2</v>
      </c>
      <c r="J12" s="4" t="s">
        <v>14</v>
      </c>
      <c r="K12" s="3" t="s">
        <v>14</v>
      </c>
      <c r="L12" s="3" t="str">
        <f>IF(Table1[[#This Row],[Monthly Income]]&lt;3000,"Low",IF(Table1[[#This Row],[Monthly Income]]&lt;7000,"Medium","High"))</f>
        <v>Low</v>
      </c>
      <c r="AK12" s="4"/>
      <c r="AL12" s="4"/>
      <c r="AM12" s="4"/>
      <c r="AN12" s="4"/>
      <c r="AO12" s="4"/>
      <c r="AP12" s="4"/>
      <c r="AQ12" s="4"/>
      <c r="AR12" s="4"/>
      <c r="AS12" s="4"/>
      <c r="AU12" s="4"/>
      <c r="AV12" s="4"/>
      <c r="AW12" s="4"/>
      <c r="AX12" s="4"/>
      <c r="AY12" s="4"/>
      <c r="AZ12" s="4"/>
      <c r="BA12" s="4"/>
      <c r="BB12" s="4"/>
      <c r="BC12" s="4"/>
    </row>
    <row r="13" spans="2:55" x14ac:dyDescent="0.3">
      <c r="B13" s="6" t="s">
        <v>31</v>
      </c>
      <c r="C13" s="6">
        <v>29</v>
      </c>
      <c r="D13" s="6" t="s">
        <v>12</v>
      </c>
      <c r="E13" s="6" t="s">
        <v>15</v>
      </c>
      <c r="F13" s="6" t="s">
        <v>20</v>
      </c>
      <c r="G13" s="19">
        <v>4193</v>
      </c>
      <c r="H13" s="11">
        <v>9</v>
      </c>
      <c r="I13" s="6">
        <v>3</v>
      </c>
      <c r="J13" s="6" t="s">
        <v>9</v>
      </c>
      <c r="K13" s="5" t="s">
        <v>14</v>
      </c>
      <c r="L13" s="3" t="str">
        <f>IF(Table1[[#This Row],[Monthly Income]]&lt;3000,"Low",IF(Table1[[#This Row],[Monthly Income]]&lt;7000,"Medium","High"))</f>
        <v>Medium</v>
      </c>
      <c r="AK13" s="6"/>
      <c r="AL13" s="6"/>
      <c r="AM13" s="6"/>
      <c r="AN13" s="6"/>
      <c r="AO13" s="6"/>
      <c r="AP13" s="6"/>
      <c r="AQ13" s="6"/>
      <c r="AR13" s="6"/>
      <c r="AS13" s="6"/>
      <c r="AU13" s="6"/>
      <c r="AV13" s="6"/>
      <c r="AW13" s="6"/>
      <c r="AX13" s="6"/>
      <c r="AY13" s="6"/>
      <c r="AZ13" s="6"/>
      <c r="BA13" s="6"/>
      <c r="BB13" s="6"/>
      <c r="BC13" s="6"/>
    </row>
    <row r="14" spans="2:55" x14ac:dyDescent="0.3">
      <c r="B14" s="4" t="s">
        <v>32</v>
      </c>
      <c r="C14" s="4">
        <v>31</v>
      </c>
      <c r="D14" s="4" t="s">
        <v>17</v>
      </c>
      <c r="E14" s="4" t="s">
        <v>15</v>
      </c>
      <c r="F14" s="4" t="s">
        <v>18</v>
      </c>
      <c r="G14" s="18">
        <v>2911</v>
      </c>
      <c r="H14" s="10">
        <v>5</v>
      </c>
      <c r="I14" s="4">
        <v>3</v>
      </c>
      <c r="J14" s="4" t="s">
        <v>14</v>
      </c>
      <c r="K14" s="3" t="s">
        <v>14</v>
      </c>
      <c r="L14" s="3" t="str">
        <f>IF(Table1[[#This Row],[Monthly Income]]&lt;3000,"Low",IF(Table1[[#This Row],[Monthly Income]]&lt;7000,"Medium","High"))</f>
        <v>Low</v>
      </c>
      <c r="AK14" s="4"/>
      <c r="AL14" s="4"/>
      <c r="AM14" s="4"/>
      <c r="AN14" s="4"/>
      <c r="AO14" s="4"/>
      <c r="AP14" s="4"/>
      <c r="AQ14" s="4"/>
      <c r="AR14" s="4"/>
      <c r="AS14" s="4"/>
      <c r="AU14" s="4"/>
      <c r="AV14" s="4"/>
      <c r="AW14" s="4"/>
      <c r="AX14" s="4"/>
      <c r="AY14" s="4"/>
      <c r="AZ14" s="4"/>
      <c r="BA14" s="4"/>
      <c r="BB14" s="4"/>
      <c r="BC14" s="4"/>
    </row>
    <row r="15" spans="2:55" x14ac:dyDescent="0.3">
      <c r="B15" s="6" t="s">
        <v>33</v>
      </c>
      <c r="C15" s="6">
        <v>34</v>
      </c>
      <c r="D15" s="6" t="s">
        <v>17</v>
      </c>
      <c r="E15" s="6" t="s">
        <v>15</v>
      </c>
      <c r="F15" s="6" t="s">
        <v>20</v>
      </c>
      <c r="G15" s="19">
        <v>2661</v>
      </c>
      <c r="H15" s="11">
        <v>2</v>
      </c>
      <c r="I15" s="6">
        <v>4</v>
      </c>
      <c r="J15" s="6" t="s">
        <v>14</v>
      </c>
      <c r="K15" s="5" t="s">
        <v>14</v>
      </c>
      <c r="L15" s="3" t="str">
        <f>IF(Table1[[#This Row],[Monthly Income]]&lt;3000,"Low",IF(Table1[[#This Row],[Monthly Income]]&lt;7000,"Medium","High"))</f>
        <v>Low</v>
      </c>
      <c r="AK15" s="6"/>
      <c r="AL15" s="6"/>
      <c r="AM15" s="6"/>
      <c r="AN15" s="6"/>
      <c r="AO15" s="6"/>
      <c r="AP15" s="6"/>
      <c r="AQ15" s="6"/>
      <c r="AR15" s="6"/>
      <c r="AS15" s="6"/>
      <c r="AU15" s="6"/>
      <c r="AV15" s="6"/>
      <c r="AW15" s="6"/>
      <c r="AX15" s="6"/>
      <c r="AY15" s="6"/>
      <c r="AZ15" s="6"/>
      <c r="BA15" s="6"/>
      <c r="BB15" s="6"/>
      <c r="BC15" s="6"/>
    </row>
    <row r="16" spans="2:55" x14ac:dyDescent="0.3">
      <c r="B16" s="4" t="s">
        <v>34</v>
      </c>
      <c r="C16" s="4">
        <v>28</v>
      </c>
      <c r="D16" s="4" t="s">
        <v>17</v>
      </c>
      <c r="E16" s="4" t="s">
        <v>15</v>
      </c>
      <c r="F16" s="4" t="s">
        <v>20</v>
      </c>
      <c r="G16" s="18">
        <v>2028</v>
      </c>
      <c r="H16" s="10">
        <v>4</v>
      </c>
      <c r="I16" s="4">
        <v>3</v>
      </c>
      <c r="J16" s="4" t="s">
        <v>9</v>
      </c>
      <c r="K16" s="3" t="s">
        <v>9</v>
      </c>
      <c r="L16" s="3" t="str">
        <f>IF(Table1[[#This Row],[Monthly Income]]&lt;3000,"Low",IF(Table1[[#This Row],[Monthly Income]]&lt;7000,"Medium","High"))</f>
        <v>Low</v>
      </c>
      <c r="AK16" s="4"/>
      <c r="AL16" s="4"/>
      <c r="AM16" s="4"/>
      <c r="AN16" s="4"/>
      <c r="AO16" s="4"/>
      <c r="AP16" s="4"/>
      <c r="AQ16" s="4"/>
      <c r="AR16" s="4"/>
      <c r="AS16" s="4"/>
      <c r="AU16" s="4"/>
      <c r="AV16" s="4"/>
      <c r="AW16" s="4"/>
      <c r="AX16" s="4"/>
      <c r="AY16" s="4"/>
      <c r="AZ16" s="4"/>
      <c r="BA16" s="4"/>
      <c r="BB16" s="4"/>
      <c r="BC16" s="4"/>
    </row>
    <row r="17" spans="2:57" x14ac:dyDescent="0.3">
      <c r="B17" s="6" t="s">
        <v>35</v>
      </c>
      <c r="C17" s="6">
        <v>29</v>
      </c>
      <c r="D17" s="6" t="s">
        <v>12</v>
      </c>
      <c r="E17" s="6" t="s">
        <v>15</v>
      </c>
      <c r="F17" s="6" t="s">
        <v>27</v>
      </c>
      <c r="G17" s="19">
        <v>9980</v>
      </c>
      <c r="H17" s="11">
        <v>10</v>
      </c>
      <c r="I17" s="6">
        <v>1</v>
      </c>
      <c r="J17" s="6" t="s">
        <v>14</v>
      </c>
      <c r="K17" s="5" t="s">
        <v>14</v>
      </c>
      <c r="L17" s="3" t="str">
        <f>IF(Table1[[#This Row],[Monthly Income]]&lt;3000,"Low",IF(Table1[[#This Row],[Monthly Income]]&lt;7000,"Medium","High"))</f>
        <v>High</v>
      </c>
      <c r="AK17" s="6"/>
      <c r="AL17" s="6"/>
      <c r="AM17" s="6"/>
      <c r="AN17" s="6"/>
      <c r="AO17" s="6"/>
      <c r="AP17" s="6"/>
      <c r="AQ17" s="6"/>
      <c r="AR17" s="6"/>
      <c r="AS17" s="6"/>
      <c r="AU17" s="6"/>
      <c r="AV17" s="6"/>
      <c r="AW17" s="6"/>
      <c r="AX17" s="6"/>
      <c r="AY17" s="6"/>
      <c r="AZ17" s="6"/>
      <c r="BA17" s="6"/>
      <c r="BB17" s="6"/>
      <c r="BC17" s="6"/>
    </row>
    <row r="18" spans="2:57" x14ac:dyDescent="0.3">
      <c r="B18" s="4" t="s">
        <v>36</v>
      </c>
      <c r="C18" s="4">
        <v>32</v>
      </c>
      <c r="D18" s="4" t="s">
        <v>17</v>
      </c>
      <c r="E18" s="4" t="s">
        <v>15</v>
      </c>
      <c r="F18" s="4" t="s">
        <v>18</v>
      </c>
      <c r="G18" s="18">
        <v>3298</v>
      </c>
      <c r="H18" s="10">
        <v>6</v>
      </c>
      <c r="I18" s="4">
        <v>2</v>
      </c>
      <c r="J18" s="4" t="s">
        <v>9</v>
      </c>
      <c r="K18" s="3" t="s">
        <v>14</v>
      </c>
      <c r="L18" s="3" t="str">
        <f>IF(Table1[[#This Row],[Monthly Income]]&lt;3000,"Low",IF(Table1[[#This Row],[Monthly Income]]&lt;7000,"Medium","High"))</f>
        <v>Medium</v>
      </c>
      <c r="AK18" s="4"/>
      <c r="AL18" s="4"/>
      <c r="AM18" s="4"/>
      <c r="AN18" s="4"/>
      <c r="AO18" s="4"/>
      <c r="AP18" s="4"/>
      <c r="AQ18" s="4"/>
      <c r="AR18" s="4"/>
      <c r="AS18" s="4"/>
      <c r="AU18" s="4"/>
      <c r="AV18" s="4"/>
      <c r="AW18" s="4"/>
      <c r="AX18" s="4"/>
      <c r="AY18" s="4"/>
      <c r="AZ18" s="4"/>
      <c r="BA18" s="4"/>
      <c r="BB18" s="4"/>
      <c r="BC18" s="4"/>
    </row>
    <row r="19" spans="2:57" x14ac:dyDescent="0.3">
      <c r="B19" s="6" t="s">
        <v>37</v>
      </c>
      <c r="C19" s="6">
        <v>22</v>
      </c>
      <c r="D19" s="6" t="s">
        <v>17</v>
      </c>
      <c r="E19" s="6" t="s">
        <v>15</v>
      </c>
      <c r="F19" s="6" t="s">
        <v>20</v>
      </c>
      <c r="G19" s="19">
        <v>2935</v>
      </c>
      <c r="H19" s="11">
        <v>1</v>
      </c>
      <c r="I19" s="6">
        <v>4</v>
      </c>
      <c r="J19" s="6" t="s">
        <v>9</v>
      </c>
      <c r="K19" s="5" t="s">
        <v>14</v>
      </c>
      <c r="L19" s="3" t="str">
        <f>IF(Table1[[#This Row],[Monthly Income]]&lt;3000,"Low",IF(Table1[[#This Row],[Monthly Income]]&lt;7000,"Medium","High"))</f>
        <v>Low</v>
      </c>
      <c r="AK19" s="6"/>
      <c r="AL19" s="6"/>
      <c r="AM19" s="6"/>
      <c r="AN19" s="6"/>
      <c r="AO19" s="6"/>
      <c r="AP19" s="6"/>
      <c r="AQ19" s="6"/>
      <c r="AR19" s="6"/>
      <c r="AS19" s="6"/>
      <c r="AU19" s="6"/>
      <c r="AV19" s="6"/>
      <c r="AW19" s="6"/>
      <c r="AX19" s="6"/>
      <c r="AY19" s="6"/>
      <c r="AZ19" s="6"/>
      <c r="BA19" s="6"/>
      <c r="BB19" s="6"/>
      <c r="BC19" s="6"/>
    </row>
    <row r="20" spans="2:57" x14ac:dyDescent="0.3">
      <c r="B20" s="4" t="s">
        <v>38</v>
      </c>
      <c r="C20" s="4">
        <v>53</v>
      </c>
      <c r="D20" s="4" t="s">
        <v>12</v>
      </c>
      <c r="E20" s="4" t="s">
        <v>10</v>
      </c>
      <c r="F20" s="4" t="s">
        <v>39</v>
      </c>
      <c r="G20" s="18">
        <v>15427</v>
      </c>
      <c r="H20" s="10">
        <v>25</v>
      </c>
      <c r="I20" s="4">
        <v>4</v>
      </c>
      <c r="J20" s="4" t="s">
        <v>14</v>
      </c>
      <c r="K20" s="3" t="s">
        <v>14</v>
      </c>
      <c r="L20" s="3" t="str">
        <f>IF(Table1[[#This Row],[Monthly Income]]&lt;3000,"Low",IF(Table1[[#This Row],[Monthly Income]]&lt;7000,"Medium","High"))</f>
        <v>High</v>
      </c>
      <c r="AK20" s="4"/>
      <c r="AL20" s="4"/>
      <c r="AM20" s="4"/>
      <c r="AN20" s="4"/>
      <c r="AO20" s="4"/>
      <c r="AP20" s="4"/>
      <c r="AQ20" s="4"/>
      <c r="AR20" s="4"/>
      <c r="AS20" s="4"/>
      <c r="AU20" s="4"/>
      <c r="AV20" s="4"/>
      <c r="AW20" s="4"/>
      <c r="AX20" s="4"/>
      <c r="AY20" s="4"/>
      <c r="AZ20" s="4"/>
      <c r="BA20" s="4"/>
      <c r="BB20" s="4"/>
      <c r="BC20" s="4"/>
    </row>
    <row r="21" spans="2:57" x14ac:dyDescent="0.3">
      <c r="B21" s="6" t="s">
        <v>40</v>
      </c>
      <c r="C21" s="6">
        <v>38</v>
      </c>
      <c r="D21" s="6" t="s">
        <v>17</v>
      </c>
      <c r="E21" s="6" t="s">
        <v>15</v>
      </c>
      <c r="F21" s="6" t="s">
        <v>18</v>
      </c>
      <c r="G21" s="19">
        <v>3944</v>
      </c>
      <c r="H21" s="11">
        <v>3</v>
      </c>
      <c r="I21" s="6">
        <v>4</v>
      </c>
      <c r="J21" s="6" t="s">
        <v>9</v>
      </c>
      <c r="K21" s="5" t="s">
        <v>14</v>
      </c>
      <c r="L21" s="3" t="str">
        <f>IF(Table1[[#This Row],[Monthly Income]]&lt;3000,"Low",IF(Table1[[#This Row],[Monthly Income]]&lt;7000,"Medium","High"))</f>
        <v>Medium</v>
      </c>
      <c r="AK21" s="6"/>
      <c r="AL21" s="6"/>
      <c r="AM21" s="6"/>
      <c r="AN21" s="6"/>
      <c r="AO21" s="6"/>
      <c r="AP21" s="6"/>
      <c r="AQ21" s="6"/>
      <c r="AR21" s="6"/>
      <c r="AS21" s="6"/>
      <c r="AU21" s="6"/>
      <c r="AV21" s="6"/>
      <c r="AW21" s="6"/>
      <c r="AX21" s="6"/>
      <c r="AY21" s="6"/>
      <c r="AZ21" s="6"/>
      <c r="BA21" s="6"/>
      <c r="BB21" s="6"/>
      <c r="BC21" s="6"/>
    </row>
    <row r="22" spans="2:57" x14ac:dyDescent="0.3">
      <c r="B22" s="4" t="s">
        <v>41</v>
      </c>
      <c r="C22" s="4">
        <v>24</v>
      </c>
      <c r="D22" s="4" t="s">
        <v>12</v>
      </c>
      <c r="E22" s="4" t="s">
        <v>15</v>
      </c>
      <c r="F22" s="4" t="s">
        <v>27</v>
      </c>
      <c r="G22" s="18">
        <v>4011</v>
      </c>
      <c r="H22" s="10">
        <v>4</v>
      </c>
      <c r="I22" s="4">
        <v>3</v>
      </c>
      <c r="J22" s="4" t="s">
        <v>14</v>
      </c>
      <c r="K22" s="3" t="s">
        <v>14</v>
      </c>
      <c r="L22" s="3" t="str">
        <f>IF(Table1[[#This Row],[Monthly Income]]&lt;3000,"Low",IF(Table1[[#This Row],[Monthly Income]]&lt;7000,"Medium","High"))</f>
        <v>Medium</v>
      </c>
      <c r="AK22" s="4"/>
      <c r="AL22" s="4"/>
      <c r="AM22" s="4"/>
      <c r="AN22" s="4"/>
      <c r="AO22" s="4"/>
      <c r="AP22" s="4"/>
      <c r="AQ22" s="4"/>
      <c r="AR22" s="4"/>
      <c r="AS22" s="4"/>
      <c r="AU22" s="4"/>
      <c r="AV22" s="4"/>
      <c r="AW22" s="4"/>
      <c r="AX22" s="4"/>
      <c r="AY22" s="4"/>
      <c r="AZ22" s="4"/>
      <c r="BA22" s="4"/>
      <c r="BB22" s="4"/>
      <c r="BC22" s="4"/>
    </row>
    <row r="23" spans="2:57" x14ac:dyDescent="0.3">
      <c r="B23" s="6" t="s">
        <v>42</v>
      </c>
      <c r="C23" s="6">
        <v>36</v>
      </c>
      <c r="D23" s="6" t="s">
        <v>17</v>
      </c>
      <c r="E23" s="6" t="s">
        <v>10</v>
      </c>
      <c r="F23" s="6" t="s">
        <v>43</v>
      </c>
      <c r="G23" s="19">
        <v>3407</v>
      </c>
      <c r="H23" s="11">
        <v>5</v>
      </c>
      <c r="I23" s="6">
        <v>1</v>
      </c>
      <c r="J23" s="6" t="s">
        <v>14</v>
      </c>
      <c r="K23" s="5" t="s">
        <v>9</v>
      </c>
      <c r="L23" s="3" t="str">
        <f>IF(Table1[[#This Row],[Monthly Income]]&lt;3000,"Low",IF(Table1[[#This Row],[Monthly Income]]&lt;7000,"Medium","High"))</f>
        <v>Medium</v>
      </c>
      <c r="AK23" s="6"/>
      <c r="AL23" s="6"/>
      <c r="AM23" s="6"/>
      <c r="AN23" s="6"/>
      <c r="AO23" s="6"/>
      <c r="AP23" s="6"/>
      <c r="AQ23" s="6"/>
      <c r="AR23" s="6"/>
      <c r="AS23" s="6"/>
      <c r="AU23" s="6"/>
      <c r="AV23" s="6"/>
      <c r="AW23" s="6"/>
      <c r="AX23" s="6"/>
      <c r="AY23" s="6"/>
      <c r="AZ23" s="6"/>
      <c r="BA23" s="6"/>
      <c r="BB23" s="6"/>
      <c r="BC23" s="6"/>
    </row>
    <row r="24" spans="2:57" x14ac:dyDescent="0.3">
      <c r="B24" s="4" t="s">
        <v>44</v>
      </c>
      <c r="C24" s="4">
        <v>34</v>
      </c>
      <c r="D24" s="4" t="s">
        <v>12</v>
      </c>
      <c r="E24" s="4" t="s">
        <v>15</v>
      </c>
      <c r="F24" s="4" t="s">
        <v>45</v>
      </c>
      <c r="G24" s="18">
        <v>11994</v>
      </c>
      <c r="H24" s="10">
        <v>12</v>
      </c>
      <c r="I24" s="4">
        <v>2</v>
      </c>
      <c r="J24" s="4" t="s">
        <v>14</v>
      </c>
      <c r="K24" s="3" t="s">
        <v>14</v>
      </c>
      <c r="L24" s="3" t="str">
        <f>IF(Table1[[#This Row],[Monthly Income]]&lt;3000,"Low",IF(Table1[[#This Row],[Monthly Income]]&lt;7000,"Medium","High"))</f>
        <v>High</v>
      </c>
      <c r="AK24" s="4"/>
      <c r="AL24" s="4"/>
      <c r="AM24" s="4"/>
      <c r="AN24" s="4"/>
      <c r="AO24" s="4"/>
      <c r="AP24" s="4"/>
      <c r="AQ24" s="4"/>
      <c r="AR24" s="4"/>
      <c r="AS24" s="4"/>
      <c r="AU24" s="4"/>
      <c r="AV24" s="4"/>
      <c r="AW24" s="4"/>
      <c r="AX24" s="4"/>
      <c r="AY24" s="4"/>
      <c r="AZ24" s="4"/>
      <c r="BA24" s="4"/>
      <c r="BB24" s="4"/>
      <c r="BC24" s="4"/>
    </row>
    <row r="25" spans="2:57" x14ac:dyDescent="0.3">
      <c r="B25" s="6" t="s">
        <v>46</v>
      </c>
      <c r="C25" s="6">
        <v>21</v>
      </c>
      <c r="D25" s="6" t="s">
        <v>17</v>
      </c>
      <c r="E25" s="6" t="s">
        <v>15</v>
      </c>
      <c r="F25" s="6" t="s">
        <v>18</v>
      </c>
      <c r="G25" s="19">
        <v>1232</v>
      </c>
      <c r="H25" s="11">
        <v>0</v>
      </c>
      <c r="I25" s="6">
        <v>4</v>
      </c>
      <c r="J25" s="6" t="s">
        <v>14</v>
      </c>
      <c r="K25" s="5" t="s">
        <v>14</v>
      </c>
      <c r="L25" s="3" t="str">
        <f>IF(Table1[[#This Row],[Monthly Income]]&lt;3000,"Low",IF(Table1[[#This Row],[Monthly Income]]&lt;7000,"Medium","High"))</f>
        <v>Low</v>
      </c>
      <c r="AK25" s="6"/>
      <c r="AL25" s="6"/>
      <c r="AM25" s="6"/>
      <c r="AN25" s="6"/>
      <c r="AO25" s="6"/>
      <c r="AP25" s="6"/>
      <c r="AQ25" s="6"/>
      <c r="AR25" s="6"/>
      <c r="AS25" s="6"/>
      <c r="AU25" s="6"/>
      <c r="AV25" s="6"/>
      <c r="AW25" s="6"/>
      <c r="AX25" s="6"/>
      <c r="AY25" s="6"/>
      <c r="AZ25" s="6"/>
      <c r="BA25" s="6"/>
      <c r="BB25" s="6"/>
      <c r="BC25" s="6"/>
    </row>
    <row r="26" spans="2:57" x14ac:dyDescent="0.3">
      <c r="B26" s="4" t="s">
        <v>47</v>
      </c>
      <c r="C26" s="4">
        <v>34</v>
      </c>
      <c r="D26" s="4" t="s">
        <v>17</v>
      </c>
      <c r="E26" s="4" t="s">
        <v>15</v>
      </c>
      <c r="F26" s="4" t="s">
        <v>18</v>
      </c>
      <c r="G26" s="18">
        <v>2960</v>
      </c>
      <c r="H26" s="10">
        <v>4</v>
      </c>
      <c r="I26" s="4">
        <v>1</v>
      </c>
      <c r="J26" s="4" t="s">
        <v>14</v>
      </c>
      <c r="K26" s="3" t="s">
        <v>9</v>
      </c>
      <c r="L26" s="3" t="str">
        <f>IF(Table1[[#This Row],[Monthly Income]]&lt;3000,"Low",IF(Table1[[#This Row],[Monthly Income]]&lt;7000,"Medium","High"))</f>
        <v>Low</v>
      </c>
      <c r="AK26" s="4"/>
      <c r="AL26" s="4"/>
      <c r="AM26" s="4"/>
      <c r="AN26" s="4"/>
      <c r="AO26" s="4"/>
      <c r="AP26" s="4"/>
      <c r="AQ26" s="4"/>
      <c r="AR26" s="4"/>
      <c r="AS26" s="4"/>
      <c r="AU26" s="4"/>
      <c r="AV26" s="4"/>
      <c r="AW26" s="4"/>
      <c r="AX26" s="4"/>
      <c r="AY26" s="4"/>
      <c r="AZ26" s="4"/>
      <c r="BA26" s="4"/>
      <c r="BB26" s="4"/>
      <c r="BC26" s="4"/>
    </row>
    <row r="27" spans="2:57" x14ac:dyDescent="0.3">
      <c r="B27" s="6" t="s">
        <v>48</v>
      </c>
      <c r="C27" s="6">
        <v>53</v>
      </c>
      <c r="D27" s="6" t="s">
        <v>12</v>
      </c>
      <c r="E27" s="6" t="s">
        <v>15</v>
      </c>
      <c r="F27" s="6" t="s">
        <v>39</v>
      </c>
      <c r="G27" s="19">
        <v>19094</v>
      </c>
      <c r="H27" s="11">
        <v>14</v>
      </c>
      <c r="I27" s="6">
        <v>3</v>
      </c>
      <c r="J27" s="6" t="s">
        <v>14</v>
      </c>
      <c r="K27" s="5" t="s">
        <v>14</v>
      </c>
      <c r="L27" s="3" t="str">
        <f>IF(Table1[[#This Row],[Monthly Income]]&lt;3000,"Low",IF(Table1[[#This Row],[Monthly Income]]&lt;7000,"Medium","High"))</f>
        <v>High</v>
      </c>
      <c r="AK27" s="6"/>
      <c r="AL27" s="6"/>
      <c r="AM27" s="6"/>
      <c r="AN27" s="6"/>
      <c r="AO27" s="6"/>
      <c r="AP27" s="6"/>
      <c r="AQ27" s="6"/>
      <c r="AR27" s="6"/>
      <c r="AS27" s="6"/>
      <c r="AU27" s="6"/>
      <c r="AV27" s="6"/>
      <c r="AW27" s="6"/>
      <c r="AX27" s="6"/>
      <c r="AY27" s="6"/>
      <c r="AZ27" s="6"/>
      <c r="BA27" s="6"/>
      <c r="BB27" s="6"/>
      <c r="BC27" s="6"/>
    </row>
    <row r="28" spans="2:57" x14ac:dyDescent="0.3">
      <c r="B28" s="4" t="s">
        <v>49</v>
      </c>
      <c r="C28" s="4">
        <v>32</v>
      </c>
      <c r="D28" s="4" t="s">
        <v>12</v>
      </c>
      <c r="E28" s="4" t="s">
        <v>15</v>
      </c>
      <c r="F28" s="4" t="s">
        <v>18</v>
      </c>
      <c r="G28" s="18">
        <v>3919</v>
      </c>
      <c r="H28" s="10">
        <v>10</v>
      </c>
      <c r="I28" s="4">
        <v>1</v>
      </c>
      <c r="J28" s="4" t="s">
        <v>9</v>
      </c>
      <c r="K28" s="3" t="s">
        <v>9</v>
      </c>
      <c r="L28" s="3" t="str">
        <f>IF(Table1[[#This Row],[Monthly Income]]&lt;3000,"Low",IF(Table1[[#This Row],[Monthly Income]]&lt;7000,"Medium","High"))</f>
        <v>Medium</v>
      </c>
      <c r="AK28" s="4"/>
      <c r="AL28" s="4"/>
      <c r="AM28" s="4"/>
      <c r="AN28" s="4"/>
      <c r="AO28" s="4"/>
      <c r="AP28" s="4"/>
      <c r="AQ28" s="4"/>
      <c r="AR28" s="4"/>
      <c r="AS28" s="4"/>
      <c r="AU28" s="4"/>
      <c r="AV28" s="4"/>
      <c r="AW28" s="4"/>
      <c r="AX28" s="4"/>
      <c r="AY28" s="4"/>
      <c r="AZ28" s="4"/>
      <c r="BA28" s="4"/>
      <c r="BB28" s="4"/>
      <c r="BC28" s="4"/>
    </row>
    <row r="29" spans="2:57" x14ac:dyDescent="0.3">
      <c r="B29" s="6" t="s">
        <v>50</v>
      </c>
      <c r="C29" s="6">
        <v>42</v>
      </c>
      <c r="D29" s="6" t="s">
        <v>17</v>
      </c>
      <c r="E29" s="6" t="s">
        <v>10</v>
      </c>
      <c r="F29" s="6" t="s">
        <v>13</v>
      </c>
      <c r="G29" s="19">
        <v>6825</v>
      </c>
      <c r="H29" s="11">
        <v>9</v>
      </c>
      <c r="I29" s="6">
        <v>2</v>
      </c>
      <c r="J29" s="6" t="s">
        <v>14</v>
      </c>
      <c r="K29" s="5" t="s">
        <v>14</v>
      </c>
      <c r="L29" s="3" t="str">
        <f>IF(Table1[[#This Row],[Monthly Income]]&lt;3000,"Low",IF(Table1[[#This Row],[Monthly Income]]&lt;7000,"Medium","High"))</f>
        <v>Medium</v>
      </c>
      <c r="AK29" s="6"/>
      <c r="AL29" s="6"/>
      <c r="AM29" s="6"/>
      <c r="AN29" s="6"/>
      <c r="AO29" s="6"/>
      <c r="AP29" s="6"/>
      <c r="AQ29" s="6"/>
      <c r="AR29" s="6"/>
      <c r="AS29" s="6"/>
      <c r="AU29" s="6"/>
      <c r="AV29" s="6"/>
      <c r="AW29" s="6"/>
      <c r="AX29" s="6"/>
      <c r="AY29" s="6"/>
      <c r="AZ29" s="6"/>
      <c r="BA29" s="6"/>
      <c r="BB29" s="6"/>
      <c r="BC29" s="6"/>
    </row>
    <row r="30" spans="2:57" x14ac:dyDescent="0.3">
      <c r="B30" s="4" t="s">
        <v>51</v>
      </c>
      <c r="C30" s="4">
        <v>44</v>
      </c>
      <c r="D30" s="4" t="s">
        <v>12</v>
      </c>
      <c r="E30" s="4" t="s">
        <v>15</v>
      </c>
      <c r="F30" s="4" t="s">
        <v>29</v>
      </c>
      <c r="G30" s="18">
        <v>10248</v>
      </c>
      <c r="H30" s="10">
        <v>22</v>
      </c>
      <c r="I30" s="4">
        <v>4</v>
      </c>
      <c r="J30" s="4" t="s">
        <v>14</v>
      </c>
      <c r="K30" s="3" t="s">
        <v>14</v>
      </c>
      <c r="L30" s="3" t="str">
        <f>IF(Table1[[#This Row],[Monthly Income]]&lt;3000,"Low",IF(Table1[[#This Row],[Monthly Income]]&lt;7000,"Medium","High"))</f>
        <v>High</v>
      </c>
      <c r="AK30" s="4"/>
      <c r="AL30" s="4"/>
      <c r="AM30" s="4"/>
      <c r="AN30" s="4"/>
      <c r="AO30" s="4"/>
      <c r="AP30" s="4"/>
      <c r="AQ30" s="4"/>
      <c r="AR30" s="4"/>
      <c r="AS30" s="4"/>
      <c r="AU30" s="4"/>
      <c r="AV30" s="4"/>
      <c r="AW30" s="4"/>
      <c r="AX30" s="4"/>
      <c r="AY30" s="4"/>
      <c r="AZ30" s="4"/>
      <c r="BA30" s="4"/>
      <c r="BB30" s="4"/>
      <c r="BC30" s="4"/>
    </row>
    <row r="31" spans="2:57" x14ac:dyDescent="0.3">
      <c r="B31" s="6" t="s">
        <v>52</v>
      </c>
      <c r="C31" s="6">
        <v>46</v>
      </c>
      <c r="D31" s="6" t="s">
        <v>12</v>
      </c>
      <c r="E31" s="6" t="s">
        <v>10</v>
      </c>
      <c r="F31" s="6" t="s">
        <v>39</v>
      </c>
      <c r="G31" s="19">
        <v>18947</v>
      </c>
      <c r="H31" s="11">
        <v>2</v>
      </c>
      <c r="I31" s="6">
        <v>1</v>
      </c>
      <c r="J31" s="6" t="s">
        <v>14</v>
      </c>
      <c r="K31" s="5" t="s">
        <v>14</v>
      </c>
      <c r="L31" s="3" t="str">
        <f>IF(Table1[[#This Row],[Monthly Income]]&lt;3000,"Low",IF(Table1[[#This Row],[Monthly Income]]&lt;7000,"Medium","High"))</f>
        <v>High</v>
      </c>
      <c r="AK31" s="6"/>
      <c r="AL31" s="6"/>
      <c r="AM31" s="6"/>
      <c r="AN31" s="6"/>
      <c r="AO31" s="6"/>
      <c r="AP31" s="6"/>
      <c r="AQ31" s="6"/>
      <c r="AR31" s="6"/>
      <c r="AS31" s="6"/>
      <c r="AU31" s="6"/>
      <c r="AV31" s="6"/>
      <c r="AW31" s="6"/>
      <c r="AX31" s="6"/>
      <c r="AY31" s="6"/>
      <c r="AZ31" s="6"/>
      <c r="BA31" s="6"/>
      <c r="BB31" s="6"/>
      <c r="BC31" s="6"/>
    </row>
    <row r="32" spans="2:57" x14ac:dyDescent="0.3">
      <c r="B32" s="4" t="s">
        <v>53</v>
      </c>
      <c r="C32" s="4">
        <v>33</v>
      </c>
      <c r="D32" s="4" t="s">
        <v>17</v>
      </c>
      <c r="E32" s="4" t="s">
        <v>15</v>
      </c>
      <c r="F32" s="4" t="s">
        <v>20</v>
      </c>
      <c r="G32" s="18">
        <v>2496</v>
      </c>
      <c r="H32" s="10">
        <v>1</v>
      </c>
      <c r="I32" s="4">
        <v>4</v>
      </c>
      <c r="J32" s="4" t="s">
        <v>14</v>
      </c>
      <c r="K32" s="3" t="s">
        <v>14</v>
      </c>
      <c r="L32" s="3" t="str">
        <f>IF(Table1[[#This Row],[Monthly Income]]&lt;3000,"Low",IF(Table1[[#This Row],[Monthly Income]]&lt;7000,"Medium","High"))</f>
        <v>Low</v>
      </c>
      <c r="AK32" s="4"/>
      <c r="AL32" s="4"/>
      <c r="AM32" s="4"/>
      <c r="AN32" s="4"/>
      <c r="AO32" s="4"/>
      <c r="AP32" s="4"/>
      <c r="AQ32" s="4"/>
      <c r="AR32" s="4"/>
      <c r="AS32" s="4"/>
      <c r="AU32" s="4"/>
      <c r="AV32" s="4"/>
      <c r="AW32" s="4"/>
      <c r="AX32" s="4"/>
      <c r="AY32" s="4"/>
      <c r="AZ32" s="4"/>
      <c r="BA32" s="4"/>
      <c r="BB32" s="4"/>
      <c r="BC32" s="4"/>
      <c r="BD32" s="4"/>
      <c r="BE32" s="4"/>
    </row>
    <row r="33" spans="2:57" x14ac:dyDescent="0.3">
      <c r="B33" s="6" t="s">
        <v>54</v>
      </c>
      <c r="C33" s="6">
        <v>44</v>
      </c>
      <c r="D33" s="6" t="s">
        <v>17</v>
      </c>
      <c r="E33" s="6" t="s">
        <v>15</v>
      </c>
      <c r="F33" s="6" t="s">
        <v>29</v>
      </c>
      <c r="G33" s="19">
        <v>6465</v>
      </c>
      <c r="H33" s="11">
        <v>4</v>
      </c>
      <c r="I33" s="6">
        <v>4</v>
      </c>
      <c r="J33" s="6" t="s">
        <v>9</v>
      </c>
      <c r="K33" s="5" t="s">
        <v>14</v>
      </c>
      <c r="L33" s="3" t="str">
        <f>IF(Table1[[#This Row],[Monthly Income]]&lt;3000,"Low",IF(Table1[[#This Row],[Monthly Income]]&lt;7000,"Medium","High"))</f>
        <v>Medium</v>
      </c>
      <c r="AK33" s="6"/>
      <c r="AL33" s="6"/>
      <c r="AM33" s="6"/>
      <c r="AN33" s="6"/>
      <c r="AO33" s="6"/>
      <c r="AP33" s="6"/>
      <c r="AQ33" s="6"/>
      <c r="AR33" s="6"/>
      <c r="AS33" s="6"/>
      <c r="AU33" s="6"/>
      <c r="AV33" s="6"/>
      <c r="AW33" s="6"/>
      <c r="AX33" s="6"/>
      <c r="AY33" s="6"/>
      <c r="AZ33" s="6"/>
      <c r="BA33" s="6"/>
      <c r="BB33" s="6"/>
      <c r="BC33" s="6"/>
      <c r="BD33" s="6"/>
      <c r="BE33" s="6"/>
    </row>
    <row r="34" spans="2:57" x14ac:dyDescent="0.3">
      <c r="B34" s="4" t="s">
        <v>55</v>
      </c>
      <c r="C34" s="4">
        <v>30</v>
      </c>
      <c r="D34" s="4" t="s">
        <v>17</v>
      </c>
      <c r="E34" s="4" t="s">
        <v>15</v>
      </c>
      <c r="F34" s="4" t="s">
        <v>20</v>
      </c>
      <c r="G34" s="18">
        <v>2206</v>
      </c>
      <c r="H34" s="10">
        <v>10</v>
      </c>
      <c r="I34" s="4">
        <v>3</v>
      </c>
      <c r="J34" s="4" t="s">
        <v>14</v>
      </c>
      <c r="K34" s="3" t="s">
        <v>14</v>
      </c>
      <c r="L34" s="3" t="str">
        <f>IF(Table1[[#This Row],[Monthly Income]]&lt;3000,"Low",IF(Table1[[#This Row],[Monthly Income]]&lt;7000,"Medium","High"))</f>
        <v>Low</v>
      </c>
      <c r="AK34" s="4"/>
      <c r="AL34" s="4"/>
      <c r="AM34" s="4"/>
      <c r="AN34" s="4"/>
      <c r="AO34" s="4"/>
      <c r="AP34" s="4"/>
      <c r="AQ34" s="4"/>
      <c r="AR34" s="4"/>
      <c r="AS34" s="4"/>
      <c r="AU34" s="4"/>
      <c r="AV34" s="4"/>
      <c r="AW34" s="4"/>
      <c r="AX34" s="4"/>
      <c r="AY34" s="4"/>
      <c r="AZ34" s="4"/>
      <c r="BA34" s="4"/>
      <c r="BB34" s="4"/>
      <c r="BC34" s="4"/>
      <c r="BD34" s="4"/>
      <c r="BE34" s="4"/>
    </row>
    <row r="35" spans="2:57" x14ac:dyDescent="0.3">
      <c r="B35" s="6" t="s">
        <v>56</v>
      </c>
      <c r="C35" s="6">
        <v>39</v>
      </c>
      <c r="D35" s="6" t="s">
        <v>17</v>
      </c>
      <c r="E35" s="6" t="s">
        <v>10</v>
      </c>
      <c r="F35" s="6" t="s">
        <v>43</v>
      </c>
      <c r="G35" s="19">
        <v>2086</v>
      </c>
      <c r="H35" s="11">
        <v>1</v>
      </c>
      <c r="I35" s="6">
        <v>4</v>
      </c>
      <c r="J35" s="6" t="s">
        <v>14</v>
      </c>
      <c r="K35" s="5" t="s">
        <v>9</v>
      </c>
      <c r="L35" s="3" t="str">
        <f>IF(Table1[[#This Row],[Monthly Income]]&lt;3000,"Low",IF(Table1[[#This Row],[Monthly Income]]&lt;7000,"Medium","High"))</f>
        <v>Low</v>
      </c>
      <c r="AK35" s="6"/>
      <c r="AL35" s="6"/>
      <c r="AM35" s="6"/>
      <c r="AN35" s="6"/>
      <c r="AO35" s="6"/>
      <c r="AP35" s="6"/>
      <c r="AQ35" s="6"/>
      <c r="AR35" s="6"/>
      <c r="AS35" s="6"/>
      <c r="AU35" s="6"/>
      <c r="AV35" s="6"/>
      <c r="AW35" s="6"/>
      <c r="AX35" s="6"/>
      <c r="AY35" s="6"/>
      <c r="AZ35" s="6"/>
      <c r="BA35" s="6"/>
      <c r="BB35" s="6"/>
      <c r="BC35" s="6"/>
      <c r="BD35" s="6"/>
      <c r="BE35" s="6"/>
    </row>
    <row r="36" spans="2:57" x14ac:dyDescent="0.3">
      <c r="B36" s="4" t="s">
        <v>57</v>
      </c>
      <c r="C36" s="4">
        <v>24</v>
      </c>
      <c r="D36" s="4" t="s">
        <v>17</v>
      </c>
      <c r="E36" s="4" t="s">
        <v>15</v>
      </c>
      <c r="F36" s="4" t="s">
        <v>18</v>
      </c>
      <c r="G36" s="18">
        <v>2293</v>
      </c>
      <c r="H36" s="10">
        <v>2</v>
      </c>
      <c r="I36" s="4">
        <v>4</v>
      </c>
      <c r="J36" s="4" t="s">
        <v>9</v>
      </c>
      <c r="K36" s="3" t="s">
        <v>9</v>
      </c>
      <c r="L36" s="3" t="str">
        <f>IF(Table1[[#This Row],[Monthly Income]]&lt;3000,"Low",IF(Table1[[#This Row],[Monthly Income]]&lt;7000,"Medium","High"))</f>
        <v>Low</v>
      </c>
      <c r="AK36" s="4"/>
      <c r="AL36" s="4"/>
      <c r="AM36" s="4"/>
      <c r="AN36" s="4"/>
      <c r="AO36" s="4"/>
      <c r="AP36" s="4"/>
      <c r="AQ36" s="4"/>
      <c r="AR36" s="4"/>
      <c r="AS36" s="4"/>
      <c r="AU36" s="4"/>
      <c r="AV36" s="4"/>
      <c r="AW36" s="4"/>
      <c r="AX36" s="4"/>
      <c r="AY36" s="4"/>
      <c r="AZ36" s="4"/>
      <c r="BA36" s="4"/>
      <c r="BB36" s="4"/>
      <c r="BC36" s="4"/>
      <c r="BD36" s="4"/>
      <c r="BE36" s="4"/>
    </row>
    <row r="37" spans="2:57" x14ac:dyDescent="0.3">
      <c r="B37" s="6" t="s">
        <v>58</v>
      </c>
      <c r="C37" s="6">
        <v>43</v>
      </c>
      <c r="D37" s="6" t="s">
        <v>12</v>
      </c>
      <c r="E37" s="6" t="s">
        <v>15</v>
      </c>
      <c r="F37" s="6" t="s">
        <v>18</v>
      </c>
      <c r="G37" s="19">
        <v>2645</v>
      </c>
      <c r="H37" s="11">
        <v>5</v>
      </c>
      <c r="I37" s="6">
        <v>3</v>
      </c>
      <c r="J37" s="6" t="s">
        <v>14</v>
      </c>
      <c r="K37" s="5" t="s">
        <v>14</v>
      </c>
      <c r="L37" s="3" t="str">
        <f>IF(Table1[[#This Row],[Monthly Income]]&lt;3000,"Low",IF(Table1[[#This Row],[Monthly Income]]&lt;7000,"Medium","High"))</f>
        <v>Low</v>
      </c>
      <c r="AK37" s="6"/>
      <c r="AL37" s="6"/>
      <c r="AM37" s="6"/>
      <c r="AN37" s="6"/>
      <c r="AO37" s="6"/>
      <c r="AP37" s="6"/>
      <c r="AQ37" s="6"/>
      <c r="AR37" s="6"/>
      <c r="AS37" s="6"/>
      <c r="AU37" s="6"/>
      <c r="AV37" s="6"/>
      <c r="AW37" s="6"/>
      <c r="AX37" s="6"/>
      <c r="AY37" s="6"/>
      <c r="AZ37" s="6"/>
      <c r="BA37" s="6"/>
      <c r="BB37" s="6"/>
      <c r="BC37" s="6"/>
      <c r="BD37" s="6"/>
      <c r="BE37" s="6"/>
    </row>
    <row r="38" spans="2:57" x14ac:dyDescent="0.3">
      <c r="B38" s="4" t="s">
        <v>59</v>
      </c>
      <c r="C38" s="4">
        <v>50</v>
      </c>
      <c r="D38" s="4" t="s">
        <v>17</v>
      </c>
      <c r="E38" s="4" t="s">
        <v>10</v>
      </c>
      <c r="F38" s="4" t="s">
        <v>43</v>
      </c>
      <c r="G38" s="18">
        <v>2683</v>
      </c>
      <c r="H38" s="10">
        <v>3</v>
      </c>
      <c r="I38" s="4">
        <v>3</v>
      </c>
      <c r="J38" s="4" t="s">
        <v>9</v>
      </c>
      <c r="K38" s="3" t="s">
        <v>9</v>
      </c>
      <c r="L38" s="3" t="str">
        <f>IF(Table1[[#This Row],[Monthly Income]]&lt;3000,"Low",IF(Table1[[#This Row],[Monthly Income]]&lt;7000,"Medium","High"))</f>
        <v>Low</v>
      </c>
      <c r="AK38" s="4"/>
      <c r="AL38" s="4"/>
      <c r="AM38" s="4"/>
      <c r="AN38" s="4"/>
      <c r="AO38" s="4"/>
      <c r="AP38" s="4"/>
      <c r="AQ38" s="4"/>
      <c r="AR38" s="4"/>
      <c r="AS38" s="4"/>
      <c r="AU38" s="4"/>
      <c r="AV38" s="4"/>
      <c r="AW38" s="4"/>
      <c r="AX38" s="4"/>
      <c r="AY38" s="4"/>
      <c r="AZ38" s="4"/>
      <c r="BA38" s="4"/>
      <c r="BB38" s="4"/>
      <c r="BC38" s="4"/>
      <c r="BD38" s="4"/>
      <c r="BE38" s="4"/>
    </row>
    <row r="39" spans="2:57" x14ac:dyDescent="0.3">
      <c r="B39" s="6" t="s">
        <v>60</v>
      </c>
      <c r="C39" s="6">
        <v>35</v>
      </c>
      <c r="D39" s="6" t="s">
        <v>12</v>
      </c>
      <c r="E39" s="6" t="s">
        <v>10</v>
      </c>
      <c r="F39" s="6" t="s">
        <v>43</v>
      </c>
      <c r="G39" s="19">
        <v>2014</v>
      </c>
      <c r="H39" s="11">
        <v>2</v>
      </c>
      <c r="I39" s="6">
        <v>4</v>
      </c>
      <c r="J39" s="6" t="s">
        <v>14</v>
      </c>
      <c r="K39" s="5" t="s">
        <v>14</v>
      </c>
      <c r="L39" s="3" t="str">
        <f>IF(Table1[[#This Row],[Monthly Income]]&lt;3000,"Low",IF(Table1[[#This Row],[Monthly Income]]&lt;7000,"Medium","High"))</f>
        <v>Low</v>
      </c>
      <c r="AK39" s="6"/>
      <c r="AL39" s="6"/>
      <c r="AM39" s="6"/>
      <c r="AN39" s="6"/>
      <c r="AO39" s="6"/>
      <c r="AP39" s="6"/>
      <c r="AQ39" s="6"/>
      <c r="AR39" s="6"/>
      <c r="AS39" s="6"/>
      <c r="AU39" s="6"/>
      <c r="AV39" s="6"/>
      <c r="AW39" s="6"/>
      <c r="AX39" s="6"/>
      <c r="AY39" s="6"/>
      <c r="AZ39" s="6"/>
      <c r="BA39" s="6"/>
      <c r="BB39" s="6"/>
      <c r="BC39" s="6"/>
      <c r="BD39" s="6"/>
      <c r="BE39" s="6"/>
    </row>
    <row r="40" spans="2:57" x14ac:dyDescent="0.3">
      <c r="B40" s="4" t="s">
        <v>61</v>
      </c>
      <c r="C40" s="4">
        <v>36</v>
      </c>
      <c r="D40" s="4" t="s">
        <v>12</v>
      </c>
      <c r="E40" s="4" t="s">
        <v>15</v>
      </c>
      <c r="F40" s="4" t="s">
        <v>18</v>
      </c>
      <c r="G40" s="18">
        <v>3419</v>
      </c>
      <c r="H40" s="10">
        <v>1</v>
      </c>
      <c r="I40" s="4">
        <v>1</v>
      </c>
      <c r="J40" s="4" t="s">
        <v>9</v>
      </c>
      <c r="K40" s="3" t="s">
        <v>14</v>
      </c>
      <c r="L40" s="3" t="str">
        <f>IF(Table1[[#This Row],[Monthly Income]]&lt;3000,"Low",IF(Table1[[#This Row],[Monthly Income]]&lt;7000,"Medium","High"))</f>
        <v>Medium</v>
      </c>
      <c r="AK40" s="4"/>
      <c r="AL40" s="4"/>
      <c r="AM40" s="4"/>
      <c r="AN40" s="4"/>
      <c r="AO40" s="4"/>
      <c r="AP40" s="4"/>
      <c r="AQ40" s="4"/>
      <c r="AR40" s="4"/>
      <c r="AS40" s="4"/>
      <c r="AU40" s="4"/>
      <c r="AV40" s="4"/>
      <c r="AW40" s="4"/>
      <c r="AX40" s="4"/>
      <c r="AY40" s="4"/>
      <c r="AZ40" s="4"/>
      <c r="BA40" s="4"/>
      <c r="BB40" s="4"/>
      <c r="BC40" s="4"/>
      <c r="BD40" s="4"/>
      <c r="BE40" s="4"/>
    </row>
    <row r="41" spans="2:57" x14ac:dyDescent="0.3">
      <c r="B41" s="6" t="s">
        <v>62</v>
      </c>
      <c r="C41" s="6">
        <v>33</v>
      </c>
      <c r="D41" s="6" t="s">
        <v>12</v>
      </c>
      <c r="E41" s="6" t="s">
        <v>10</v>
      </c>
      <c r="F41" s="6" t="s">
        <v>13</v>
      </c>
      <c r="G41" s="19">
        <v>5376</v>
      </c>
      <c r="H41" s="11">
        <v>5</v>
      </c>
      <c r="I41" s="6">
        <v>1</v>
      </c>
      <c r="J41" s="6" t="s">
        <v>14</v>
      </c>
      <c r="K41" s="5" t="s">
        <v>14</v>
      </c>
      <c r="L41" s="3" t="str">
        <f>IF(Table1[[#This Row],[Monthly Income]]&lt;3000,"Low",IF(Table1[[#This Row],[Monthly Income]]&lt;7000,"Medium","High"))</f>
        <v>Medium</v>
      </c>
      <c r="AK41" s="6"/>
      <c r="AL41" s="6"/>
      <c r="AM41" s="6"/>
      <c r="AN41" s="6"/>
      <c r="AO41" s="6"/>
      <c r="AP41" s="6"/>
      <c r="AQ41" s="6"/>
      <c r="AR41" s="6"/>
      <c r="AS41" s="6"/>
      <c r="AU41" s="6"/>
      <c r="AV41" s="6"/>
      <c r="AW41" s="6"/>
      <c r="AX41" s="6"/>
      <c r="AY41" s="6"/>
      <c r="AZ41" s="6"/>
      <c r="BA41" s="6"/>
      <c r="BB41" s="6"/>
      <c r="BC41" s="6"/>
      <c r="BD41" s="6"/>
      <c r="BE41" s="6"/>
    </row>
    <row r="42" spans="2:57" x14ac:dyDescent="0.3">
      <c r="B42" s="4" t="s">
        <v>63</v>
      </c>
      <c r="C42" s="4">
        <v>35</v>
      </c>
      <c r="D42" s="4" t="s">
        <v>17</v>
      </c>
      <c r="E42" s="4" t="s">
        <v>15</v>
      </c>
      <c r="F42" s="4" t="s">
        <v>20</v>
      </c>
      <c r="G42" s="18">
        <v>1951</v>
      </c>
      <c r="H42" s="10">
        <v>1</v>
      </c>
      <c r="I42" s="4">
        <v>4</v>
      </c>
      <c r="J42" s="4" t="s">
        <v>14</v>
      </c>
      <c r="K42" s="3" t="s">
        <v>14</v>
      </c>
      <c r="L42" s="3" t="str">
        <f>IF(Table1[[#This Row],[Monthly Income]]&lt;3000,"Low",IF(Table1[[#This Row],[Monthly Income]]&lt;7000,"Medium","High"))</f>
        <v>Low</v>
      </c>
      <c r="AK42" s="4"/>
      <c r="AL42" s="4"/>
      <c r="AM42" s="4"/>
      <c r="AN42" s="4"/>
      <c r="AO42" s="4"/>
      <c r="AP42" s="4"/>
      <c r="AQ42" s="4"/>
      <c r="AR42" s="4"/>
      <c r="AS42" s="4"/>
      <c r="AU42" s="4"/>
      <c r="AV42" s="4"/>
      <c r="AW42" s="4"/>
      <c r="AX42" s="4"/>
      <c r="AY42" s="4"/>
      <c r="AZ42" s="4"/>
      <c r="BA42" s="4"/>
      <c r="BB42" s="4"/>
      <c r="BC42" s="4"/>
      <c r="BD42" s="4"/>
      <c r="BE42" s="4"/>
    </row>
    <row r="43" spans="2:57" x14ac:dyDescent="0.3">
      <c r="B43" s="6" t="s">
        <v>64</v>
      </c>
      <c r="C43" s="6">
        <v>27</v>
      </c>
      <c r="D43" s="6" t="s">
        <v>12</v>
      </c>
      <c r="E43" s="6" t="s">
        <v>15</v>
      </c>
      <c r="F43" s="6" t="s">
        <v>20</v>
      </c>
      <c r="G43" s="19">
        <v>2341</v>
      </c>
      <c r="H43" s="11">
        <v>1</v>
      </c>
      <c r="I43" s="6">
        <v>1</v>
      </c>
      <c r="J43" s="6" t="s">
        <v>14</v>
      </c>
      <c r="K43" s="5" t="s">
        <v>14</v>
      </c>
      <c r="L43" s="3" t="str">
        <f>IF(Table1[[#This Row],[Monthly Income]]&lt;3000,"Low",IF(Table1[[#This Row],[Monthly Income]]&lt;7000,"Medium","High"))</f>
        <v>Low</v>
      </c>
      <c r="AK43" s="6"/>
      <c r="AL43" s="6"/>
      <c r="AM43" s="6"/>
      <c r="AN43" s="6"/>
      <c r="AO43" s="6"/>
      <c r="AP43" s="6"/>
      <c r="AQ43" s="6"/>
      <c r="AR43" s="6"/>
      <c r="AS43" s="6"/>
      <c r="AU43" s="6"/>
      <c r="AV43" s="6"/>
      <c r="AW43" s="6"/>
      <c r="AX43" s="6"/>
      <c r="AY43" s="6"/>
      <c r="AZ43" s="6"/>
      <c r="BA43" s="6"/>
      <c r="BB43" s="6"/>
      <c r="BC43" s="6"/>
      <c r="BD43" s="6"/>
      <c r="BE43" s="6"/>
    </row>
    <row r="44" spans="2:57" x14ac:dyDescent="0.3">
      <c r="B44" s="4" t="s">
        <v>65</v>
      </c>
      <c r="C44" s="4">
        <v>26</v>
      </c>
      <c r="D44" s="4" t="s">
        <v>17</v>
      </c>
      <c r="E44" s="4" t="s">
        <v>15</v>
      </c>
      <c r="F44" s="4" t="s">
        <v>20</v>
      </c>
      <c r="G44" s="18">
        <v>2293</v>
      </c>
      <c r="H44" s="10">
        <v>1</v>
      </c>
      <c r="I44" s="4">
        <v>3</v>
      </c>
      <c r="J44" s="4" t="s">
        <v>14</v>
      </c>
      <c r="K44" s="3" t="s">
        <v>9</v>
      </c>
      <c r="L44" s="3" t="str">
        <f>IF(Table1[[#This Row],[Monthly Income]]&lt;3000,"Low",IF(Table1[[#This Row],[Monthly Income]]&lt;7000,"Medium","High"))</f>
        <v>Low</v>
      </c>
      <c r="AK44" s="4"/>
      <c r="AL44" s="4"/>
      <c r="AM44" s="4"/>
      <c r="AN44" s="4"/>
      <c r="AO44" s="4"/>
      <c r="AP44" s="4"/>
      <c r="AQ44" s="4"/>
      <c r="AR44" s="4"/>
      <c r="AS44" s="4"/>
      <c r="AU44" s="4"/>
      <c r="AV44" s="4"/>
      <c r="AW44" s="4"/>
      <c r="AX44" s="4"/>
      <c r="AY44" s="4"/>
      <c r="AZ44" s="4"/>
      <c r="BA44" s="4"/>
      <c r="BB44" s="4"/>
      <c r="BC44" s="4"/>
      <c r="BD44" s="4"/>
      <c r="BE44" s="4"/>
    </row>
    <row r="45" spans="2:57" x14ac:dyDescent="0.3">
      <c r="B45" s="6" t="s">
        <v>66</v>
      </c>
      <c r="C45" s="6">
        <v>27</v>
      </c>
      <c r="D45" s="6" t="s">
        <v>17</v>
      </c>
      <c r="E45" s="6" t="s">
        <v>10</v>
      </c>
      <c r="F45" s="6" t="s">
        <v>13</v>
      </c>
      <c r="G45" s="19">
        <v>8726</v>
      </c>
      <c r="H45" s="11">
        <v>9</v>
      </c>
      <c r="I45" s="6">
        <v>3</v>
      </c>
      <c r="J45" s="6" t="s">
        <v>14</v>
      </c>
      <c r="K45" s="5" t="s">
        <v>14</v>
      </c>
      <c r="L45" s="3" t="str">
        <f>IF(Table1[[#This Row],[Monthly Income]]&lt;3000,"Low",IF(Table1[[#This Row],[Monthly Income]]&lt;7000,"Medium","High"))</f>
        <v>High</v>
      </c>
      <c r="AK45" s="6"/>
      <c r="AL45" s="6"/>
      <c r="AM45" s="6"/>
      <c r="AN45" s="6"/>
      <c r="AO45" s="6"/>
      <c r="AP45" s="6"/>
      <c r="AQ45" s="6"/>
      <c r="AR45" s="6"/>
      <c r="AS45" s="6"/>
      <c r="AU45" s="6"/>
      <c r="AV45" s="6"/>
      <c r="AW45" s="6"/>
      <c r="AX45" s="6"/>
      <c r="AY45" s="6"/>
      <c r="AZ45" s="6"/>
      <c r="BA45" s="6"/>
      <c r="BB45" s="6"/>
      <c r="BC45" s="6"/>
      <c r="BD45" s="6"/>
      <c r="BE45" s="6"/>
    </row>
    <row r="46" spans="2:57" x14ac:dyDescent="0.3">
      <c r="B46" s="4" t="s">
        <v>67</v>
      </c>
      <c r="C46" s="4">
        <v>30</v>
      </c>
      <c r="D46" s="4" t="s">
        <v>12</v>
      </c>
      <c r="E46" s="4" t="s">
        <v>15</v>
      </c>
      <c r="F46" s="4" t="s">
        <v>20</v>
      </c>
      <c r="G46" s="18">
        <v>4011</v>
      </c>
      <c r="H46" s="10">
        <v>12</v>
      </c>
      <c r="I46" s="4">
        <v>4</v>
      </c>
      <c r="J46" s="4" t="s">
        <v>14</v>
      </c>
      <c r="K46" s="3" t="s">
        <v>14</v>
      </c>
      <c r="L46" s="3" t="str">
        <f>IF(Table1[[#This Row],[Monthly Income]]&lt;3000,"Low",IF(Table1[[#This Row],[Monthly Income]]&lt;7000,"Medium","High"))</f>
        <v>Medium</v>
      </c>
      <c r="AK46" s="4"/>
      <c r="AL46" s="4"/>
      <c r="AM46" s="4"/>
      <c r="AN46" s="4"/>
      <c r="AO46" s="4"/>
      <c r="AP46" s="4"/>
      <c r="AQ46" s="4"/>
      <c r="AR46" s="4"/>
      <c r="AS46" s="4"/>
      <c r="AU46" s="4"/>
      <c r="AV46" s="4"/>
      <c r="AW46" s="4"/>
      <c r="AX46" s="4"/>
      <c r="AY46" s="4"/>
      <c r="AZ46" s="4"/>
      <c r="BA46" s="4"/>
      <c r="BB46" s="4"/>
      <c r="BC46" s="4"/>
      <c r="BD46" s="4"/>
      <c r="BE46" s="4"/>
    </row>
    <row r="47" spans="2:57" x14ac:dyDescent="0.3">
      <c r="B47" s="6" t="s">
        <v>68</v>
      </c>
      <c r="C47" s="6">
        <v>41</v>
      </c>
      <c r="D47" s="6" t="s">
        <v>12</v>
      </c>
      <c r="E47" s="6" t="s">
        <v>15</v>
      </c>
      <c r="F47" s="6" t="s">
        <v>45</v>
      </c>
      <c r="G47" s="19">
        <v>19545</v>
      </c>
      <c r="H47" s="11">
        <v>22</v>
      </c>
      <c r="I47" s="6">
        <v>3</v>
      </c>
      <c r="J47" s="6" t="s">
        <v>14</v>
      </c>
      <c r="K47" s="5" t="s">
        <v>9</v>
      </c>
      <c r="L47" s="3" t="str">
        <f>IF(Table1[[#This Row],[Monthly Income]]&lt;3000,"Low",IF(Table1[[#This Row],[Monthly Income]]&lt;7000,"Medium","High"))</f>
        <v>High</v>
      </c>
      <c r="AK47" s="6"/>
      <c r="AL47" s="6"/>
      <c r="AM47" s="6"/>
      <c r="AN47" s="6"/>
      <c r="AO47" s="6"/>
      <c r="AP47" s="6"/>
      <c r="AQ47" s="6"/>
      <c r="AR47" s="6"/>
      <c r="AS47" s="6"/>
      <c r="AU47" s="6"/>
      <c r="AV47" s="6"/>
      <c r="AW47" s="6"/>
      <c r="AX47" s="6"/>
      <c r="AY47" s="6"/>
      <c r="AZ47" s="6"/>
      <c r="BA47" s="6"/>
      <c r="BB47" s="6"/>
      <c r="BC47" s="6"/>
      <c r="BD47" s="6"/>
      <c r="BE47" s="6"/>
    </row>
    <row r="48" spans="2:57" x14ac:dyDescent="0.3">
      <c r="B48" s="4" t="s">
        <v>69</v>
      </c>
      <c r="C48" s="4">
        <v>34</v>
      </c>
      <c r="D48" s="4" t="s">
        <v>17</v>
      </c>
      <c r="E48" s="4" t="s">
        <v>10</v>
      </c>
      <c r="F48" s="4" t="s">
        <v>13</v>
      </c>
      <c r="G48" s="18">
        <v>4568</v>
      </c>
      <c r="H48" s="10">
        <v>9</v>
      </c>
      <c r="I48" s="4">
        <v>3</v>
      </c>
      <c r="J48" s="4" t="s">
        <v>14</v>
      </c>
      <c r="K48" s="3" t="s">
        <v>14</v>
      </c>
      <c r="L48" s="3" t="str">
        <f>IF(Table1[[#This Row],[Monthly Income]]&lt;3000,"Low",IF(Table1[[#This Row],[Monthly Income]]&lt;7000,"Medium","High"))</f>
        <v>Medium</v>
      </c>
      <c r="AK48" s="4"/>
      <c r="AL48" s="4"/>
      <c r="AM48" s="4"/>
      <c r="AN48" s="4"/>
      <c r="AO48" s="4"/>
      <c r="AP48" s="4"/>
      <c r="AQ48" s="4"/>
      <c r="AR48" s="4"/>
      <c r="AS48" s="4"/>
      <c r="AU48" s="4"/>
      <c r="AV48" s="4"/>
      <c r="AW48" s="4"/>
      <c r="AX48" s="4"/>
      <c r="AY48" s="4"/>
      <c r="AZ48" s="4"/>
      <c r="BA48" s="4"/>
      <c r="BB48" s="4"/>
      <c r="BC48" s="4"/>
      <c r="BD48" s="4"/>
      <c r="BE48" s="4"/>
    </row>
    <row r="49" spans="2:57" x14ac:dyDescent="0.3">
      <c r="B49" s="6" t="s">
        <v>70</v>
      </c>
      <c r="C49" s="6">
        <v>37</v>
      </c>
      <c r="D49" s="6" t="s">
        <v>17</v>
      </c>
      <c r="E49" s="6" t="s">
        <v>15</v>
      </c>
      <c r="F49" s="6" t="s">
        <v>18</v>
      </c>
      <c r="G49" s="19">
        <v>3022</v>
      </c>
      <c r="H49" s="11">
        <v>1</v>
      </c>
      <c r="I49" s="6">
        <v>2</v>
      </c>
      <c r="J49" s="6" t="s">
        <v>14</v>
      </c>
      <c r="K49" s="5" t="s">
        <v>14</v>
      </c>
      <c r="L49" s="3" t="str">
        <f>IF(Table1[[#This Row],[Monthly Income]]&lt;3000,"Low",IF(Table1[[#This Row],[Monthly Income]]&lt;7000,"Medium","High"))</f>
        <v>Medium</v>
      </c>
      <c r="AK49" s="6"/>
      <c r="AL49" s="6"/>
      <c r="AM49" s="6"/>
      <c r="AN49" s="6"/>
      <c r="AO49" s="6"/>
      <c r="AP49" s="6"/>
      <c r="AQ49" s="6"/>
      <c r="AR49" s="6"/>
      <c r="AS49" s="6"/>
      <c r="AU49" s="6"/>
      <c r="AV49" s="6"/>
      <c r="AW49" s="6"/>
      <c r="AX49" s="6"/>
      <c r="AY49" s="6"/>
      <c r="AZ49" s="6"/>
      <c r="BA49" s="6"/>
      <c r="BB49" s="6"/>
      <c r="BC49" s="6"/>
      <c r="BD49" s="6"/>
      <c r="BE49" s="6"/>
    </row>
    <row r="50" spans="2:57" x14ac:dyDescent="0.3">
      <c r="B50" s="4" t="s">
        <v>71</v>
      </c>
      <c r="C50" s="4">
        <v>46</v>
      </c>
      <c r="D50" s="4" t="s">
        <v>17</v>
      </c>
      <c r="E50" s="4" t="s">
        <v>10</v>
      </c>
      <c r="F50" s="4" t="s">
        <v>13</v>
      </c>
      <c r="G50" s="18">
        <v>5772</v>
      </c>
      <c r="H50" s="10">
        <v>9</v>
      </c>
      <c r="I50" s="4">
        <v>4</v>
      </c>
      <c r="J50" s="4" t="s">
        <v>9</v>
      </c>
      <c r="K50" s="3" t="s">
        <v>14</v>
      </c>
      <c r="L50" s="3" t="str">
        <f>IF(Table1[[#This Row],[Monthly Income]]&lt;3000,"Low",IF(Table1[[#This Row],[Monthly Income]]&lt;7000,"Medium","High"))</f>
        <v>Medium</v>
      </c>
      <c r="AK50" s="4"/>
      <c r="AL50" s="4"/>
      <c r="AM50" s="4"/>
      <c r="AN50" s="4"/>
      <c r="AO50" s="4"/>
      <c r="AP50" s="4"/>
      <c r="AQ50" s="4"/>
      <c r="AR50" s="4"/>
      <c r="AS50" s="4"/>
      <c r="AU50" s="4"/>
      <c r="AV50" s="4"/>
      <c r="AW50" s="4"/>
      <c r="AX50" s="4"/>
      <c r="AY50" s="4"/>
      <c r="AZ50" s="4"/>
      <c r="BA50" s="4"/>
      <c r="BB50" s="4"/>
      <c r="BC50" s="4"/>
      <c r="BD50" s="4"/>
      <c r="BE50" s="4"/>
    </row>
    <row r="51" spans="2:57" x14ac:dyDescent="0.3">
      <c r="B51" s="6" t="s">
        <v>72</v>
      </c>
      <c r="C51" s="6">
        <v>35</v>
      </c>
      <c r="D51" s="6" t="s">
        <v>17</v>
      </c>
      <c r="E51" s="6" t="s">
        <v>15</v>
      </c>
      <c r="F51" s="6" t="s">
        <v>20</v>
      </c>
      <c r="G51" s="19">
        <v>2269</v>
      </c>
      <c r="H51" s="11">
        <v>1</v>
      </c>
      <c r="I51" s="6">
        <v>4</v>
      </c>
      <c r="J51" s="6" t="s">
        <v>14</v>
      </c>
      <c r="K51" s="5" t="s">
        <v>14</v>
      </c>
      <c r="L51" s="3" t="str">
        <f>IF(Table1[[#This Row],[Monthly Income]]&lt;3000,"Low",IF(Table1[[#This Row],[Monthly Income]]&lt;7000,"Medium","High"))</f>
        <v>Low</v>
      </c>
      <c r="AK51" s="6"/>
      <c r="AL51" s="6"/>
      <c r="AM51" s="6"/>
      <c r="AN51" s="6"/>
      <c r="AO51" s="6"/>
      <c r="AP51" s="6"/>
      <c r="AQ51" s="6"/>
      <c r="AR51" s="6"/>
      <c r="AS51" s="6"/>
      <c r="AU51" s="6"/>
      <c r="AV51" s="6"/>
      <c r="AW51" s="6"/>
      <c r="AX51" s="6"/>
      <c r="AY51" s="6"/>
      <c r="AZ51" s="6"/>
      <c r="BA51" s="6"/>
      <c r="BB51" s="6"/>
      <c r="BC51" s="6"/>
      <c r="BD51" s="6"/>
      <c r="BE51" s="6"/>
    </row>
    <row r="52" spans="2:57" x14ac:dyDescent="0.3">
      <c r="B52" s="4" t="s">
        <v>73</v>
      </c>
      <c r="C52" s="4">
        <v>48</v>
      </c>
      <c r="D52" s="4" t="s">
        <v>17</v>
      </c>
      <c r="E52" s="4" t="s">
        <v>15</v>
      </c>
      <c r="F52" s="4" t="s">
        <v>20</v>
      </c>
      <c r="G52" s="18">
        <v>5381</v>
      </c>
      <c r="H52" s="10">
        <v>1</v>
      </c>
      <c r="I52" s="4">
        <v>3</v>
      </c>
      <c r="J52" s="4" t="s">
        <v>9</v>
      </c>
      <c r="K52" s="3" t="s">
        <v>9</v>
      </c>
      <c r="L52" s="3" t="str">
        <f>IF(Table1[[#This Row],[Monthly Income]]&lt;3000,"Low",IF(Table1[[#This Row],[Monthly Income]]&lt;7000,"Medium","High"))</f>
        <v>Medium</v>
      </c>
      <c r="AK52" s="4"/>
      <c r="AL52" s="4"/>
      <c r="AM52" s="4"/>
      <c r="AN52" s="4"/>
      <c r="AO52" s="4"/>
      <c r="AP52" s="4"/>
      <c r="AQ52" s="4"/>
      <c r="AR52" s="4"/>
      <c r="AS52" s="4"/>
      <c r="AU52" s="4"/>
      <c r="AV52" s="4"/>
      <c r="AW52" s="4"/>
      <c r="AX52" s="4"/>
      <c r="AY52" s="4"/>
      <c r="AZ52" s="4"/>
      <c r="BA52" s="4"/>
      <c r="BB52" s="4"/>
      <c r="BC52" s="4"/>
      <c r="BD52" s="4"/>
      <c r="BE52" s="4"/>
    </row>
    <row r="53" spans="2:57" x14ac:dyDescent="0.3">
      <c r="B53" s="6" t="s">
        <v>74</v>
      </c>
      <c r="C53" s="6">
        <v>28</v>
      </c>
      <c r="D53" s="6" t="s">
        <v>17</v>
      </c>
      <c r="E53" s="6" t="s">
        <v>15</v>
      </c>
      <c r="F53" s="6" t="s">
        <v>20</v>
      </c>
      <c r="G53" s="19">
        <v>3441</v>
      </c>
      <c r="H53" s="11">
        <v>2</v>
      </c>
      <c r="I53" s="6">
        <v>3</v>
      </c>
      <c r="J53" s="6" t="s">
        <v>9</v>
      </c>
      <c r="K53" s="5" t="s">
        <v>9</v>
      </c>
      <c r="L53" s="3" t="str">
        <f>IF(Table1[[#This Row],[Monthly Income]]&lt;3000,"Low",IF(Table1[[#This Row],[Monthly Income]]&lt;7000,"Medium","High"))</f>
        <v>Medium</v>
      </c>
      <c r="AK53" s="6"/>
      <c r="AL53" s="6"/>
      <c r="AM53" s="6"/>
      <c r="AN53" s="6"/>
      <c r="AO53" s="6"/>
      <c r="AP53" s="6"/>
      <c r="AQ53" s="6"/>
      <c r="AR53" s="6"/>
      <c r="AS53" s="6"/>
      <c r="AU53" s="6"/>
      <c r="AV53" s="6"/>
      <c r="AW53" s="6"/>
      <c r="AX53" s="6"/>
      <c r="AY53" s="6"/>
      <c r="AZ53" s="6"/>
      <c r="BA53" s="6"/>
      <c r="BB53" s="6"/>
      <c r="BC53" s="6"/>
      <c r="BD53" s="6"/>
      <c r="BE53" s="6"/>
    </row>
    <row r="54" spans="2:57" x14ac:dyDescent="0.3">
      <c r="B54" s="4" t="s">
        <v>75</v>
      </c>
      <c r="C54" s="4">
        <v>44</v>
      </c>
      <c r="D54" s="4" t="s">
        <v>12</v>
      </c>
      <c r="E54" s="4" t="s">
        <v>10</v>
      </c>
      <c r="F54" s="4" t="s">
        <v>13</v>
      </c>
      <c r="G54" s="18">
        <v>5454</v>
      </c>
      <c r="H54" s="10">
        <v>4</v>
      </c>
      <c r="I54" s="4">
        <v>1</v>
      </c>
      <c r="J54" s="4" t="s">
        <v>9</v>
      </c>
      <c r="K54" s="3" t="s">
        <v>14</v>
      </c>
      <c r="L54" s="3" t="str">
        <f>IF(Table1[[#This Row],[Monthly Income]]&lt;3000,"Low",IF(Table1[[#This Row],[Monthly Income]]&lt;7000,"Medium","High"))</f>
        <v>Medium</v>
      </c>
      <c r="AK54" s="4"/>
      <c r="AL54" s="4"/>
      <c r="AM54" s="4"/>
      <c r="AN54" s="4"/>
      <c r="AO54" s="4"/>
      <c r="AP54" s="4"/>
      <c r="AQ54" s="4"/>
      <c r="AR54" s="4"/>
      <c r="AS54" s="4"/>
      <c r="AU54" s="4"/>
      <c r="AV54" s="4"/>
      <c r="AW54" s="4"/>
      <c r="AX54" s="4"/>
      <c r="AY54" s="4"/>
      <c r="AZ54" s="4"/>
      <c r="BA54" s="4"/>
      <c r="BB54" s="4"/>
      <c r="BC54" s="4"/>
      <c r="BD54" s="4"/>
      <c r="BE54" s="4"/>
    </row>
    <row r="55" spans="2:57" x14ac:dyDescent="0.3">
      <c r="B55" s="6" t="s">
        <v>76</v>
      </c>
      <c r="C55" s="6">
        <v>35</v>
      </c>
      <c r="D55" s="6" t="s">
        <v>17</v>
      </c>
      <c r="E55" s="6" t="s">
        <v>15</v>
      </c>
      <c r="F55" s="6" t="s">
        <v>29</v>
      </c>
      <c r="G55" s="19">
        <v>9884</v>
      </c>
      <c r="H55" s="11">
        <v>4</v>
      </c>
      <c r="I55" s="6">
        <v>1</v>
      </c>
      <c r="J55" s="6" t="s">
        <v>9</v>
      </c>
      <c r="K55" s="5" t="s">
        <v>14</v>
      </c>
      <c r="L55" s="3" t="str">
        <f>IF(Table1[[#This Row],[Monthly Income]]&lt;3000,"Low",IF(Table1[[#This Row],[Monthly Income]]&lt;7000,"Medium","High"))</f>
        <v>High</v>
      </c>
      <c r="AK55" s="6"/>
      <c r="AL55" s="6"/>
      <c r="AM55" s="6"/>
      <c r="AN55" s="6"/>
      <c r="AO55" s="6"/>
      <c r="AP55" s="6"/>
      <c r="AQ55" s="6"/>
      <c r="AR55" s="6"/>
      <c r="AS55" s="6"/>
      <c r="AU55" s="6"/>
      <c r="AV55" s="6"/>
      <c r="AW55" s="6"/>
      <c r="AX55" s="6"/>
      <c r="AY55" s="6"/>
      <c r="AZ55" s="6"/>
      <c r="BA55" s="6"/>
      <c r="BB55" s="6"/>
      <c r="BC55" s="6"/>
      <c r="BD55" s="6"/>
      <c r="BE55" s="6"/>
    </row>
    <row r="56" spans="2:57" x14ac:dyDescent="0.3">
      <c r="B56" s="4" t="s">
        <v>77</v>
      </c>
      <c r="C56" s="4">
        <v>26</v>
      </c>
      <c r="D56" s="4" t="s">
        <v>12</v>
      </c>
      <c r="E56" s="4" t="s">
        <v>10</v>
      </c>
      <c r="F56" s="4" t="s">
        <v>13</v>
      </c>
      <c r="G56" s="18">
        <v>4157</v>
      </c>
      <c r="H56" s="10">
        <v>2</v>
      </c>
      <c r="I56" s="4">
        <v>4</v>
      </c>
      <c r="J56" s="4" t="s">
        <v>9</v>
      </c>
      <c r="K56" s="3" t="s">
        <v>14</v>
      </c>
      <c r="L56" s="3" t="str">
        <f>IF(Table1[[#This Row],[Monthly Income]]&lt;3000,"Low",IF(Table1[[#This Row],[Monthly Income]]&lt;7000,"Medium","High"))</f>
        <v>Medium</v>
      </c>
      <c r="AK56" s="4"/>
      <c r="AL56" s="4"/>
      <c r="AM56" s="4"/>
      <c r="AN56" s="4"/>
      <c r="AO56" s="4"/>
      <c r="AP56" s="4"/>
      <c r="AQ56" s="4"/>
      <c r="AR56" s="4"/>
      <c r="AS56" s="4"/>
      <c r="AU56" s="4"/>
      <c r="AV56" s="4"/>
      <c r="AW56" s="4"/>
      <c r="AX56" s="4"/>
      <c r="AY56" s="4"/>
      <c r="AZ56" s="4"/>
      <c r="BA56" s="4"/>
      <c r="BB56" s="4"/>
      <c r="BC56" s="4"/>
      <c r="BD56" s="4"/>
      <c r="BE56" s="4"/>
    </row>
    <row r="57" spans="2:57" x14ac:dyDescent="0.3">
      <c r="B57" s="6" t="s">
        <v>78</v>
      </c>
      <c r="C57" s="6">
        <v>33</v>
      </c>
      <c r="D57" s="6" t="s">
        <v>12</v>
      </c>
      <c r="E57" s="6" t="s">
        <v>15</v>
      </c>
      <c r="F57" s="6" t="s">
        <v>45</v>
      </c>
      <c r="G57" s="19">
        <v>13458</v>
      </c>
      <c r="H57" s="11">
        <v>15</v>
      </c>
      <c r="I57" s="6">
        <v>4</v>
      </c>
      <c r="J57" s="6" t="s">
        <v>9</v>
      </c>
      <c r="K57" s="5" t="s">
        <v>14</v>
      </c>
      <c r="L57" s="3" t="str">
        <f>IF(Table1[[#This Row],[Monthly Income]]&lt;3000,"Low",IF(Table1[[#This Row],[Monthly Income]]&lt;7000,"Medium","High"))</f>
        <v>High</v>
      </c>
      <c r="AK57" s="6"/>
      <c r="AL57" s="6"/>
      <c r="AM57" s="6"/>
      <c r="AN57" s="6"/>
      <c r="AO57" s="6"/>
      <c r="AP57" s="6"/>
      <c r="AQ57" s="6"/>
      <c r="AR57" s="6"/>
      <c r="AS57" s="6"/>
      <c r="AU57" s="6"/>
      <c r="AV57" s="6"/>
      <c r="AW57" s="6"/>
      <c r="AX57" s="6"/>
      <c r="AY57" s="6"/>
      <c r="AZ57" s="6"/>
      <c r="BA57" s="6"/>
      <c r="BB57" s="6"/>
      <c r="BC57" s="6"/>
      <c r="BD57" s="6"/>
      <c r="BE57" s="6"/>
    </row>
    <row r="58" spans="2:57" x14ac:dyDescent="0.3">
      <c r="B58" s="4" t="s">
        <v>79</v>
      </c>
      <c r="C58" s="4">
        <v>35</v>
      </c>
      <c r="D58" s="4" t="s">
        <v>17</v>
      </c>
      <c r="E58" s="4" t="s">
        <v>10</v>
      </c>
      <c r="F58" s="4" t="s">
        <v>13</v>
      </c>
      <c r="G58" s="18">
        <v>9069</v>
      </c>
      <c r="H58" s="10">
        <v>9</v>
      </c>
      <c r="I58" s="4">
        <v>1</v>
      </c>
      <c r="J58" s="4" t="s">
        <v>14</v>
      </c>
      <c r="K58" s="3" t="s">
        <v>14</v>
      </c>
      <c r="L58" s="3" t="str">
        <f>IF(Table1[[#This Row],[Monthly Income]]&lt;3000,"Low",IF(Table1[[#This Row],[Monthly Income]]&lt;7000,"Medium","High"))</f>
        <v>High</v>
      </c>
      <c r="AK58" s="4"/>
      <c r="AL58" s="4"/>
      <c r="AM58" s="4"/>
      <c r="AN58" s="4"/>
      <c r="AO58" s="4"/>
      <c r="AP58" s="4"/>
      <c r="AQ58" s="4"/>
      <c r="AR58" s="4"/>
      <c r="AS58" s="4"/>
      <c r="AU58" s="4"/>
      <c r="AV58" s="4"/>
      <c r="AW58" s="4"/>
      <c r="AX58" s="4"/>
      <c r="AY58" s="4"/>
      <c r="AZ58" s="4"/>
      <c r="BA58" s="4"/>
      <c r="BB58" s="4"/>
      <c r="BC58" s="4"/>
      <c r="BD58" s="4"/>
      <c r="BE58" s="4"/>
    </row>
    <row r="59" spans="2:57" x14ac:dyDescent="0.3">
      <c r="B59" s="6" t="s">
        <v>80</v>
      </c>
      <c r="C59" s="6">
        <v>35</v>
      </c>
      <c r="D59" s="6" t="s">
        <v>12</v>
      </c>
      <c r="E59" s="6" t="s">
        <v>15</v>
      </c>
      <c r="F59" s="6" t="s">
        <v>20</v>
      </c>
      <c r="G59" s="19">
        <v>4014</v>
      </c>
      <c r="H59" s="11">
        <v>2</v>
      </c>
      <c r="I59" s="6">
        <v>1</v>
      </c>
      <c r="J59" s="6" t="s">
        <v>9</v>
      </c>
      <c r="K59" s="5" t="s">
        <v>14</v>
      </c>
      <c r="L59" s="3" t="str">
        <f>IF(Table1[[#This Row],[Monthly Income]]&lt;3000,"Low",IF(Table1[[#This Row],[Monthly Income]]&lt;7000,"Medium","High"))</f>
        <v>Medium</v>
      </c>
      <c r="AK59" s="6"/>
      <c r="AL59" s="6"/>
      <c r="AM59" s="6"/>
      <c r="AN59" s="6"/>
      <c r="AO59" s="6"/>
      <c r="AP59" s="6"/>
      <c r="AQ59" s="6"/>
      <c r="AR59" s="6"/>
      <c r="AS59" s="6"/>
      <c r="AU59" s="6"/>
      <c r="AV59" s="6"/>
      <c r="AW59" s="6"/>
      <c r="AX59" s="6"/>
      <c r="AY59" s="6"/>
      <c r="AZ59" s="6"/>
      <c r="BA59" s="6"/>
      <c r="BB59" s="6"/>
      <c r="BC59" s="6"/>
      <c r="BD59" s="6"/>
      <c r="BE59" s="6"/>
    </row>
    <row r="60" spans="2:57" x14ac:dyDescent="0.3">
      <c r="B60" s="4" t="s">
        <v>81</v>
      </c>
      <c r="C60" s="4">
        <v>31</v>
      </c>
      <c r="D60" s="4" t="s">
        <v>17</v>
      </c>
      <c r="E60" s="4" t="s">
        <v>15</v>
      </c>
      <c r="F60" s="4" t="s">
        <v>20</v>
      </c>
      <c r="G60" s="18">
        <v>5915</v>
      </c>
      <c r="H60" s="10">
        <v>7</v>
      </c>
      <c r="I60" s="4">
        <v>4</v>
      </c>
      <c r="J60" s="4" t="s">
        <v>14</v>
      </c>
      <c r="K60" s="3" t="s">
        <v>14</v>
      </c>
      <c r="L60" s="3" t="str">
        <f>IF(Table1[[#This Row],[Monthly Income]]&lt;3000,"Low",IF(Table1[[#This Row],[Monthly Income]]&lt;7000,"Medium","High"))</f>
        <v>Medium</v>
      </c>
      <c r="AK60" s="4"/>
      <c r="AL60" s="4"/>
      <c r="AM60" s="4"/>
      <c r="AN60" s="4"/>
      <c r="AO60" s="4"/>
      <c r="AP60" s="4"/>
      <c r="AQ60" s="4"/>
      <c r="AR60" s="4"/>
      <c r="AS60" s="4"/>
      <c r="AU60" s="4"/>
      <c r="AV60" s="4"/>
      <c r="AW60" s="4"/>
      <c r="AX60" s="4"/>
      <c r="AY60" s="4"/>
      <c r="AZ60" s="4"/>
      <c r="BA60" s="4"/>
      <c r="BB60" s="4"/>
      <c r="BC60" s="4"/>
      <c r="BD60" s="4"/>
      <c r="BE60" s="4"/>
    </row>
    <row r="61" spans="2:57" x14ac:dyDescent="0.3">
      <c r="B61" s="6" t="s">
        <v>82</v>
      </c>
      <c r="C61" s="6">
        <v>37</v>
      </c>
      <c r="D61" s="6" t="s">
        <v>17</v>
      </c>
      <c r="E61" s="6" t="s">
        <v>15</v>
      </c>
      <c r="F61" s="6" t="s">
        <v>27</v>
      </c>
      <c r="G61" s="19">
        <v>5993</v>
      </c>
      <c r="H61" s="11">
        <v>7</v>
      </c>
      <c r="I61" s="6">
        <v>3</v>
      </c>
      <c r="J61" s="6" t="s">
        <v>14</v>
      </c>
      <c r="K61" s="5" t="s">
        <v>14</v>
      </c>
      <c r="L61" s="3" t="str">
        <f>IF(Table1[[#This Row],[Monthly Income]]&lt;3000,"Low",IF(Table1[[#This Row],[Monthly Income]]&lt;7000,"Medium","High"))</f>
        <v>Medium</v>
      </c>
      <c r="AK61" s="6"/>
      <c r="AL61" s="6"/>
      <c r="AM61" s="6"/>
      <c r="AN61" s="6"/>
      <c r="AO61" s="6"/>
      <c r="AP61" s="6"/>
      <c r="AQ61" s="6"/>
      <c r="AR61" s="6"/>
      <c r="AS61" s="6"/>
      <c r="AU61" s="6"/>
      <c r="AV61" s="6"/>
      <c r="AW61" s="6"/>
      <c r="AX61" s="6"/>
      <c r="AY61" s="6"/>
      <c r="AZ61" s="6"/>
      <c r="BA61" s="6"/>
      <c r="BB61" s="6"/>
      <c r="BC61" s="6"/>
      <c r="BD61" s="6"/>
      <c r="BE61" s="6"/>
    </row>
    <row r="62" spans="2:57" x14ac:dyDescent="0.3">
      <c r="B62" s="4" t="s">
        <v>83</v>
      </c>
      <c r="C62" s="4">
        <v>32</v>
      </c>
      <c r="D62" s="4" t="s">
        <v>17</v>
      </c>
      <c r="E62" s="4" t="s">
        <v>15</v>
      </c>
      <c r="F62" s="4" t="s">
        <v>27</v>
      </c>
      <c r="G62" s="18">
        <v>6162</v>
      </c>
      <c r="H62" s="10">
        <v>9</v>
      </c>
      <c r="I62" s="4">
        <v>4</v>
      </c>
      <c r="J62" s="4" t="s">
        <v>9</v>
      </c>
      <c r="K62" s="3" t="s">
        <v>14</v>
      </c>
      <c r="L62" s="3" t="str">
        <f>IF(Table1[[#This Row],[Monthly Income]]&lt;3000,"Low",IF(Table1[[#This Row],[Monthly Income]]&lt;7000,"Medium","High"))</f>
        <v>Medium</v>
      </c>
      <c r="AK62" s="4"/>
      <c r="AL62" s="4"/>
      <c r="AM62" s="4"/>
      <c r="AN62" s="4"/>
      <c r="AO62" s="4"/>
      <c r="AP62" s="4"/>
      <c r="AQ62" s="4"/>
      <c r="AR62" s="4"/>
      <c r="AS62" s="4"/>
      <c r="AU62" s="4"/>
      <c r="AV62" s="4"/>
      <c r="AW62" s="4"/>
      <c r="AX62" s="4"/>
      <c r="AY62" s="4"/>
      <c r="AZ62" s="4"/>
      <c r="BA62" s="4"/>
      <c r="BB62" s="4"/>
      <c r="BC62" s="4"/>
      <c r="BD62" s="4"/>
      <c r="BE62" s="4"/>
    </row>
    <row r="63" spans="2:57" x14ac:dyDescent="0.3">
      <c r="B63" s="6" t="s">
        <v>84</v>
      </c>
      <c r="C63" s="6">
        <v>38</v>
      </c>
      <c r="D63" s="6" t="s">
        <v>12</v>
      </c>
      <c r="E63" s="6" t="s">
        <v>15</v>
      </c>
      <c r="F63" s="6" t="s">
        <v>20</v>
      </c>
      <c r="G63" s="19">
        <v>2406</v>
      </c>
      <c r="H63" s="11">
        <v>10</v>
      </c>
      <c r="I63" s="6">
        <v>4</v>
      </c>
      <c r="J63" s="6" t="s">
        <v>14</v>
      </c>
      <c r="K63" s="5" t="s">
        <v>14</v>
      </c>
      <c r="L63" s="3" t="str">
        <f>IF(Table1[[#This Row],[Monthly Income]]&lt;3000,"Low",IF(Table1[[#This Row],[Monthly Income]]&lt;7000,"Medium","High"))</f>
        <v>Low</v>
      </c>
      <c r="AK63" s="6"/>
      <c r="AL63" s="6"/>
      <c r="AM63" s="6"/>
      <c r="AN63" s="6"/>
      <c r="AO63" s="6"/>
      <c r="AP63" s="6"/>
      <c r="AQ63" s="6"/>
      <c r="AR63" s="6"/>
      <c r="AS63" s="6"/>
      <c r="AU63" s="6"/>
      <c r="AV63" s="6"/>
      <c r="AW63" s="6"/>
      <c r="AX63" s="6"/>
      <c r="AY63" s="6"/>
      <c r="AZ63" s="6"/>
      <c r="BA63" s="6"/>
      <c r="BB63" s="6"/>
      <c r="BC63" s="6"/>
      <c r="BD63" s="6"/>
      <c r="BE63" s="6"/>
    </row>
    <row r="64" spans="2:57" x14ac:dyDescent="0.3">
      <c r="B64" s="4" t="s">
        <v>85</v>
      </c>
      <c r="C64" s="4">
        <v>50</v>
      </c>
      <c r="D64" s="4" t="s">
        <v>12</v>
      </c>
      <c r="E64" s="4" t="s">
        <v>15</v>
      </c>
      <c r="F64" s="4" t="s">
        <v>45</v>
      </c>
      <c r="G64" s="18">
        <v>18740</v>
      </c>
      <c r="H64" s="10">
        <v>27</v>
      </c>
      <c r="I64" s="4">
        <v>3</v>
      </c>
      <c r="J64" s="4" t="s">
        <v>9</v>
      </c>
      <c r="K64" s="3" t="s">
        <v>14</v>
      </c>
      <c r="L64" s="3" t="str">
        <f>IF(Table1[[#This Row],[Monthly Income]]&lt;3000,"Low",IF(Table1[[#This Row],[Monthly Income]]&lt;7000,"Medium","High"))</f>
        <v>High</v>
      </c>
      <c r="AK64" s="4"/>
      <c r="AL64" s="4"/>
      <c r="AM64" s="4"/>
      <c r="AN64" s="4"/>
      <c r="AO64" s="4"/>
      <c r="AP64" s="4"/>
      <c r="AQ64" s="4"/>
      <c r="AR64" s="4"/>
      <c r="AS64" s="4"/>
      <c r="AU64" s="4"/>
      <c r="AV64" s="4"/>
      <c r="AW64" s="4"/>
      <c r="AX64" s="4"/>
      <c r="AY64" s="4"/>
      <c r="AZ64" s="4"/>
      <c r="BA64" s="4"/>
      <c r="BB64" s="4"/>
      <c r="BC64" s="4"/>
      <c r="BD64" s="4"/>
      <c r="BE64" s="4"/>
    </row>
    <row r="65" spans="2:57" x14ac:dyDescent="0.3">
      <c r="B65" s="6" t="s">
        <v>86</v>
      </c>
      <c r="C65" s="6">
        <v>59</v>
      </c>
      <c r="D65" s="6" t="s">
        <v>12</v>
      </c>
      <c r="E65" s="6" t="s">
        <v>10</v>
      </c>
      <c r="F65" s="6" t="s">
        <v>13</v>
      </c>
      <c r="G65" s="19">
        <v>7637</v>
      </c>
      <c r="H65" s="11">
        <v>21</v>
      </c>
      <c r="I65" s="6">
        <v>1</v>
      </c>
      <c r="J65" s="6" t="s">
        <v>14</v>
      </c>
      <c r="K65" s="5" t="s">
        <v>14</v>
      </c>
      <c r="L65" s="3" t="str">
        <f>IF(Table1[[#This Row],[Monthly Income]]&lt;3000,"Low",IF(Table1[[#This Row],[Monthly Income]]&lt;7000,"Medium","High"))</f>
        <v>High</v>
      </c>
      <c r="AK65" s="6"/>
      <c r="AL65" s="6"/>
      <c r="AM65" s="6"/>
      <c r="AN65" s="6"/>
      <c r="AO65" s="6"/>
      <c r="AP65" s="6"/>
      <c r="AQ65" s="6"/>
      <c r="AR65" s="6"/>
      <c r="AS65" s="6"/>
      <c r="AU65" s="6"/>
      <c r="AV65" s="6"/>
      <c r="AW65" s="6"/>
      <c r="AX65" s="6"/>
      <c r="AY65" s="6"/>
      <c r="AZ65" s="6"/>
      <c r="BA65" s="6"/>
      <c r="BB65" s="6"/>
      <c r="BC65" s="6"/>
      <c r="BD65" s="6"/>
      <c r="BE65" s="6"/>
    </row>
    <row r="66" spans="2:57" x14ac:dyDescent="0.3">
      <c r="B66" s="4" t="s">
        <v>87</v>
      </c>
      <c r="C66" s="4">
        <v>36</v>
      </c>
      <c r="D66" s="4" t="s">
        <v>12</v>
      </c>
      <c r="E66" s="4" t="s">
        <v>15</v>
      </c>
      <c r="F66" s="4" t="s">
        <v>29</v>
      </c>
      <c r="G66" s="18">
        <v>10096</v>
      </c>
      <c r="H66" s="10">
        <v>17</v>
      </c>
      <c r="I66" s="4">
        <v>3</v>
      </c>
      <c r="J66" s="4" t="s">
        <v>14</v>
      </c>
      <c r="K66" s="3" t="s">
        <v>14</v>
      </c>
      <c r="L66" s="3" t="str">
        <f>IF(Table1[[#This Row],[Monthly Income]]&lt;3000,"Low",IF(Table1[[#This Row],[Monthly Income]]&lt;7000,"Medium","High"))</f>
        <v>High</v>
      </c>
      <c r="AK66" s="4"/>
      <c r="AL66" s="4"/>
      <c r="AM66" s="4"/>
      <c r="AN66" s="4"/>
      <c r="AO66" s="4"/>
      <c r="AP66" s="4"/>
      <c r="AQ66" s="4"/>
      <c r="AR66" s="4"/>
      <c r="AS66" s="4"/>
      <c r="AU66" s="4"/>
      <c r="AV66" s="4"/>
      <c r="AW66" s="4"/>
      <c r="AX66" s="4"/>
      <c r="AY66" s="4"/>
      <c r="AZ66" s="4"/>
      <c r="BA66" s="4"/>
      <c r="BB66" s="4"/>
      <c r="BC66" s="4"/>
      <c r="BD66" s="4"/>
      <c r="BE66" s="4"/>
    </row>
    <row r="67" spans="2:57" x14ac:dyDescent="0.3">
      <c r="B67" s="6" t="s">
        <v>88</v>
      </c>
      <c r="C67" s="6">
        <v>55</v>
      </c>
      <c r="D67" s="6" t="s">
        <v>12</v>
      </c>
      <c r="E67" s="6" t="s">
        <v>15</v>
      </c>
      <c r="F67" s="6" t="s">
        <v>39</v>
      </c>
      <c r="G67" s="19">
        <v>14756</v>
      </c>
      <c r="H67" s="11">
        <v>5</v>
      </c>
      <c r="I67" s="6">
        <v>3</v>
      </c>
      <c r="J67" s="6" t="s">
        <v>9</v>
      </c>
      <c r="K67" s="5" t="s">
        <v>14</v>
      </c>
      <c r="L67" s="3" t="str">
        <f>IF(Table1[[#This Row],[Monthly Income]]&lt;3000,"Low",IF(Table1[[#This Row],[Monthly Income]]&lt;7000,"Medium","High"))</f>
        <v>High</v>
      </c>
      <c r="AK67" s="6"/>
      <c r="AL67" s="6"/>
      <c r="AM67" s="6"/>
      <c r="AN67" s="6"/>
      <c r="AO67" s="6"/>
      <c r="AP67" s="6"/>
      <c r="AQ67" s="6"/>
      <c r="AR67" s="6"/>
      <c r="AS67" s="6"/>
      <c r="AU67" s="6"/>
      <c r="AV67" s="6"/>
      <c r="AW67" s="6"/>
      <c r="AX67" s="6"/>
      <c r="AY67" s="6"/>
      <c r="AZ67" s="6"/>
      <c r="BA67" s="6"/>
      <c r="BB67" s="6"/>
      <c r="BC67" s="6"/>
      <c r="BD67" s="6"/>
      <c r="BE67" s="6"/>
    </row>
    <row r="68" spans="2:57" x14ac:dyDescent="0.3">
      <c r="B68" s="4" t="s">
        <v>89</v>
      </c>
      <c r="C68" s="4">
        <v>36</v>
      </c>
      <c r="D68" s="4" t="s">
        <v>17</v>
      </c>
      <c r="E68" s="4" t="s">
        <v>15</v>
      </c>
      <c r="F68" s="4" t="s">
        <v>27</v>
      </c>
      <c r="G68" s="18">
        <v>6499</v>
      </c>
      <c r="H68" s="10">
        <v>6</v>
      </c>
      <c r="I68" s="4">
        <v>2</v>
      </c>
      <c r="J68" s="4" t="s">
        <v>14</v>
      </c>
      <c r="K68" s="3" t="s">
        <v>14</v>
      </c>
      <c r="L68" s="3" t="str">
        <f>IF(Table1[[#This Row],[Monthly Income]]&lt;3000,"Low",IF(Table1[[#This Row],[Monthly Income]]&lt;7000,"Medium","High"))</f>
        <v>Medium</v>
      </c>
      <c r="AK68" s="4"/>
      <c r="AL68" s="4"/>
      <c r="AM68" s="4"/>
      <c r="AN68" s="4"/>
      <c r="AO68" s="4"/>
      <c r="AP68" s="4"/>
      <c r="AQ68" s="4"/>
      <c r="AR68" s="4"/>
      <c r="AS68" s="4"/>
      <c r="AU68" s="4"/>
      <c r="AV68" s="4"/>
      <c r="AW68" s="4"/>
      <c r="AX68" s="4"/>
      <c r="AY68" s="4"/>
      <c r="AZ68" s="4"/>
      <c r="BA68" s="4"/>
      <c r="BB68" s="4"/>
      <c r="BC68" s="4"/>
      <c r="BD68" s="4"/>
      <c r="BE68" s="4"/>
    </row>
    <row r="69" spans="2:57" x14ac:dyDescent="0.3">
      <c r="B69" s="6" t="s">
        <v>90</v>
      </c>
      <c r="C69" s="6">
        <v>45</v>
      </c>
      <c r="D69" s="6" t="s">
        <v>17</v>
      </c>
      <c r="E69" s="6" t="s">
        <v>15</v>
      </c>
      <c r="F69" s="6" t="s">
        <v>18</v>
      </c>
      <c r="G69" s="19">
        <v>9724</v>
      </c>
      <c r="H69" s="11">
        <v>1</v>
      </c>
      <c r="I69" s="6">
        <v>1</v>
      </c>
      <c r="J69" s="6" t="s">
        <v>14</v>
      </c>
      <c r="K69" s="5" t="s">
        <v>14</v>
      </c>
      <c r="L69" s="3" t="str">
        <f>IF(Table1[[#This Row],[Monthly Income]]&lt;3000,"Low",IF(Table1[[#This Row],[Monthly Income]]&lt;7000,"Medium","High"))</f>
        <v>High</v>
      </c>
      <c r="AK69" s="6"/>
      <c r="AL69" s="6"/>
      <c r="AM69" s="6"/>
      <c r="AN69" s="6"/>
      <c r="AO69" s="6"/>
      <c r="AP69" s="6"/>
      <c r="AQ69" s="6"/>
      <c r="AR69" s="6"/>
      <c r="AS69" s="6"/>
      <c r="AU69" s="6"/>
      <c r="AV69" s="6"/>
      <c r="AW69" s="6"/>
      <c r="AX69" s="6"/>
      <c r="AY69" s="6"/>
      <c r="AZ69" s="6"/>
      <c r="BA69" s="6"/>
      <c r="BB69" s="6"/>
      <c r="BC69" s="6"/>
      <c r="BD69" s="6"/>
      <c r="BE69" s="6"/>
    </row>
    <row r="70" spans="2:57" x14ac:dyDescent="0.3">
      <c r="B70" s="4" t="s">
        <v>91</v>
      </c>
      <c r="C70" s="4">
        <v>35</v>
      </c>
      <c r="D70" s="4" t="s">
        <v>17</v>
      </c>
      <c r="E70" s="4" t="s">
        <v>15</v>
      </c>
      <c r="F70" s="4" t="s">
        <v>18</v>
      </c>
      <c r="G70" s="18">
        <v>2194</v>
      </c>
      <c r="H70" s="10">
        <v>3</v>
      </c>
      <c r="I70" s="4">
        <v>1</v>
      </c>
      <c r="J70" s="4" t="s">
        <v>14</v>
      </c>
      <c r="K70" s="3" t="s">
        <v>14</v>
      </c>
      <c r="L70" s="3" t="str">
        <f>IF(Table1[[#This Row],[Monthly Income]]&lt;3000,"Low",IF(Table1[[#This Row],[Monthly Income]]&lt;7000,"Medium","High"))</f>
        <v>Low</v>
      </c>
      <c r="AK70" s="4"/>
      <c r="AL70" s="4"/>
      <c r="AM70" s="4"/>
      <c r="AN70" s="4"/>
      <c r="AO70" s="4"/>
      <c r="AP70" s="4"/>
      <c r="AQ70" s="4"/>
      <c r="AR70" s="4"/>
      <c r="AS70" s="4"/>
      <c r="AU70" s="4"/>
      <c r="AV70" s="4"/>
      <c r="AW70" s="4"/>
      <c r="AX70" s="4"/>
      <c r="AY70" s="4"/>
      <c r="AZ70" s="4"/>
      <c r="BA70" s="4"/>
      <c r="BB70" s="4"/>
      <c r="BC70" s="4"/>
      <c r="BD70" s="4"/>
      <c r="BE70" s="4"/>
    </row>
    <row r="71" spans="2:57" x14ac:dyDescent="0.3">
      <c r="B71" s="6" t="s">
        <v>92</v>
      </c>
      <c r="C71" s="6">
        <v>36</v>
      </c>
      <c r="D71" s="6" t="s">
        <v>17</v>
      </c>
      <c r="E71" s="6" t="s">
        <v>15</v>
      </c>
      <c r="F71" s="6" t="s">
        <v>18</v>
      </c>
      <c r="G71" s="19">
        <v>3388</v>
      </c>
      <c r="H71" s="11">
        <v>1</v>
      </c>
      <c r="I71" s="6">
        <v>3</v>
      </c>
      <c r="J71" s="6" t="s">
        <v>9</v>
      </c>
      <c r="K71" s="5" t="s">
        <v>9</v>
      </c>
      <c r="L71" s="3" t="str">
        <f>IF(Table1[[#This Row],[Monthly Income]]&lt;3000,"Low",IF(Table1[[#This Row],[Monthly Income]]&lt;7000,"Medium","High"))</f>
        <v>Medium</v>
      </c>
      <c r="AK71" s="6"/>
      <c r="AL71" s="6"/>
      <c r="AM71" s="6"/>
      <c r="AN71" s="6"/>
      <c r="AO71" s="6"/>
      <c r="AP71" s="6"/>
      <c r="AQ71" s="6"/>
      <c r="AR71" s="6"/>
      <c r="AS71" s="6"/>
      <c r="AU71" s="6"/>
      <c r="AV71" s="6"/>
      <c r="AW71" s="6"/>
      <c r="AX71" s="6"/>
      <c r="AY71" s="6"/>
      <c r="AZ71" s="6"/>
      <c r="BA71" s="6"/>
      <c r="BB71" s="6"/>
      <c r="BC71" s="6"/>
      <c r="BD71" s="6"/>
      <c r="BE71" s="6"/>
    </row>
    <row r="72" spans="2:57" x14ac:dyDescent="0.3">
      <c r="B72" s="4" t="s">
        <v>93</v>
      </c>
      <c r="C72" s="4">
        <v>59</v>
      </c>
      <c r="D72" s="4" t="s">
        <v>12</v>
      </c>
      <c r="E72" s="4" t="s">
        <v>10</v>
      </c>
      <c r="F72" s="4" t="s">
        <v>13</v>
      </c>
      <c r="G72" s="18">
        <v>5473</v>
      </c>
      <c r="H72" s="10">
        <v>4</v>
      </c>
      <c r="I72" s="4">
        <v>3</v>
      </c>
      <c r="J72" s="4" t="s">
        <v>14</v>
      </c>
      <c r="K72" s="3" t="s">
        <v>14</v>
      </c>
      <c r="L72" s="3" t="str">
        <f>IF(Table1[[#This Row],[Monthly Income]]&lt;3000,"Low",IF(Table1[[#This Row],[Monthly Income]]&lt;7000,"Medium","High"))</f>
        <v>Medium</v>
      </c>
      <c r="AK72" s="4"/>
      <c r="AL72" s="4"/>
      <c r="AM72" s="4"/>
      <c r="AN72" s="4"/>
      <c r="AO72" s="4"/>
      <c r="AP72" s="4"/>
      <c r="AQ72" s="4"/>
      <c r="AR72" s="4"/>
      <c r="AS72" s="4"/>
      <c r="AU72" s="4"/>
      <c r="AV72" s="4"/>
      <c r="AW72" s="4"/>
      <c r="AX72" s="4"/>
      <c r="AY72" s="4"/>
      <c r="AZ72" s="4"/>
      <c r="BA72" s="4"/>
      <c r="BB72" s="4"/>
      <c r="BC72" s="4"/>
      <c r="BD72" s="4"/>
      <c r="BE72" s="4"/>
    </row>
    <row r="73" spans="2:57" x14ac:dyDescent="0.3">
      <c r="B73" s="6" t="s">
        <v>94</v>
      </c>
      <c r="C73" s="6">
        <v>29</v>
      </c>
      <c r="D73" s="6" t="s">
        <v>17</v>
      </c>
      <c r="E73" s="6" t="s">
        <v>15</v>
      </c>
      <c r="F73" s="6" t="s">
        <v>18</v>
      </c>
      <c r="G73" s="19">
        <v>2703</v>
      </c>
      <c r="H73" s="11">
        <v>5</v>
      </c>
      <c r="I73" s="6">
        <v>2</v>
      </c>
      <c r="J73" s="6" t="s">
        <v>14</v>
      </c>
      <c r="K73" s="5" t="s">
        <v>14</v>
      </c>
      <c r="L73" s="3" t="str">
        <f>IF(Table1[[#This Row],[Monthly Income]]&lt;3000,"Low",IF(Table1[[#This Row],[Monthly Income]]&lt;7000,"Medium","High"))</f>
        <v>Low</v>
      </c>
      <c r="AK73" s="6"/>
      <c r="AL73" s="6"/>
      <c r="AM73" s="6"/>
      <c r="AN73" s="6"/>
      <c r="AO73" s="6"/>
      <c r="AP73" s="6"/>
      <c r="AQ73" s="6"/>
      <c r="AR73" s="6"/>
      <c r="AS73" s="6"/>
      <c r="AU73" s="6"/>
      <c r="AV73" s="6"/>
      <c r="AW73" s="6"/>
      <c r="AX73" s="6"/>
      <c r="AY73" s="6"/>
      <c r="AZ73" s="6"/>
      <c r="BA73" s="6"/>
      <c r="BB73" s="6"/>
      <c r="BC73" s="6"/>
      <c r="BD73" s="6"/>
      <c r="BE73" s="6"/>
    </row>
    <row r="74" spans="2:57" x14ac:dyDescent="0.3">
      <c r="B74" s="4" t="s">
        <v>95</v>
      </c>
      <c r="C74" s="4">
        <v>31</v>
      </c>
      <c r="D74" s="4" t="s">
        <v>17</v>
      </c>
      <c r="E74" s="4" t="s">
        <v>15</v>
      </c>
      <c r="F74" s="4" t="s">
        <v>18</v>
      </c>
      <c r="G74" s="18">
        <v>2501</v>
      </c>
      <c r="H74" s="10">
        <v>1</v>
      </c>
      <c r="I74" s="4">
        <v>2</v>
      </c>
      <c r="J74" s="4" t="s">
        <v>14</v>
      </c>
      <c r="K74" s="3" t="s">
        <v>14</v>
      </c>
      <c r="L74" s="3" t="str">
        <f>IF(Table1[[#This Row],[Monthly Income]]&lt;3000,"Low",IF(Table1[[#This Row],[Monthly Income]]&lt;7000,"Medium","High"))</f>
        <v>Low</v>
      </c>
      <c r="AK74" s="4"/>
      <c r="AL74" s="4"/>
      <c r="AM74" s="4"/>
      <c r="AN74" s="4"/>
      <c r="AO74" s="4"/>
      <c r="AP74" s="4"/>
      <c r="AQ74" s="4"/>
      <c r="AR74" s="4"/>
      <c r="AS74" s="4"/>
      <c r="AU74" s="4"/>
      <c r="AV74" s="4"/>
      <c r="AW74" s="4"/>
      <c r="AX74" s="4"/>
      <c r="AY74" s="4"/>
      <c r="AZ74" s="4"/>
      <c r="BA74" s="4"/>
      <c r="BB74" s="4"/>
      <c r="BC74" s="4"/>
      <c r="BD74" s="4"/>
      <c r="BE74" s="4"/>
    </row>
    <row r="75" spans="2:57" x14ac:dyDescent="0.3">
      <c r="B75" s="6" t="s">
        <v>96</v>
      </c>
      <c r="C75" s="6">
        <v>32</v>
      </c>
      <c r="D75" s="6" t="s">
        <v>17</v>
      </c>
      <c r="E75" s="6" t="s">
        <v>15</v>
      </c>
      <c r="F75" s="6" t="s">
        <v>18</v>
      </c>
      <c r="G75" s="19">
        <v>6220</v>
      </c>
      <c r="H75" s="11">
        <v>10</v>
      </c>
      <c r="I75" s="6">
        <v>2</v>
      </c>
      <c r="J75" s="6" t="s">
        <v>14</v>
      </c>
      <c r="K75" s="5" t="s">
        <v>14</v>
      </c>
      <c r="L75" s="3" t="str">
        <f>IF(Table1[[#This Row],[Monthly Income]]&lt;3000,"Low",IF(Table1[[#This Row],[Monthly Income]]&lt;7000,"Medium","High"))</f>
        <v>Medium</v>
      </c>
      <c r="AK75" s="6"/>
      <c r="AL75" s="6"/>
      <c r="AM75" s="6"/>
      <c r="AN75" s="6"/>
      <c r="AO75" s="6"/>
      <c r="AP75" s="6"/>
      <c r="AQ75" s="6"/>
      <c r="AR75" s="6"/>
      <c r="AS75" s="6"/>
      <c r="AU75" s="6"/>
      <c r="AV75" s="6"/>
      <c r="AW75" s="6"/>
      <c r="AX75" s="6"/>
      <c r="AY75" s="6"/>
      <c r="AZ75" s="6"/>
      <c r="BA75" s="6"/>
      <c r="BB75" s="6"/>
      <c r="BC75" s="6"/>
      <c r="BD75" s="6"/>
      <c r="BE75" s="6"/>
    </row>
    <row r="76" spans="2:57" x14ac:dyDescent="0.3">
      <c r="B76" s="4" t="s">
        <v>97</v>
      </c>
      <c r="C76" s="4">
        <v>36</v>
      </c>
      <c r="D76" s="4" t="s">
        <v>12</v>
      </c>
      <c r="E76" s="4" t="s">
        <v>15</v>
      </c>
      <c r="F76" s="4" t="s">
        <v>20</v>
      </c>
      <c r="G76" s="18">
        <v>3038</v>
      </c>
      <c r="H76" s="10">
        <v>1</v>
      </c>
      <c r="I76" s="4">
        <v>4</v>
      </c>
      <c r="J76" s="4" t="s">
        <v>14</v>
      </c>
      <c r="K76" s="3" t="s">
        <v>14</v>
      </c>
      <c r="L76" s="3" t="str">
        <f>IF(Table1[[#This Row],[Monthly Income]]&lt;3000,"Low",IF(Table1[[#This Row],[Monthly Income]]&lt;7000,"Medium","High"))</f>
        <v>Medium</v>
      </c>
      <c r="AK76" s="4"/>
      <c r="AL76" s="4"/>
      <c r="AM76" s="4"/>
      <c r="AN76" s="4"/>
      <c r="AO76" s="4"/>
      <c r="AP76" s="4"/>
      <c r="AQ76" s="4"/>
      <c r="AR76" s="4"/>
      <c r="AS76" s="4"/>
      <c r="AU76" s="4"/>
      <c r="AV76" s="4"/>
      <c r="AW76" s="4"/>
      <c r="AX76" s="4"/>
      <c r="AY76" s="4"/>
      <c r="AZ76" s="4"/>
      <c r="BA76" s="4"/>
      <c r="BB76" s="4"/>
      <c r="BC76" s="4"/>
      <c r="BD76" s="4"/>
      <c r="BE76" s="4"/>
    </row>
    <row r="77" spans="2:57" x14ac:dyDescent="0.3">
      <c r="B77" s="6" t="s">
        <v>98</v>
      </c>
      <c r="C77" s="6">
        <v>31</v>
      </c>
      <c r="D77" s="6" t="s">
        <v>12</v>
      </c>
      <c r="E77" s="6" t="s">
        <v>15</v>
      </c>
      <c r="F77" s="6" t="s">
        <v>27</v>
      </c>
      <c r="G77" s="19">
        <v>4424</v>
      </c>
      <c r="H77" s="11">
        <v>11</v>
      </c>
      <c r="I77" s="6">
        <v>4</v>
      </c>
      <c r="J77" s="6" t="s">
        <v>14</v>
      </c>
      <c r="K77" s="5" t="s">
        <v>14</v>
      </c>
      <c r="L77" s="3" t="str">
        <f>IF(Table1[[#This Row],[Monthly Income]]&lt;3000,"Low",IF(Table1[[#This Row],[Monthly Income]]&lt;7000,"Medium","High"))</f>
        <v>Medium</v>
      </c>
      <c r="AK77" s="6"/>
      <c r="AL77" s="6"/>
      <c r="AM77" s="6"/>
      <c r="AN77" s="6"/>
      <c r="AO77" s="6"/>
      <c r="AP77" s="6"/>
      <c r="AQ77" s="6"/>
      <c r="AR77" s="6"/>
      <c r="AS77" s="6"/>
      <c r="AU77" s="6"/>
      <c r="AV77" s="6"/>
      <c r="AW77" s="6"/>
      <c r="AX77" s="6"/>
      <c r="AY77" s="6"/>
      <c r="AZ77" s="6"/>
      <c r="BA77" s="6"/>
      <c r="BB77" s="6"/>
      <c r="BC77" s="6"/>
      <c r="BD77" s="6"/>
      <c r="BE77" s="6"/>
    </row>
    <row r="78" spans="2:57" x14ac:dyDescent="0.3">
      <c r="B78" s="4" t="s">
        <v>99</v>
      </c>
      <c r="C78" s="4">
        <v>35</v>
      </c>
      <c r="D78" s="4" t="s">
        <v>17</v>
      </c>
      <c r="E78" s="4" t="s">
        <v>10</v>
      </c>
      <c r="F78" s="4" t="s">
        <v>13</v>
      </c>
      <c r="G78" s="18">
        <v>4312</v>
      </c>
      <c r="H78" s="10">
        <v>15</v>
      </c>
      <c r="I78" s="4">
        <v>1</v>
      </c>
      <c r="J78" s="4" t="s">
        <v>14</v>
      </c>
      <c r="K78" s="3" t="s">
        <v>14</v>
      </c>
      <c r="L78" s="3" t="str">
        <f>IF(Table1[[#This Row],[Monthly Income]]&lt;3000,"Low",IF(Table1[[#This Row],[Monthly Income]]&lt;7000,"Medium","High"))</f>
        <v>Medium</v>
      </c>
      <c r="AK78" s="4"/>
      <c r="AL78" s="4"/>
      <c r="AM78" s="4"/>
      <c r="AN78" s="4"/>
      <c r="AO78" s="4"/>
      <c r="AP78" s="4"/>
      <c r="AQ78" s="4"/>
      <c r="AR78" s="4"/>
      <c r="AS78" s="4"/>
      <c r="AU78" s="4"/>
      <c r="AV78" s="4"/>
      <c r="AW78" s="4"/>
      <c r="AX78" s="4"/>
      <c r="AY78" s="4"/>
      <c r="AZ78" s="4"/>
      <c r="BA78" s="4"/>
      <c r="BB78" s="4"/>
      <c r="BC78" s="4"/>
      <c r="BD78" s="4"/>
      <c r="BE78" s="4"/>
    </row>
    <row r="79" spans="2:57" x14ac:dyDescent="0.3">
      <c r="B79" s="6" t="s">
        <v>100</v>
      </c>
      <c r="C79" s="6">
        <v>45</v>
      </c>
      <c r="D79" s="6" t="s">
        <v>17</v>
      </c>
      <c r="E79" s="6" t="s">
        <v>15</v>
      </c>
      <c r="F79" s="6" t="s">
        <v>45</v>
      </c>
      <c r="G79" s="19">
        <v>13245</v>
      </c>
      <c r="H79" s="11">
        <v>0</v>
      </c>
      <c r="I79" s="6">
        <v>1</v>
      </c>
      <c r="J79" s="6" t="s">
        <v>9</v>
      </c>
      <c r="K79" s="5" t="s">
        <v>14</v>
      </c>
      <c r="L79" s="3" t="str">
        <f>IF(Table1[[#This Row],[Monthly Income]]&lt;3000,"Low",IF(Table1[[#This Row],[Monthly Income]]&lt;7000,"Medium","High"))</f>
        <v>High</v>
      </c>
      <c r="AK79" s="6"/>
      <c r="AL79" s="6"/>
      <c r="AM79" s="6"/>
      <c r="AN79" s="6"/>
      <c r="AO79" s="6"/>
      <c r="AP79" s="6"/>
      <c r="AQ79" s="6"/>
      <c r="AR79" s="6"/>
      <c r="AS79" s="6"/>
      <c r="AU79" s="6"/>
      <c r="AV79" s="6"/>
      <c r="AW79" s="6"/>
      <c r="AX79" s="6"/>
      <c r="AY79" s="6"/>
      <c r="AZ79" s="6"/>
      <c r="BA79" s="6"/>
      <c r="BB79" s="6"/>
      <c r="BC79" s="6"/>
      <c r="BD79" s="6"/>
      <c r="BE79" s="6"/>
    </row>
    <row r="80" spans="2:57" x14ac:dyDescent="0.3">
      <c r="B80" s="4" t="s">
        <v>101</v>
      </c>
      <c r="C80" s="4">
        <v>37</v>
      </c>
      <c r="D80" s="4" t="s">
        <v>17</v>
      </c>
      <c r="E80" s="4" t="s">
        <v>15</v>
      </c>
      <c r="F80" s="4" t="s">
        <v>45</v>
      </c>
      <c r="G80" s="18">
        <v>13664</v>
      </c>
      <c r="H80" s="10">
        <v>5</v>
      </c>
      <c r="I80" s="4">
        <v>3</v>
      </c>
      <c r="J80" s="4" t="s">
        <v>14</v>
      </c>
      <c r="K80" s="3" t="s">
        <v>14</v>
      </c>
      <c r="L80" s="3" t="str">
        <f>IF(Table1[[#This Row],[Monthly Income]]&lt;3000,"Low",IF(Table1[[#This Row],[Monthly Income]]&lt;7000,"Medium","High"))</f>
        <v>High</v>
      </c>
      <c r="AK80" s="4"/>
      <c r="AL80" s="4"/>
      <c r="AM80" s="4"/>
      <c r="AN80" s="4"/>
      <c r="AO80" s="4"/>
      <c r="AP80" s="4"/>
      <c r="AQ80" s="4"/>
      <c r="AR80" s="4"/>
      <c r="AS80" s="4"/>
      <c r="AU80" s="4"/>
      <c r="AV80" s="4"/>
      <c r="AW80" s="4"/>
      <c r="AX80" s="4"/>
      <c r="AY80" s="4"/>
      <c r="AZ80" s="4"/>
      <c r="BA80" s="4"/>
      <c r="BB80" s="4"/>
      <c r="BC80" s="4"/>
      <c r="BD80" s="4"/>
      <c r="BE80" s="4"/>
    </row>
    <row r="81" spans="2:57" x14ac:dyDescent="0.3">
      <c r="B81" s="6" t="s">
        <v>103</v>
      </c>
      <c r="C81" s="6">
        <v>46</v>
      </c>
      <c r="D81" s="6" t="s">
        <v>17</v>
      </c>
      <c r="E81" s="6" t="s">
        <v>102</v>
      </c>
      <c r="F81" s="6" t="s">
        <v>104</v>
      </c>
      <c r="G81" s="19">
        <v>5021</v>
      </c>
      <c r="H81" s="11">
        <v>4</v>
      </c>
      <c r="I81" s="6">
        <v>2</v>
      </c>
      <c r="J81" s="6" t="s">
        <v>9</v>
      </c>
      <c r="K81" s="5" t="s">
        <v>14</v>
      </c>
      <c r="L81" s="3" t="str">
        <f>IF(Table1[[#This Row],[Monthly Income]]&lt;3000,"Low",IF(Table1[[#This Row],[Monthly Income]]&lt;7000,"Medium","High"))</f>
        <v>Medium</v>
      </c>
      <c r="AK81" s="6"/>
      <c r="AL81" s="6"/>
      <c r="AM81" s="6"/>
      <c r="AN81" s="6"/>
      <c r="AO81" s="6"/>
      <c r="AP81" s="6"/>
      <c r="AQ81" s="6"/>
      <c r="AR81" s="6"/>
      <c r="AS81" s="6"/>
      <c r="AU81" s="6"/>
      <c r="AV81" s="6"/>
      <c r="AW81" s="6"/>
      <c r="AX81" s="6"/>
      <c r="AY81" s="6"/>
      <c r="AZ81" s="6"/>
      <c r="BA81" s="6"/>
      <c r="BB81" s="6"/>
      <c r="BC81" s="6"/>
      <c r="BD81" s="6"/>
      <c r="BE81" s="6"/>
    </row>
    <row r="82" spans="2:57" x14ac:dyDescent="0.3">
      <c r="B82" s="4" t="s">
        <v>105</v>
      </c>
      <c r="C82" s="4">
        <v>30</v>
      </c>
      <c r="D82" s="4" t="s">
        <v>17</v>
      </c>
      <c r="E82" s="4" t="s">
        <v>15</v>
      </c>
      <c r="F82" s="4" t="s">
        <v>20</v>
      </c>
      <c r="G82" s="18">
        <v>5126</v>
      </c>
      <c r="H82" s="10">
        <v>10</v>
      </c>
      <c r="I82" s="4">
        <v>4</v>
      </c>
      <c r="J82" s="4" t="s">
        <v>9</v>
      </c>
      <c r="K82" s="3" t="s">
        <v>14</v>
      </c>
      <c r="L82" s="3" t="str">
        <f>IF(Table1[[#This Row],[Monthly Income]]&lt;3000,"Low",IF(Table1[[#This Row],[Monthly Income]]&lt;7000,"Medium","High"))</f>
        <v>Medium</v>
      </c>
      <c r="AK82" s="4"/>
      <c r="AL82" s="4"/>
      <c r="AM82" s="4"/>
      <c r="AN82" s="4"/>
      <c r="AO82" s="4"/>
      <c r="AP82" s="4"/>
      <c r="AQ82" s="4"/>
      <c r="AR82" s="4"/>
      <c r="AS82" s="4"/>
      <c r="AU82" s="4"/>
      <c r="AV82" s="4"/>
      <c r="AW82" s="4"/>
      <c r="AX82" s="4"/>
      <c r="AY82" s="4"/>
      <c r="AZ82" s="4"/>
      <c r="BA82" s="4"/>
      <c r="BB82" s="4"/>
      <c r="BC82" s="4"/>
      <c r="BD82" s="4"/>
      <c r="BE82" s="4"/>
    </row>
    <row r="83" spans="2:57" x14ac:dyDescent="0.3">
      <c r="B83" s="6" t="s">
        <v>106</v>
      </c>
      <c r="C83" s="6">
        <v>35</v>
      </c>
      <c r="D83" s="6" t="s">
        <v>17</v>
      </c>
      <c r="E83" s="6" t="s">
        <v>15</v>
      </c>
      <c r="F83" s="6" t="s">
        <v>18</v>
      </c>
      <c r="G83" s="19">
        <v>2859</v>
      </c>
      <c r="H83" s="11">
        <v>6</v>
      </c>
      <c r="I83" s="6">
        <v>3</v>
      </c>
      <c r="J83" s="6" t="s">
        <v>14</v>
      </c>
      <c r="K83" s="5" t="s">
        <v>14</v>
      </c>
      <c r="L83" s="3" t="str">
        <f>IF(Table1[[#This Row],[Monthly Income]]&lt;3000,"Low",IF(Table1[[#This Row],[Monthly Income]]&lt;7000,"Medium","High"))</f>
        <v>Low</v>
      </c>
      <c r="AK83" s="6"/>
      <c r="AL83" s="6"/>
      <c r="AM83" s="6"/>
      <c r="AN83" s="6"/>
      <c r="AO83" s="6"/>
      <c r="AP83" s="6"/>
      <c r="AQ83" s="6"/>
      <c r="AR83" s="6"/>
      <c r="AS83" s="6"/>
      <c r="AU83" s="6"/>
      <c r="AV83" s="6"/>
      <c r="AW83" s="6"/>
      <c r="AX83" s="6"/>
      <c r="AY83" s="6"/>
      <c r="AZ83" s="6"/>
      <c r="BA83" s="6"/>
      <c r="BB83" s="6"/>
      <c r="BC83" s="6"/>
      <c r="BD83" s="6"/>
      <c r="BE83" s="6"/>
    </row>
    <row r="84" spans="2:57" x14ac:dyDescent="0.3">
      <c r="B84" s="4" t="s">
        <v>107</v>
      </c>
      <c r="C84" s="4">
        <v>55</v>
      </c>
      <c r="D84" s="4" t="s">
        <v>17</v>
      </c>
      <c r="E84" s="4" t="s">
        <v>10</v>
      </c>
      <c r="F84" s="4" t="s">
        <v>13</v>
      </c>
      <c r="G84" s="18">
        <v>10239</v>
      </c>
      <c r="H84" s="10">
        <v>1</v>
      </c>
      <c r="I84" s="4">
        <v>4</v>
      </c>
      <c r="J84" s="4" t="s">
        <v>14</v>
      </c>
      <c r="K84" s="3" t="s">
        <v>14</v>
      </c>
      <c r="L84" s="3" t="str">
        <f>IF(Table1[[#This Row],[Monthly Income]]&lt;3000,"Low",IF(Table1[[#This Row],[Monthly Income]]&lt;7000,"Medium","High"))</f>
        <v>High</v>
      </c>
      <c r="AK84" s="4"/>
      <c r="AL84" s="4"/>
      <c r="AM84" s="4"/>
      <c r="AN84" s="4"/>
      <c r="AO84" s="4"/>
      <c r="AP84" s="4"/>
      <c r="AQ84" s="4"/>
      <c r="AR84" s="4"/>
      <c r="AS84" s="4"/>
      <c r="AU84" s="4"/>
      <c r="AV84" s="4"/>
      <c r="AW84" s="4"/>
      <c r="AX84" s="4"/>
      <c r="AY84" s="4"/>
      <c r="AZ84" s="4"/>
      <c r="BA84" s="4"/>
      <c r="BB84" s="4"/>
      <c r="BC84" s="4"/>
      <c r="BD84" s="4"/>
      <c r="BE84" s="4"/>
    </row>
    <row r="85" spans="2:57" x14ac:dyDescent="0.3">
      <c r="B85" s="6" t="s">
        <v>108</v>
      </c>
      <c r="C85" s="6">
        <v>38</v>
      </c>
      <c r="D85" s="6" t="s">
        <v>12</v>
      </c>
      <c r="E85" s="6" t="s">
        <v>15</v>
      </c>
      <c r="F85" s="6" t="s">
        <v>18</v>
      </c>
      <c r="G85" s="19">
        <v>5329</v>
      </c>
      <c r="H85" s="11">
        <v>13</v>
      </c>
      <c r="I85" s="6">
        <v>4</v>
      </c>
      <c r="J85" s="6" t="s">
        <v>9</v>
      </c>
      <c r="K85" s="5" t="s">
        <v>14</v>
      </c>
      <c r="L85" s="3" t="str">
        <f>IF(Table1[[#This Row],[Monthly Income]]&lt;3000,"Low",IF(Table1[[#This Row],[Monthly Income]]&lt;7000,"Medium","High"))</f>
        <v>Medium</v>
      </c>
      <c r="AK85" s="6"/>
      <c r="AL85" s="6"/>
      <c r="AM85" s="6"/>
      <c r="AN85" s="6"/>
      <c r="AO85" s="6"/>
      <c r="AP85" s="6"/>
      <c r="AQ85" s="6"/>
      <c r="AR85" s="6"/>
      <c r="AS85" s="6"/>
      <c r="AU85" s="6"/>
      <c r="AV85" s="6"/>
      <c r="AW85" s="6"/>
      <c r="AX85" s="6"/>
      <c r="AY85" s="6"/>
      <c r="AZ85" s="6"/>
      <c r="BA85" s="6"/>
      <c r="BB85" s="6"/>
      <c r="BC85" s="6"/>
      <c r="BD85" s="6"/>
      <c r="BE85" s="6"/>
    </row>
    <row r="86" spans="2:57" x14ac:dyDescent="0.3">
      <c r="B86" s="4" t="s">
        <v>109</v>
      </c>
      <c r="C86" s="4">
        <v>34</v>
      </c>
      <c r="D86" s="4" t="s">
        <v>17</v>
      </c>
      <c r="E86" s="4" t="s">
        <v>15</v>
      </c>
      <c r="F86" s="4" t="s">
        <v>27</v>
      </c>
      <c r="G86" s="18">
        <v>4325</v>
      </c>
      <c r="H86" s="10">
        <v>5</v>
      </c>
      <c r="I86" s="4">
        <v>2</v>
      </c>
      <c r="J86" s="4" t="s">
        <v>14</v>
      </c>
      <c r="K86" s="3" t="s">
        <v>14</v>
      </c>
      <c r="L86" s="3" t="str">
        <f>IF(Table1[[#This Row],[Monthly Income]]&lt;3000,"Low",IF(Table1[[#This Row],[Monthly Income]]&lt;7000,"Medium","High"))</f>
        <v>Medium</v>
      </c>
      <c r="AK86" s="4"/>
      <c r="AL86" s="4"/>
      <c r="AM86" s="4"/>
      <c r="AN86" s="4"/>
      <c r="AO86" s="4"/>
      <c r="AP86" s="4"/>
      <c r="AQ86" s="4"/>
      <c r="AR86" s="4"/>
      <c r="AS86" s="4"/>
      <c r="AU86" s="4"/>
      <c r="AV86" s="4"/>
      <c r="AW86" s="4"/>
      <c r="AX86" s="4"/>
      <c r="AY86" s="4"/>
      <c r="AZ86" s="4"/>
      <c r="BA86" s="4"/>
      <c r="BB86" s="4"/>
      <c r="BC86" s="4"/>
      <c r="BD86" s="4"/>
      <c r="BE86" s="4"/>
    </row>
    <row r="87" spans="2:57" x14ac:dyDescent="0.3">
      <c r="B87" s="6" t="s">
        <v>110</v>
      </c>
      <c r="C87" s="6">
        <v>56</v>
      </c>
      <c r="D87" s="6" t="s">
        <v>17</v>
      </c>
      <c r="E87" s="6" t="s">
        <v>15</v>
      </c>
      <c r="F87" s="6" t="s">
        <v>27</v>
      </c>
      <c r="G87" s="19">
        <v>7260</v>
      </c>
      <c r="H87" s="11">
        <v>6</v>
      </c>
      <c r="I87" s="6">
        <v>4</v>
      </c>
      <c r="J87" s="6" t="s">
        <v>14</v>
      </c>
      <c r="K87" s="5" t="s">
        <v>14</v>
      </c>
      <c r="L87" s="3" t="str">
        <f>IF(Table1[[#This Row],[Monthly Income]]&lt;3000,"Low",IF(Table1[[#This Row],[Monthly Income]]&lt;7000,"Medium","High"))</f>
        <v>High</v>
      </c>
      <c r="AK87" s="6"/>
      <c r="AL87" s="6"/>
      <c r="AM87" s="6"/>
      <c r="AN87" s="6"/>
      <c r="AO87" s="6"/>
      <c r="AP87" s="6"/>
      <c r="AQ87" s="6"/>
      <c r="AR87" s="6"/>
      <c r="AS87" s="6"/>
      <c r="AU87" s="6"/>
      <c r="AV87" s="6"/>
      <c r="AW87" s="6"/>
      <c r="AX87" s="6"/>
      <c r="AY87" s="6"/>
      <c r="AZ87" s="6"/>
      <c r="BA87" s="6"/>
      <c r="BB87" s="6"/>
      <c r="BC87" s="6"/>
      <c r="BD87" s="6"/>
      <c r="BE87" s="6"/>
    </row>
    <row r="88" spans="2:57" x14ac:dyDescent="0.3">
      <c r="B88" s="4" t="s">
        <v>111</v>
      </c>
      <c r="C88" s="4">
        <v>23</v>
      </c>
      <c r="D88" s="4" t="s">
        <v>17</v>
      </c>
      <c r="E88" s="4" t="s">
        <v>10</v>
      </c>
      <c r="F88" s="4" t="s">
        <v>43</v>
      </c>
      <c r="G88" s="18">
        <v>2322</v>
      </c>
      <c r="H88" s="10">
        <v>0</v>
      </c>
      <c r="I88" s="4">
        <v>1</v>
      </c>
      <c r="J88" s="4" t="s">
        <v>14</v>
      </c>
      <c r="K88" s="3" t="s">
        <v>14</v>
      </c>
      <c r="L88" s="3" t="str">
        <f>IF(Table1[[#This Row],[Monthly Income]]&lt;3000,"Low",IF(Table1[[#This Row],[Monthly Income]]&lt;7000,"Medium","High"))</f>
        <v>Low</v>
      </c>
      <c r="AK88" s="4"/>
      <c r="AL88" s="4"/>
      <c r="AM88" s="4"/>
      <c r="AN88" s="4"/>
      <c r="AO88" s="4"/>
      <c r="AP88" s="4"/>
      <c r="AQ88" s="4"/>
      <c r="AR88" s="4"/>
      <c r="AS88" s="4"/>
      <c r="AU88" s="4"/>
      <c r="AV88" s="4"/>
      <c r="AW88" s="4"/>
      <c r="AX88" s="4"/>
      <c r="AY88" s="4"/>
      <c r="AZ88" s="4"/>
      <c r="BA88" s="4"/>
      <c r="BB88" s="4"/>
      <c r="BC88" s="4"/>
      <c r="BD88" s="4"/>
      <c r="BE88" s="4"/>
    </row>
    <row r="89" spans="2:57" x14ac:dyDescent="0.3">
      <c r="B89" s="6" t="s">
        <v>112</v>
      </c>
      <c r="C89" s="6">
        <v>51</v>
      </c>
      <c r="D89" s="6" t="s">
        <v>17</v>
      </c>
      <c r="E89" s="6" t="s">
        <v>15</v>
      </c>
      <c r="F89" s="6" t="s">
        <v>20</v>
      </c>
      <c r="G89" s="19">
        <v>2075</v>
      </c>
      <c r="H89" s="11">
        <v>4</v>
      </c>
      <c r="I89" s="6">
        <v>4</v>
      </c>
      <c r="J89" s="6" t="s">
        <v>14</v>
      </c>
      <c r="K89" s="5" t="s">
        <v>14</v>
      </c>
      <c r="L89" s="3" t="str">
        <f>IF(Table1[[#This Row],[Monthly Income]]&lt;3000,"Low",IF(Table1[[#This Row],[Monthly Income]]&lt;7000,"Medium","High"))</f>
        <v>Low</v>
      </c>
      <c r="AK89" s="6"/>
      <c r="AL89" s="6"/>
      <c r="AM89" s="6"/>
      <c r="AN89" s="6"/>
      <c r="AO89" s="6"/>
      <c r="AP89" s="6"/>
      <c r="AQ89" s="6"/>
      <c r="AR89" s="6"/>
      <c r="AS89" s="6"/>
      <c r="AU89" s="6"/>
      <c r="AV89" s="6"/>
      <c r="AW89" s="6"/>
      <c r="AX89" s="6"/>
      <c r="AY89" s="6"/>
      <c r="AZ89" s="6"/>
      <c r="BA89" s="6"/>
      <c r="BB89" s="6"/>
      <c r="BC89" s="6"/>
      <c r="BD89" s="6"/>
      <c r="BE89" s="6"/>
    </row>
    <row r="90" spans="2:57" x14ac:dyDescent="0.3">
      <c r="B90" s="4" t="s">
        <v>113</v>
      </c>
      <c r="C90" s="4">
        <v>30</v>
      </c>
      <c r="D90" s="4" t="s">
        <v>17</v>
      </c>
      <c r="E90" s="4" t="s">
        <v>15</v>
      </c>
      <c r="F90" s="4" t="s">
        <v>29</v>
      </c>
      <c r="G90" s="18">
        <v>4152</v>
      </c>
      <c r="H90" s="10">
        <v>11</v>
      </c>
      <c r="I90" s="4">
        <v>4</v>
      </c>
      <c r="J90" s="4" t="s">
        <v>14</v>
      </c>
      <c r="K90" s="3" t="s">
        <v>14</v>
      </c>
      <c r="L90" s="3" t="str">
        <f>IF(Table1[[#This Row],[Monthly Income]]&lt;3000,"Low",IF(Table1[[#This Row],[Monthly Income]]&lt;7000,"Medium","High"))</f>
        <v>Medium</v>
      </c>
      <c r="AK90" s="4"/>
      <c r="AL90" s="4"/>
      <c r="AM90" s="4"/>
      <c r="AN90" s="4"/>
      <c r="AO90" s="4"/>
      <c r="AP90" s="4"/>
      <c r="AQ90" s="4"/>
      <c r="AR90" s="4"/>
      <c r="AS90" s="4"/>
      <c r="AU90" s="4"/>
      <c r="AV90" s="4"/>
      <c r="AW90" s="4"/>
      <c r="AX90" s="4"/>
      <c r="AY90" s="4"/>
      <c r="AZ90" s="4"/>
      <c r="BA90" s="4"/>
      <c r="BB90" s="4"/>
      <c r="BC90" s="4"/>
      <c r="BD90" s="4"/>
      <c r="BE90" s="4"/>
    </row>
    <row r="91" spans="2:57" x14ac:dyDescent="0.3">
      <c r="B91" s="6" t="s">
        <v>114</v>
      </c>
      <c r="C91" s="6">
        <v>46</v>
      </c>
      <c r="D91" s="6" t="s">
        <v>17</v>
      </c>
      <c r="E91" s="6" t="s">
        <v>10</v>
      </c>
      <c r="F91" s="6" t="s">
        <v>13</v>
      </c>
      <c r="G91" s="19">
        <v>9619</v>
      </c>
      <c r="H91" s="11">
        <v>9</v>
      </c>
      <c r="I91" s="6">
        <v>4</v>
      </c>
      <c r="J91" s="6" t="s">
        <v>14</v>
      </c>
      <c r="K91" s="5" t="s">
        <v>9</v>
      </c>
      <c r="L91" s="3" t="str">
        <f>IF(Table1[[#This Row],[Monthly Income]]&lt;3000,"Low",IF(Table1[[#This Row],[Monthly Income]]&lt;7000,"Medium","High"))</f>
        <v>High</v>
      </c>
      <c r="AK91" s="6"/>
      <c r="AL91" s="6"/>
      <c r="AM91" s="6"/>
      <c r="AN91" s="6"/>
      <c r="AO91" s="6"/>
      <c r="AP91" s="6"/>
      <c r="AQ91" s="6"/>
      <c r="AR91" s="6"/>
      <c r="AS91" s="6"/>
      <c r="AU91" s="6"/>
      <c r="AV91" s="6"/>
      <c r="AW91" s="6"/>
      <c r="AX91" s="6"/>
      <c r="AY91" s="6"/>
      <c r="AZ91" s="6"/>
      <c r="BA91" s="6"/>
      <c r="BB91" s="6"/>
      <c r="BC91" s="6"/>
      <c r="BD91" s="6"/>
      <c r="BE91" s="6"/>
    </row>
    <row r="92" spans="2:57" x14ac:dyDescent="0.3">
      <c r="B92" s="4" t="s">
        <v>115</v>
      </c>
      <c r="C92" s="4">
        <v>40</v>
      </c>
      <c r="D92" s="4" t="s">
        <v>17</v>
      </c>
      <c r="E92" s="4" t="s">
        <v>15</v>
      </c>
      <c r="F92" s="4" t="s">
        <v>29</v>
      </c>
      <c r="G92" s="18">
        <v>13503</v>
      </c>
      <c r="H92" s="10">
        <v>22</v>
      </c>
      <c r="I92" s="4">
        <v>2</v>
      </c>
      <c r="J92" s="4" t="s">
        <v>14</v>
      </c>
      <c r="K92" s="3" t="s">
        <v>14</v>
      </c>
      <c r="L92" s="3" t="str">
        <f>IF(Table1[[#This Row],[Monthly Income]]&lt;3000,"Low",IF(Table1[[#This Row],[Monthly Income]]&lt;7000,"Medium","High"))</f>
        <v>High</v>
      </c>
      <c r="AK92" s="4"/>
      <c r="AL92" s="4"/>
      <c r="AM92" s="4"/>
      <c r="AN92" s="4"/>
      <c r="AO92" s="4"/>
      <c r="AP92" s="4"/>
      <c r="AQ92" s="4"/>
      <c r="AR92" s="4"/>
      <c r="AS92" s="4"/>
      <c r="AU92" s="4"/>
      <c r="AV92" s="4"/>
      <c r="AW92" s="4"/>
      <c r="AX92" s="4"/>
      <c r="AY92" s="4"/>
      <c r="AZ92" s="4"/>
      <c r="BA92" s="4"/>
      <c r="BB92" s="4"/>
      <c r="BC92" s="4"/>
      <c r="BD92" s="4"/>
      <c r="BE92" s="4"/>
    </row>
    <row r="93" spans="2:57" x14ac:dyDescent="0.3">
      <c r="B93" s="6" t="s">
        <v>116</v>
      </c>
      <c r="C93" s="6">
        <v>51</v>
      </c>
      <c r="D93" s="6" t="s">
        <v>17</v>
      </c>
      <c r="E93" s="6" t="s">
        <v>10</v>
      </c>
      <c r="F93" s="6" t="s">
        <v>13</v>
      </c>
      <c r="G93" s="19">
        <v>5441</v>
      </c>
      <c r="H93" s="11">
        <v>10</v>
      </c>
      <c r="I93" s="6">
        <v>4</v>
      </c>
      <c r="J93" s="6" t="s">
        <v>9</v>
      </c>
      <c r="K93" s="5" t="s">
        <v>14</v>
      </c>
      <c r="L93" s="3" t="str">
        <f>IF(Table1[[#This Row],[Monthly Income]]&lt;3000,"Low",IF(Table1[[#This Row],[Monthly Income]]&lt;7000,"Medium","High"))</f>
        <v>Medium</v>
      </c>
      <c r="AK93" s="6"/>
      <c r="AL93" s="6"/>
      <c r="AM93" s="6"/>
      <c r="AN93" s="6"/>
      <c r="AO93" s="6"/>
      <c r="AP93" s="6"/>
      <c r="AQ93" s="6"/>
      <c r="AR93" s="6"/>
      <c r="AS93" s="6"/>
      <c r="AU93" s="6"/>
      <c r="AV93" s="6"/>
      <c r="AW93" s="6"/>
      <c r="AX93" s="6"/>
      <c r="AY93" s="6"/>
      <c r="AZ93" s="6"/>
      <c r="BA93" s="6"/>
      <c r="BB93" s="6"/>
      <c r="BC93" s="6"/>
      <c r="BD93" s="6"/>
      <c r="BE93" s="6"/>
    </row>
    <row r="94" spans="2:57" x14ac:dyDescent="0.3">
      <c r="B94" s="4" t="s">
        <v>117</v>
      </c>
      <c r="C94" s="4">
        <v>30</v>
      </c>
      <c r="D94" s="4" t="s">
        <v>12</v>
      </c>
      <c r="E94" s="4" t="s">
        <v>10</v>
      </c>
      <c r="F94" s="4" t="s">
        <v>13</v>
      </c>
      <c r="G94" s="18">
        <v>5209</v>
      </c>
      <c r="H94" s="10">
        <v>11</v>
      </c>
      <c r="I94" s="4">
        <v>2</v>
      </c>
      <c r="J94" s="4" t="s">
        <v>9</v>
      </c>
      <c r="K94" s="3" t="s">
        <v>14</v>
      </c>
      <c r="L94" s="3" t="str">
        <f>IF(Table1[[#This Row],[Monthly Income]]&lt;3000,"Low",IF(Table1[[#This Row],[Monthly Income]]&lt;7000,"Medium","High"))</f>
        <v>Medium</v>
      </c>
      <c r="AK94" s="4"/>
      <c r="AL94" s="4"/>
      <c r="AM94" s="4"/>
      <c r="AN94" s="4"/>
      <c r="AO94" s="4"/>
      <c r="AP94" s="4"/>
      <c r="AQ94" s="4"/>
      <c r="AR94" s="4"/>
      <c r="AS94" s="4"/>
      <c r="AU94" s="4"/>
      <c r="AV94" s="4"/>
      <c r="AW94" s="4"/>
      <c r="AX94" s="4"/>
      <c r="AY94" s="4"/>
      <c r="AZ94" s="4"/>
      <c r="BA94" s="4"/>
      <c r="BB94" s="4"/>
      <c r="BC94" s="4"/>
      <c r="BD94" s="4"/>
      <c r="BE94" s="4"/>
    </row>
    <row r="95" spans="2:57" x14ac:dyDescent="0.3">
      <c r="B95" s="6" t="s">
        <v>118</v>
      </c>
      <c r="C95" s="6">
        <v>46</v>
      </c>
      <c r="D95" s="6" t="s">
        <v>17</v>
      </c>
      <c r="E95" s="6" t="s">
        <v>15</v>
      </c>
      <c r="F95" s="6" t="s">
        <v>29</v>
      </c>
      <c r="G95" s="19">
        <v>10673</v>
      </c>
      <c r="H95" s="11">
        <v>10</v>
      </c>
      <c r="I95" s="6">
        <v>1</v>
      </c>
      <c r="J95" s="6" t="s">
        <v>9</v>
      </c>
      <c r="K95" s="5" t="s">
        <v>14</v>
      </c>
      <c r="L95" s="3" t="str">
        <f>IF(Table1[[#This Row],[Monthly Income]]&lt;3000,"Low",IF(Table1[[#This Row],[Monthly Income]]&lt;7000,"Medium","High"))</f>
        <v>High</v>
      </c>
      <c r="AK95" s="6"/>
      <c r="AL95" s="6"/>
      <c r="AM95" s="6"/>
      <c r="AN95" s="6"/>
      <c r="AO95" s="6"/>
      <c r="AP95" s="6"/>
      <c r="AQ95" s="6"/>
      <c r="AR95" s="6"/>
      <c r="AS95" s="6"/>
      <c r="AU95" s="6"/>
      <c r="AV95" s="6"/>
      <c r="AW95" s="6"/>
      <c r="AX95" s="6"/>
      <c r="AY95" s="6"/>
      <c r="AZ95" s="6"/>
      <c r="BA95" s="6"/>
      <c r="BB95" s="6"/>
      <c r="BC95" s="6"/>
      <c r="BD95" s="6"/>
      <c r="BE95" s="6"/>
    </row>
    <row r="96" spans="2:57" x14ac:dyDescent="0.3">
      <c r="B96" s="4" t="s">
        <v>119</v>
      </c>
      <c r="C96" s="4">
        <v>32</v>
      </c>
      <c r="D96" s="4" t="s">
        <v>17</v>
      </c>
      <c r="E96" s="4" t="s">
        <v>10</v>
      </c>
      <c r="F96" s="4" t="s">
        <v>13</v>
      </c>
      <c r="G96" s="18">
        <v>5010</v>
      </c>
      <c r="H96" s="10">
        <v>11</v>
      </c>
      <c r="I96" s="4">
        <v>3</v>
      </c>
      <c r="J96" s="4" t="s">
        <v>14</v>
      </c>
      <c r="K96" s="3" t="s">
        <v>14</v>
      </c>
      <c r="L96" s="3" t="str">
        <f>IF(Table1[[#This Row],[Monthly Income]]&lt;3000,"Low",IF(Table1[[#This Row],[Monthly Income]]&lt;7000,"Medium","High"))</f>
        <v>Medium</v>
      </c>
      <c r="AK96" s="4"/>
      <c r="AL96" s="4"/>
      <c r="AM96" s="4"/>
      <c r="AN96" s="4"/>
      <c r="AO96" s="4"/>
      <c r="AP96" s="4"/>
      <c r="AQ96" s="4"/>
      <c r="AR96" s="4"/>
      <c r="AS96" s="4"/>
      <c r="AU96" s="4"/>
      <c r="AV96" s="4"/>
      <c r="AW96" s="4"/>
      <c r="AX96" s="4"/>
      <c r="AY96" s="4"/>
      <c r="AZ96" s="4"/>
      <c r="BA96" s="4"/>
      <c r="BB96" s="4"/>
      <c r="BC96" s="4"/>
      <c r="BD96" s="4"/>
      <c r="BE96" s="4"/>
    </row>
    <row r="97" spans="2:57" x14ac:dyDescent="0.3">
      <c r="B97" s="6" t="s">
        <v>120</v>
      </c>
      <c r="C97" s="6">
        <v>54</v>
      </c>
      <c r="D97" s="6" t="s">
        <v>12</v>
      </c>
      <c r="E97" s="6" t="s">
        <v>15</v>
      </c>
      <c r="F97" s="6" t="s">
        <v>45</v>
      </c>
      <c r="G97" s="19">
        <v>13549</v>
      </c>
      <c r="H97" s="11">
        <v>4</v>
      </c>
      <c r="I97" s="6">
        <v>3</v>
      </c>
      <c r="J97" s="6" t="s">
        <v>14</v>
      </c>
      <c r="K97" s="5" t="s">
        <v>14</v>
      </c>
      <c r="L97" s="3" t="str">
        <f>IF(Table1[[#This Row],[Monthly Income]]&lt;3000,"Low",IF(Table1[[#This Row],[Monthly Income]]&lt;7000,"Medium","High"))</f>
        <v>High</v>
      </c>
      <c r="AK97" s="6"/>
      <c r="AL97" s="6"/>
      <c r="AM97" s="6"/>
      <c r="AN97" s="6"/>
      <c r="AO97" s="6"/>
      <c r="AP97" s="6"/>
      <c r="AQ97" s="6"/>
      <c r="AR97" s="6"/>
      <c r="AS97" s="6"/>
      <c r="AU97" s="6"/>
      <c r="AV97" s="6"/>
      <c r="AW97" s="6"/>
      <c r="AX97" s="6"/>
      <c r="AY97" s="6"/>
      <c r="AZ97" s="6"/>
      <c r="BA97" s="6"/>
      <c r="BB97" s="6"/>
      <c r="BC97" s="6"/>
      <c r="BD97" s="6"/>
      <c r="BE97" s="6"/>
    </row>
    <row r="98" spans="2:57" x14ac:dyDescent="0.3">
      <c r="B98" s="4" t="s">
        <v>121</v>
      </c>
      <c r="C98" s="4">
        <v>24</v>
      </c>
      <c r="D98" s="4" t="s">
        <v>12</v>
      </c>
      <c r="E98" s="4" t="s">
        <v>10</v>
      </c>
      <c r="F98" s="4" t="s">
        <v>13</v>
      </c>
      <c r="G98" s="18">
        <v>4999</v>
      </c>
      <c r="H98" s="10">
        <v>3</v>
      </c>
      <c r="I98" s="4">
        <v>3</v>
      </c>
      <c r="J98" s="4" t="s">
        <v>14</v>
      </c>
      <c r="K98" s="3" t="s">
        <v>14</v>
      </c>
      <c r="L98" s="3" t="str">
        <f>IF(Table1[[#This Row],[Monthly Income]]&lt;3000,"Low",IF(Table1[[#This Row],[Monthly Income]]&lt;7000,"Medium","High"))</f>
        <v>Medium</v>
      </c>
      <c r="AK98" s="4"/>
      <c r="AL98" s="4"/>
      <c r="AM98" s="4"/>
      <c r="AN98" s="4"/>
      <c r="AO98" s="4"/>
      <c r="AP98" s="4"/>
      <c r="AQ98" s="4"/>
      <c r="AR98" s="4"/>
      <c r="AS98" s="4"/>
      <c r="AU98" s="4"/>
      <c r="AV98" s="4"/>
      <c r="AW98" s="4"/>
      <c r="AX98" s="4"/>
      <c r="AY98" s="4"/>
      <c r="AZ98" s="4"/>
      <c r="BA98" s="4"/>
      <c r="BB98" s="4"/>
      <c r="BC98" s="4"/>
      <c r="BD98" s="4"/>
      <c r="BE98" s="4"/>
    </row>
    <row r="99" spans="2:57" x14ac:dyDescent="0.3">
      <c r="B99" s="6" t="s">
        <v>122</v>
      </c>
      <c r="C99" s="6">
        <v>28</v>
      </c>
      <c r="D99" s="6" t="s">
        <v>17</v>
      </c>
      <c r="E99" s="6" t="s">
        <v>10</v>
      </c>
      <c r="F99" s="6" t="s">
        <v>13</v>
      </c>
      <c r="G99" s="19">
        <v>4221</v>
      </c>
      <c r="H99" s="11">
        <v>5</v>
      </c>
      <c r="I99" s="6">
        <v>3</v>
      </c>
      <c r="J99" s="6" t="s">
        <v>14</v>
      </c>
      <c r="K99" s="5" t="s">
        <v>14</v>
      </c>
      <c r="L99" s="3" t="str">
        <f>IF(Table1[[#This Row],[Monthly Income]]&lt;3000,"Low",IF(Table1[[#This Row],[Monthly Income]]&lt;7000,"Medium","High"))</f>
        <v>Medium</v>
      </c>
      <c r="AK99" s="6"/>
      <c r="AL99" s="6"/>
      <c r="AM99" s="6"/>
      <c r="AN99" s="6"/>
      <c r="AO99" s="6"/>
      <c r="AP99" s="6"/>
      <c r="AQ99" s="6"/>
      <c r="AR99" s="6"/>
      <c r="AS99" s="6"/>
      <c r="AU99" s="6"/>
      <c r="AV99" s="6"/>
      <c r="AW99" s="6"/>
      <c r="AX99" s="6"/>
      <c r="AY99" s="6"/>
      <c r="AZ99" s="6"/>
      <c r="BA99" s="6"/>
      <c r="BB99" s="6"/>
      <c r="BC99" s="6"/>
      <c r="BD99" s="6"/>
      <c r="BE99" s="6"/>
    </row>
    <row r="100" spans="2:57" x14ac:dyDescent="0.3">
      <c r="B100" s="4" t="s">
        <v>123</v>
      </c>
      <c r="C100" s="4">
        <v>58</v>
      </c>
      <c r="D100" s="4" t="s">
        <v>17</v>
      </c>
      <c r="E100" s="4" t="s">
        <v>10</v>
      </c>
      <c r="F100" s="4" t="s">
        <v>13</v>
      </c>
      <c r="G100" s="18">
        <v>13872</v>
      </c>
      <c r="H100" s="10">
        <v>37</v>
      </c>
      <c r="I100" s="4">
        <v>3</v>
      </c>
      <c r="J100" s="4" t="s">
        <v>14</v>
      </c>
      <c r="K100" s="3" t="s">
        <v>14</v>
      </c>
      <c r="L100" s="3" t="str">
        <f>IF(Table1[[#This Row],[Monthly Income]]&lt;3000,"Low",IF(Table1[[#This Row],[Monthly Income]]&lt;7000,"Medium","High"))</f>
        <v>High</v>
      </c>
      <c r="AK100" s="4"/>
      <c r="AL100" s="4"/>
      <c r="AM100" s="4"/>
      <c r="AN100" s="4"/>
      <c r="AO100" s="4"/>
      <c r="AP100" s="4"/>
      <c r="AQ100" s="4"/>
      <c r="AR100" s="4"/>
      <c r="AS100" s="4"/>
      <c r="AU100" s="4"/>
      <c r="AV100" s="4"/>
      <c r="AW100" s="4"/>
      <c r="AX100" s="4"/>
      <c r="AY100" s="4"/>
      <c r="AZ100" s="4"/>
      <c r="BA100" s="4"/>
      <c r="BB100" s="4"/>
      <c r="BC100" s="4"/>
      <c r="BD100" s="4"/>
      <c r="BE100" s="4"/>
    </row>
    <row r="101" spans="2:57" x14ac:dyDescent="0.3">
      <c r="B101" s="6" t="s">
        <v>124</v>
      </c>
      <c r="C101" s="6">
        <v>44</v>
      </c>
      <c r="D101" s="6" t="s">
        <v>17</v>
      </c>
      <c r="E101" s="6" t="s">
        <v>15</v>
      </c>
      <c r="F101" s="6" t="s">
        <v>20</v>
      </c>
      <c r="G101" s="19">
        <v>2042</v>
      </c>
      <c r="H101" s="11">
        <v>3</v>
      </c>
      <c r="I101" s="6">
        <v>2</v>
      </c>
      <c r="J101" s="6" t="s">
        <v>14</v>
      </c>
      <c r="K101" s="5" t="s">
        <v>14</v>
      </c>
      <c r="L101" s="3" t="str">
        <f>IF(Table1[[#This Row],[Monthly Income]]&lt;3000,"Low",IF(Table1[[#This Row],[Monthly Income]]&lt;7000,"Medium","High"))</f>
        <v>Low</v>
      </c>
      <c r="AK101" s="6"/>
      <c r="AL101" s="6"/>
      <c r="AM101" s="6"/>
      <c r="AN101" s="6"/>
      <c r="AO101" s="6"/>
      <c r="AP101" s="6"/>
      <c r="AQ101" s="6"/>
      <c r="AR101" s="6"/>
      <c r="AS101" s="6"/>
      <c r="AU101" s="6"/>
      <c r="AV101" s="6"/>
      <c r="AW101" s="6"/>
      <c r="AX101" s="6"/>
      <c r="AY101" s="6"/>
      <c r="AZ101" s="6"/>
      <c r="BA101" s="6"/>
      <c r="BB101" s="6"/>
      <c r="BC101" s="6"/>
      <c r="BD101" s="6"/>
      <c r="BE101" s="6"/>
    </row>
    <row r="102" spans="2:57" x14ac:dyDescent="0.3">
      <c r="B102" s="4" t="s">
        <v>125</v>
      </c>
      <c r="C102" s="4">
        <v>37</v>
      </c>
      <c r="D102" s="4" t="s">
        <v>17</v>
      </c>
      <c r="E102" s="4" t="s">
        <v>102</v>
      </c>
      <c r="F102" s="4" t="s">
        <v>104</v>
      </c>
      <c r="G102" s="18">
        <v>2073</v>
      </c>
      <c r="H102" s="10">
        <v>3</v>
      </c>
      <c r="I102" s="4">
        <v>1</v>
      </c>
      <c r="J102" s="4" t="s">
        <v>9</v>
      </c>
      <c r="K102" s="3" t="s">
        <v>9</v>
      </c>
      <c r="L102" s="3" t="str">
        <f>IF(Table1[[#This Row],[Monthly Income]]&lt;3000,"Low",IF(Table1[[#This Row],[Monthly Income]]&lt;7000,"Medium","High"))</f>
        <v>Low</v>
      </c>
      <c r="AK102" s="4"/>
      <c r="AL102" s="4"/>
      <c r="AM102" s="4"/>
      <c r="AN102" s="4"/>
      <c r="AO102" s="4"/>
      <c r="AP102" s="4"/>
      <c r="AQ102" s="4"/>
      <c r="AR102" s="4"/>
      <c r="AS102" s="4"/>
      <c r="AU102" s="4"/>
      <c r="AV102" s="4"/>
      <c r="AW102" s="4"/>
      <c r="AX102" s="4"/>
      <c r="AY102" s="4"/>
      <c r="AZ102" s="4"/>
      <c r="BA102" s="4"/>
      <c r="BB102" s="4"/>
      <c r="BC102" s="4"/>
      <c r="BD102" s="4"/>
      <c r="BE102" s="4"/>
    </row>
    <row r="103" spans="2:57" x14ac:dyDescent="0.3">
      <c r="B103" s="6" t="s">
        <v>126</v>
      </c>
      <c r="C103" s="6">
        <v>32</v>
      </c>
      <c r="D103" s="6" t="s">
        <v>17</v>
      </c>
      <c r="E103" s="6" t="s">
        <v>15</v>
      </c>
      <c r="F103" s="6" t="s">
        <v>18</v>
      </c>
      <c r="G103" s="19">
        <v>2956</v>
      </c>
      <c r="H103" s="11">
        <v>1</v>
      </c>
      <c r="I103" s="6">
        <v>1</v>
      </c>
      <c r="J103" s="6" t="s">
        <v>14</v>
      </c>
      <c r="K103" s="5" t="s">
        <v>14</v>
      </c>
      <c r="L103" s="3" t="str">
        <f>IF(Table1[[#This Row],[Monthly Income]]&lt;3000,"Low",IF(Table1[[#This Row],[Monthly Income]]&lt;7000,"Medium","High"))</f>
        <v>Low</v>
      </c>
      <c r="AK103" s="6"/>
      <c r="AL103" s="6"/>
      <c r="AM103" s="6"/>
      <c r="AN103" s="6"/>
      <c r="AO103" s="6"/>
      <c r="AP103" s="6"/>
      <c r="AQ103" s="6"/>
      <c r="AR103" s="6"/>
      <c r="AS103" s="6"/>
      <c r="AU103" s="6"/>
      <c r="AV103" s="6"/>
      <c r="AW103" s="6"/>
      <c r="AX103" s="6"/>
      <c r="AY103" s="6"/>
      <c r="AZ103" s="6"/>
      <c r="BA103" s="6"/>
      <c r="BB103" s="6"/>
      <c r="BC103" s="6"/>
      <c r="BD103" s="6"/>
      <c r="BE103" s="6"/>
    </row>
    <row r="104" spans="2:57" x14ac:dyDescent="0.3">
      <c r="B104" s="4" t="s">
        <v>127</v>
      </c>
      <c r="C104" s="4">
        <v>20</v>
      </c>
      <c r="D104" s="4" t="s">
        <v>12</v>
      </c>
      <c r="E104" s="4" t="s">
        <v>15</v>
      </c>
      <c r="F104" s="4" t="s">
        <v>20</v>
      </c>
      <c r="G104" s="18">
        <v>2926</v>
      </c>
      <c r="H104" s="10">
        <v>1</v>
      </c>
      <c r="I104" s="4">
        <v>4</v>
      </c>
      <c r="J104" s="4" t="s">
        <v>9</v>
      </c>
      <c r="K104" s="3" t="s">
        <v>9</v>
      </c>
      <c r="L104" s="3" t="str">
        <f>IF(Table1[[#This Row],[Monthly Income]]&lt;3000,"Low",IF(Table1[[#This Row],[Monthly Income]]&lt;7000,"Medium","High"))</f>
        <v>Low</v>
      </c>
      <c r="AK104" s="4"/>
      <c r="AL104" s="4"/>
      <c r="AM104" s="4"/>
      <c r="AN104" s="4"/>
      <c r="AO104" s="4"/>
      <c r="AP104" s="4"/>
      <c r="AQ104" s="4"/>
      <c r="AR104" s="4"/>
      <c r="AS104" s="4"/>
      <c r="AU104" s="4"/>
      <c r="AV104" s="4"/>
      <c r="AW104" s="4"/>
      <c r="AX104" s="4"/>
      <c r="AY104" s="4"/>
      <c r="AZ104" s="4"/>
      <c r="BA104" s="4"/>
      <c r="BB104" s="4"/>
      <c r="BC104" s="4"/>
      <c r="BD104" s="4"/>
      <c r="BE104" s="4"/>
    </row>
    <row r="105" spans="2:57" x14ac:dyDescent="0.3">
      <c r="B105" s="6" t="s">
        <v>128</v>
      </c>
      <c r="C105" s="6">
        <v>34</v>
      </c>
      <c r="D105" s="6" t="s">
        <v>12</v>
      </c>
      <c r="E105" s="6" t="s">
        <v>15</v>
      </c>
      <c r="F105" s="6" t="s">
        <v>18</v>
      </c>
      <c r="G105" s="19">
        <v>4809</v>
      </c>
      <c r="H105" s="11">
        <v>16</v>
      </c>
      <c r="I105" s="6">
        <v>3</v>
      </c>
      <c r="J105" s="6" t="s">
        <v>14</v>
      </c>
      <c r="K105" s="5" t="s">
        <v>14</v>
      </c>
      <c r="L105" s="3" t="str">
        <f>IF(Table1[[#This Row],[Monthly Income]]&lt;3000,"Low",IF(Table1[[#This Row],[Monthly Income]]&lt;7000,"Medium","High"))</f>
        <v>Medium</v>
      </c>
      <c r="AK105" s="6"/>
      <c r="AL105" s="6"/>
      <c r="AM105" s="6"/>
      <c r="AN105" s="6"/>
      <c r="AO105" s="6"/>
      <c r="AP105" s="6"/>
      <c r="AQ105" s="6"/>
      <c r="AR105" s="6"/>
      <c r="AS105" s="6"/>
      <c r="AU105" s="6"/>
      <c r="AV105" s="6"/>
      <c r="AW105" s="6"/>
      <c r="AX105" s="6"/>
      <c r="AY105" s="6"/>
      <c r="AZ105" s="6"/>
      <c r="BA105" s="6"/>
      <c r="BB105" s="6"/>
      <c r="BC105" s="6"/>
      <c r="BD105" s="6"/>
      <c r="BE105" s="6"/>
    </row>
    <row r="106" spans="2:57" x14ac:dyDescent="0.3">
      <c r="B106" s="4" t="s">
        <v>129</v>
      </c>
      <c r="C106" s="4">
        <v>37</v>
      </c>
      <c r="D106" s="4" t="s">
        <v>17</v>
      </c>
      <c r="E106" s="4" t="s">
        <v>15</v>
      </c>
      <c r="F106" s="4" t="s">
        <v>29</v>
      </c>
      <c r="G106" s="18">
        <v>5163</v>
      </c>
      <c r="H106" s="10">
        <v>1</v>
      </c>
      <c r="I106" s="4">
        <v>4</v>
      </c>
      <c r="J106" s="4" t="s">
        <v>14</v>
      </c>
      <c r="K106" s="3" t="s">
        <v>14</v>
      </c>
      <c r="L106" s="3" t="str">
        <f>IF(Table1[[#This Row],[Monthly Income]]&lt;3000,"Low",IF(Table1[[#This Row],[Monthly Income]]&lt;7000,"Medium","High"))</f>
        <v>Medium</v>
      </c>
      <c r="AK106" s="4"/>
      <c r="AL106" s="4"/>
      <c r="AM106" s="4"/>
      <c r="AN106" s="4"/>
      <c r="AO106" s="4"/>
      <c r="AP106" s="4"/>
      <c r="AQ106" s="4"/>
      <c r="AR106" s="4"/>
      <c r="AS106" s="4"/>
      <c r="AU106" s="4"/>
      <c r="AV106" s="4"/>
      <c r="AW106" s="4"/>
      <c r="AX106" s="4"/>
      <c r="AY106" s="4"/>
      <c r="AZ106" s="4"/>
      <c r="BA106" s="4"/>
      <c r="BB106" s="4"/>
      <c r="BC106" s="4"/>
      <c r="BD106" s="4"/>
      <c r="BE106" s="4"/>
    </row>
    <row r="107" spans="2:57" x14ac:dyDescent="0.3">
      <c r="B107" s="6" t="s">
        <v>130</v>
      </c>
      <c r="C107" s="6">
        <v>59</v>
      </c>
      <c r="D107" s="6" t="s">
        <v>12</v>
      </c>
      <c r="E107" s="6" t="s">
        <v>102</v>
      </c>
      <c r="F107" s="6" t="s">
        <v>39</v>
      </c>
      <c r="G107" s="19">
        <v>18844</v>
      </c>
      <c r="H107" s="11">
        <v>3</v>
      </c>
      <c r="I107" s="6">
        <v>4</v>
      </c>
      <c r="J107" s="6" t="s">
        <v>14</v>
      </c>
      <c r="K107" s="5" t="s">
        <v>14</v>
      </c>
      <c r="L107" s="3" t="str">
        <f>IF(Table1[[#This Row],[Monthly Income]]&lt;3000,"Low",IF(Table1[[#This Row],[Monthly Income]]&lt;7000,"Medium","High"))</f>
        <v>High</v>
      </c>
      <c r="AK107" s="6"/>
      <c r="AL107" s="6"/>
      <c r="AM107" s="6"/>
      <c r="AN107" s="6"/>
      <c r="AO107" s="6"/>
      <c r="AP107" s="6"/>
      <c r="AQ107" s="6"/>
      <c r="AR107" s="6"/>
      <c r="AS107" s="6"/>
      <c r="AU107" s="6"/>
      <c r="AV107" s="6"/>
      <c r="AW107" s="6"/>
      <c r="AX107" s="6"/>
      <c r="AY107" s="6"/>
      <c r="AZ107" s="6"/>
      <c r="BA107" s="6"/>
      <c r="BB107" s="6"/>
      <c r="BC107" s="6"/>
      <c r="BD107" s="6"/>
      <c r="BE107" s="6"/>
    </row>
    <row r="108" spans="2:57" x14ac:dyDescent="0.3">
      <c r="B108" s="4" t="s">
        <v>131</v>
      </c>
      <c r="C108" s="4">
        <v>50</v>
      </c>
      <c r="D108" s="4" t="s">
        <v>12</v>
      </c>
      <c r="E108" s="4" t="s">
        <v>15</v>
      </c>
      <c r="F108" s="4" t="s">
        <v>45</v>
      </c>
      <c r="G108" s="18">
        <v>18172</v>
      </c>
      <c r="H108" s="10">
        <v>8</v>
      </c>
      <c r="I108" s="4">
        <v>2</v>
      </c>
      <c r="J108" s="4" t="s">
        <v>9</v>
      </c>
      <c r="K108" s="3" t="s">
        <v>14</v>
      </c>
      <c r="L108" s="3" t="str">
        <f>IF(Table1[[#This Row],[Monthly Income]]&lt;3000,"Low",IF(Table1[[#This Row],[Monthly Income]]&lt;7000,"Medium","High"))</f>
        <v>High</v>
      </c>
      <c r="AK108" s="4"/>
      <c r="AL108" s="4"/>
      <c r="AM108" s="4"/>
      <c r="AN108" s="4"/>
      <c r="AO108" s="4"/>
      <c r="AP108" s="4"/>
      <c r="AQ108" s="4"/>
      <c r="AR108" s="4"/>
      <c r="AS108" s="4"/>
      <c r="AU108" s="4"/>
      <c r="AV108" s="4"/>
      <c r="AW108" s="4"/>
      <c r="AX108" s="4"/>
      <c r="AY108" s="4"/>
      <c r="AZ108" s="4"/>
      <c r="BA108" s="4"/>
      <c r="BB108" s="4"/>
      <c r="BC108" s="4"/>
      <c r="BD108" s="4"/>
      <c r="BE108" s="4"/>
    </row>
    <row r="109" spans="2:57" x14ac:dyDescent="0.3">
      <c r="B109" s="6" t="s">
        <v>132</v>
      </c>
      <c r="C109" s="6">
        <v>25</v>
      </c>
      <c r="D109" s="6" t="s">
        <v>17</v>
      </c>
      <c r="E109" s="6" t="s">
        <v>10</v>
      </c>
      <c r="F109" s="6" t="s">
        <v>13</v>
      </c>
      <c r="G109" s="19">
        <v>5744</v>
      </c>
      <c r="H109" s="11">
        <v>6</v>
      </c>
      <c r="I109" s="6">
        <v>3</v>
      </c>
      <c r="J109" s="6" t="s">
        <v>9</v>
      </c>
      <c r="K109" s="5" t="s">
        <v>9</v>
      </c>
      <c r="L109" s="3" t="str">
        <f>IF(Table1[[#This Row],[Monthly Income]]&lt;3000,"Low",IF(Table1[[#This Row],[Monthly Income]]&lt;7000,"Medium","High"))</f>
        <v>Medium</v>
      </c>
      <c r="AK109" s="6"/>
      <c r="AL109" s="6"/>
      <c r="AM109" s="6"/>
      <c r="AN109" s="6"/>
      <c r="AO109" s="6"/>
      <c r="AP109" s="6"/>
      <c r="AQ109" s="6"/>
      <c r="AR109" s="6"/>
      <c r="AS109" s="6"/>
      <c r="AU109" s="6"/>
      <c r="AV109" s="6"/>
      <c r="AW109" s="6"/>
      <c r="AX109" s="6"/>
      <c r="AY109" s="6"/>
      <c r="AZ109" s="6"/>
      <c r="BA109" s="6"/>
      <c r="BB109" s="6"/>
      <c r="BC109" s="6"/>
      <c r="BD109" s="6"/>
      <c r="BE109" s="6"/>
    </row>
    <row r="110" spans="2:57" x14ac:dyDescent="0.3">
      <c r="B110" s="4" t="s">
        <v>133</v>
      </c>
      <c r="C110" s="4">
        <v>25</v>
      </c>
      <c r="D110" s="4" t="s">
        <v>17</v>
      </c>
      <c r="E110" s="4" t="s">
        <v>15</v>
      </c>
      <c r="F110" s="4" t="s">
        <v>18</v>
      </c>
      <c r="G110" s="18">
        <v>2889</v>
      </c>
      <c r="H110" s="10">
        <v>2</v>
      </c>
      <c r="I110" s="4">
        <v>4</v>
      </c>
      <c r="J110" s="4" t="s">
        <v>14</v>
      </c>
      <c r="K110" s="3" t="s">
        <v>14</v>
      </c>
      <c r="L110" s="3" t="str">
        <f>IF(Table1[[#This Row],[Monthly Income]]&lt;3000,"Low",IF(Table1[[#This Row],[Monthly Income]]&lt;7000,"Medium","High"))</f>
        <v>Low</v>
      </c>
      <c r="AK110" s="4"/>
      <c r="AL110" s="4"/>
      <c r="AM110" s="4"/>
      <c r="AN110" s="4"/>
      <c r="AO110" s="4"/>
      <c r="AP110" s="4"/>
      <c r="AQ110" s="4"/>
      <c r="AR110" s="4"/>
      <c r="AS110" s="4"/>
      <c r="AU110" s="4"/>
      <c r="AV110" s="4"/>
      <c r="AW110" s="4"/>
      <c r="AX110" s="4"/>
      <c r="AY110" s="4"/>
      <c r="AZ110" s="4"/>
      <c r="BA110" s="4"/>
      <c r="BB110" s="4"/>
      <c r="BC110" s="4"/>
      <c r="BD110" s="4"/>
      <c r="BE110" s="4"/>
    </row>
    <row r="111" spans="2:57" x14ac:dyDescent="0.3">
      <c r="B111" s="6" t="s">
        <v>134</v>
      </c>
      <c r="C111" s="6">
        <v>22</v>
      </c>
      <c r="D111" s="6" t="s">
        <v>12</v>
      </c>
      <c r="E111" s="6" t="s">
        <v>15</v>
      </c>
      <c r="F111" s="6" t="s">
        <v>20</v>
      </c>
      <c r="G111" s="19">
        <v>2871</v>
      </c>
      <c r="H111" s="11">
        <v>0</v>
      </c>
      <c r="I111" s="6">
        <v>4</v>
      </c>
      <c r="J111" s="6" t="s">
        <v>14</v>
      </c>
      <c r="K111" s="5" t="s">
        <v>14</v>
      </c>
      <c r="L111" s="3" t="str">
        <f>IF(Table1[[#This Row],[Monthly Income]]&lt;3000,"Low",IF(Table1[[#This Row],[Monthly Income]]&lt;7000,"Medium","High"))</f>
        <v>Low</v>
      </c>
      <c r="AK111" s="6"/>
      <c r="AL111" s="6"/>
      <c r="AM111" s="6"/>
      <c r="AN111" s="6"/>
      <c r="AO111" s="6"/>
      <c r="AP111" s="6"/>
      <c r="AQ111" s="6"/>
      <c r="AR111" s="6"/>
      <c r="AS111" s="6"/>
      <c r="AU111" s="6"/>
      <c r="AV111" s="6"/>
      <c r="AW111" s="6"/>
      <c r="AX111" s="6"/>
      <c r="AY111" s="6"/>
      <c r="AZ111" s="6"/>
      <c r="BA111" s="6"/>
      <c r="BB111" s="6"/>
      <c r="BC111" s="6"/>
      <c r="BD111" s="6"/>
      <c r="BE111" s="6"/>
    </row>
    <row r="112" spans="2:57" x14ac:dyDescent="0.3">
      <c r="B112" s="4" t="s">
        <v>135</v>
      </c>
      <c r="C112" s="4">
        <v>51</v>
      </c>
      <c r="D112" s="4" t="s">
        <v>12</v>
      </c>
      <c r="E112" s="4" t="s">
        <v>15</v>
      </c>
      <c r="F112" s="4" t="s">
        <v>29</v>
      </c>
      <c r="G112" s="18">
        <v>7484</v>
      </c>
      <c r="H112" s="10">
        <v>13</v>
      </c>
      <c r="I112" s="4">
        <v>1</v>
      </c>
      <c r="J112" s="4" t="s">
        <v>14</v>
      </c>
      <c r="K112" s="3" t="s">
        <v>14</v>
      </c>
      <c r="L112" s="3" t="str">
        <f>IF(Table1[[#This Row],[Monthly Income]]&lt;3000,"Low",IF(Table1[[#This Row],[Monthly Income]]&lt;7000,"Medium","High"))</f>
        <v>High</v>
      </c>
      <c r="AK112" s="4"/>
      <c r="AL112" s="4"/>
      <c r="AM112" s="4"/>
      <c r="AN112" s="4"/>
      <c r="AO112" s="4"/>
      <c r="AP112" s="4"/>
      <c r="AQ112" s="4"/>
      <c r="AR112" s="4"/>
      <c r="AS112" s="4"/>
      <c r="AU112" s="4"/>
      <c r="AV112" s="4"/>
      <c r="AW112" s="4"/>
      <c r="AX112" s="4"/>
      <c r="AY112" s="4"/>
      <c r="AZ112" s="4"/>
      <c r="BA112" s="4"/>
      <c r="BB112" s="4"/>
      <c r="BC112" s="4"/>
      <c r="BD112" s="4"/>
      <c r="BE112" s="4"/>
    </row>
    <row r="113" spans="2:57" x14ac:dyDescent="0.3">
      <c r="B113" s="6" t="s">
        <v>136</v>
      </c>
      <c r="C113" s="6">
        <v>34</v>
      </c>
      <c r="D113" s="6" t="s">
        <v>17</v>
      </c>
      <c r="E113" s="6" t="s">
        <v>15</v>
      </c>
      <c r="F113" s="6" t="s">
        <v>20</v>
      </c>
      <c r="G113" s="19">
        <v>6074</v>
      </c>
      <c r="H113" s="11">
        <v>9</v>
      </c>
      <c r="I113" s="6">
        <v>3</v>
      </c>
      <c r="J113" s="6" t="s">
        <v>9</v>
      </c>
      <c r="K113" s="5" t="s">
        <v>9</v>
      </c>
      <c r="L113" s="3" t="str">
        <f>IF(Table1[[#This Row],[Monthly Income]]&lt;3000,"Low",IF(Table1[[#This Row],[Monthly Income]]&lt;7000,"Medium","High"))</f>
        <v>Medium</v>
      </c>
      <c r="AK113" s="6"/>
      <c r="AL113" s="6"/>
      <c r="AM113" s="6"/>
      <c r="AN113" s="6"/>
      <c r="AO113" s="6"/>
      <c r="AP113" s="6"/>
      <c r="AQ113" s="6"/>
      <c r="AR113" s="6"/>
      <c r="AS113" s="6"/>
      <c r="AU113" s="6"/>
      <c r="AV113" s="6"/>
      <c r="AW113" s="6"/>
      <c r="AX113" s="6"/>
      <c r="AY113" s="6"/>
      <c r="AZ113" s="6"/>
      <c r="BA113" s="6"/>
      <c r="BB113" s="6"/>
      <c r="BC113" s="6"/>
      <c r="BD113" s="6"/>
      <c r="BE113" s="6"/>
    </row>
    <row r="114" spans="2:57" x14ac:dyDescent="0.3">
      <c r="B114" s="4" t="s">
        <v>137</v>
      </c>
      <c r="C114" s="4">
        <v>54</v>
      </c>
      <c r="D114" s="4" t="s">
        <v>12</v>
      </c>
      <c r="E114" s="4" t="s">
        <v>102</v>
      </c>
      <c r="F114" s="4" t="s">
        <v>39</v>
      </c>
      <c r="G114" s="18">
        <v>17328</v>
      </c>
      <c r="H114" s="10">
        <v>5</v>
      </c>
      <c r="I114" s="4">
        <v>4</v>
      </c>
      <c r="J114" s="4" t="s">
        <v>9</v>
      </c>
      <c r="K114" s="3" t="s">
        <v>14</v>
      </c>
      <c r="L114" s="3" t="str">
        <f>IF(Table1[[#This Row],[Monthly Income]]&lt;3000,"Low",IF(Table1[[#This Row],[Monthly Income]]&lt;7000,"Medium","High"))</f>
        <v>High</v>
      </c>
      <c r="AK114" s="4"/>
      <c r="AL114" s="4"/>
      <c r="AM114" s="4"/>
      <c r="AN114" s="4"/>
      <c r="AO114" s="4"/>
      <c r="AP114" s="4"/>
      <c r="AQ114" s="4"/>
      <c r="AR114" s="4"/>
      <c r="AS114" s="4"/>
      <c r="AU114" s="4"/>
      <c r="AV114" s="4"/>
      <c r="AW114" s="4"/>
      <c r="AX114" s="4"/>
      <c r="AY114" s="4"/>
      <c r="AZ114" s="4"/>
      <c r="BA114" s="4"/>
      <c r="BB114" s="4"/>
      <c r="BC114" s="4"/>
      <c r="BD114" s="4"/>
      <c r="BE114" s="4"/>
    </row>
    <row r="115" spans="2:57" x14ac:dyDescent="0.3">
      <c r="B115" s="6" t="s">
        <v>138</v>
      </c>
      <c r="C115" s="6">
        <v>24</v>
      </c>
      <c r="D115" s="6" t="s">
        <v>17</v>
      </c>
      <c r="E115" s="6" t="s">
        <v>15</v>
      </c>
      <c r="F115" s="6" t="s">
        <v>20</v>
      </c>
      <c r="G115" s="19">
        <v>2774</v>
      </c>
      <c r="H115" s="11">
        <v>5</v>
      </c>
      <c r="I115" s="6">
        <v>3</v>
      </c>
      <c r="J115" s="6" t="s">
        <v>14</v>
      </c>
      <c r="K115" s="5" t="s">
        <v>14</v>
      </c>
      <c r="L115" s="3" t="str">
        <f>IF(Table1[[#This Row],[Monthly Income]]&lt;3000,"Low",IF(Table1[[#This Row],[Monthly Income]]&lt;7000,"Medium","High"))</f>
        <v>Low</v>
      </c>
      <c r="AK115" s="6"/>
      <c r="AL115" s="6"/>
      <c r="AM115" s="6"/>
      <c r="AN115" s="6"/>
      <c r="AO115" s="6"/>
      <c r="AP115" s="6"/>
      <c r="AQ115" s="6"/>
      <c r="AR115" s="6"/>
      <c r="AS115" s="6"/>
      <c r="AU115" s="6"/>
      <c r="AV115" s="6"/>
      <c r="AW115" s="6"/>
      <c r="AX115" s="6"/>
      <c r="AY115" s="6"/>
      <c r="AZ115" s="6"/>
      <c r="BA115" s="6"/>
      <c r="BB115" s="6"/>
      <c r="BC115" s="6"/>
      <c r="BD115" s="6"/>
      <c r="BE115" s="6"/>
    </row>
    <row r="116" spans="2:57" x14ac:dyDescent="0.3">
      <c r="B116" s="4" t="s">
        <v>139</v>
      </c>
      <c r="C116" s="4">
        <v>34</v>
      </c>
      <c r="D116" s="4" t="s">
        <v>12</v>
      </c>
      <c r="E116" s="4" t="s">
        <v>15</v>
      </c>
      <c r="F116" s="4" t="s">
        <v>18</v>
      </c>
      <c r="G116" s="18">
        <v>4505</v>
      </c>
      <c r="H116" s="10">
        <v>1</v>
      </c>
      <c r="I116" s="4">
        <v>2</v>
      </c>
      <c r="J116" s="4" t="s">
        <v>14</v>
      </c>
      <c r="K116" s="3" t="s">
        <v>14</v>
      </c>
      <c r="L116" s="3" t="str">
        <f>IF(Table1[[#This Row],[Monthly Income]]&lt;3000,"Low",IF(Table1[[#This Row],[Monthly Income]]&lt;7000,"Medium","High"))</f>
        <v>Medium</v>
      </c>
      <c r="AK116" s="4"/>
      <c r="AL116" s="4"/>
      <c r="AM116" s="4"/>
      <c r="AN116" s="4"/>
      <c r="AO116" s="4"/>
      <c r="AP116" s="4"/>
      <c r="AQ116" s="4"/>
      <c r="AR116" s="4"/>
      <c r="AS116" s="4"/>
      <c r="AU116" s="4"/>
      <c r="AV116" s="4"/>
      <c r="AW116" s="4"/>
      <c r="AX116" s="4"/>
      <c r="AY116" s="4"/>
      <c r="AZ116" s="4"/>
      <c r="BA116" s="4"/>
      <c r="BB116" s="4"/>
      <c r="BC116" s="4"/>
      <c r="BD116" s="4"/>
      <c r="BE116" s="4"/>
    </row>
    <row r="117" spans="2:57" x14ac:dyDescent="0.3">
      <c r="B117" s="6" t="s">
        <v>140</v>
      </c>
      <c r="C117" s="6">
        <v>37</v>
      </c>
      <c r="D117" s="6" t="s">
        <v>17</v>
      </c>
      <c r="E117" s="6" t="s">
        <v>10</v>
      </c>
      <c r="F117" s="6" t="s">
        <v>13</v>
      </c>
      <c r="G117" s="19">
        <v>7428</v>
      </c>
      <c r="H117" s="11">
        <v>5</v>
      </c>
      <c r="I117" s="6">
        <v>4</v>
      </c>
      <c r="J117" s="6" t="s">
        <v>14</v>
      </c>
      <c r="K117" s="5" t="s">
        <v>14</v>
      </c>
      <c r="L117" s="3" t="str">
        <f>IF(Table1[[#This Row],[Monthly Income]]&lt;3000,"Low",IF(Table1[[#This Row],[Monthly Income]]&lt;7000,"Medium","High"))</f>
        <v>High</v>
      </c>
      <c r="AK117" s="6"/>
      <c r="AL117" s="6"/>
      <c r="AM117" s="6"/>
      <c r="AN117" s="6"/>
      <c r="AO117" s="6"/>
      <c r="AP117" s="6"/>
      <c r="AQ117" s="6"/>
      <c r="AR117" s="6"/>
      <c r="AS117" s="6"/>
      <c r="AU117" s="6"/>
      <c r="AV117" s="6"/>
      <c r="AW117" s="6"/>
      <c r="AX117" s="6"/>
      <c r="AY117" s="6"/>
      <c r="AZ117" s="6"/>
      <c r="BA117" s="6"/>
      <c r="BB117" s="6"/>
      <c r="BC117" s="6"/>
      <c r="BD117" s="6"/>
      <c r="BE117" s="6"/>
    </row>
    <row r="118" spans="2:57" x14ac:dyDescent="0.3">
      <c r="B118" s="4" t="s">
        <v>141</v>
      </c>
      <c r="C118" s="4">
        <v>34</v>
      </c>
      <c r="D118" s="4" t="s">
        <v>12</v>
      </c>
      <c r="E118" s="4" t="s">
        <v>15</v>
      </c>
      <c r="F118" s="4" t="s">
        <v>39</v>
      </c>
      <c r="G118" s="18">
        <v>11631</v>
      </c>
      <c r="H118" s="10">
        <v>11</v>
      </c>
      <c r="I118" s="4">
        <v>1</v>
      </c>
      <c r="J118" s="4" t="s">
        <v>14</v>
      </c>
      <c r="K118" s="3" t="s">
        <v>14</v>
      </c>
      <c r="L118" s="3" t="str">
        <f>IF(Table1[[#This Row],[Monthly Income]]&lt;3000,"Low",IF(Table1[[#This Row],[Monthly Income]]&lt;7000,"Medium","High"))</f>
        <v>High</v>
      </c>
      <c r="AK118" s="4"/>
      <c r="AL118" s="4"/>
      <c r="AM118" s="4"/>
      <c r="AN118" s="4"/>
      <c r="AO118" s="4"/>
      <c r="AP118" s="4"/>
      <c r="AQ118" s="4"/>
      <c r="AR118" s="4"/>
      <c r="AS118" s="4"/>
      <c r="AU118" s="4"/>
      <c r="AV118" s="4"/>
      <c r="AW118" s="4"/>
      <c r="AX118" s="4"/>
      <c r="AY118" s="4"/>
      <c r="AZ118" s="4"/>
      <c r="BA118" s="4"/>
      <c r="BB118" s="4"/>
      <c r="BC118" s="4"/>
      <c r="BD118" s="4"/>
      <c r="BE118" s="4"/>
    </row>
    <row r="119" spans="2:57" x14ac:dyDescent="0.3">
      <c r="B119" s="6" t="s">
        <v>142</v>
      </c>
      <c r="C119" s="6">
        <v>36</v>
      </c>
      <c r="D119" s="6" t="s">
        <v>12</v>
      </c>
      <c r="E119" s="6" t="s">
        <v>10</v>
      </c>
      <c r="F119" s="6" t="s">
        <v>13</v>
      </c>
      <c r="G119" s="19">
        <v>9738</v>
      </c>
      <c r="H119" s="11">
        <v>9</v>
      </c>
      <c r="I119" s="6">
        <v>4</v>
      </c>
      <c r="J119" s="6" t="s">
        <v>14</v>
      </c>
      <c r="K119" s="5" t="s">
        <v>14</v>
      </c>
      <c r="L119" s="3" t="str">
        <f>IF(Table1[[#This Row],[Monthly Income]]&lt;3000,"Low",IF(Table1[[#This Row],[Monthly Income]]&lt;7000,"Medium","High"))</f>
        <v>High</v>
      </c>
      <c r="AK119" s="6"/>
      <c r="AL119" s="6"/>
      <c r="AM119" s="6"/>
      <c r="AN119" s="6"/>
      <c r="AO119" s="6"/>
      <c r="AP119" s="6"/>
      <c r="AQ119" s="6"/>
      <c r="AR119" s="6"/>
      <c r="AS119" s="6"/>
      <c r="AU119" s="6"/>
      <c r="AV119" s="6"/>
      <c r="AW119" s="6"/>
      <c r="AX119" s="6"/>
      <c r="AY119" s="6"/>
      <c r="AZ119" s="6"/>
      <c r="BA119" s="6"/>
      <c r="BB119" s="6"/>
      <c r="BC119" s="6"/>
      <c r="BD119" s="6"/>
      <c r="BE119" s="6"/>
    </row>
    <row r="120" spans="2:57" x14ac:dyDescent="0.3">
      <c r="B120" s="4" t="s">
        <v>143</v>
      </c>
      <c r="C120" s="4">
        <v>36</v>
      </c>
      <c r="D120" s="4" t="s">
        <v>12</v>
      </c>
      <c r="E120" s="4" t="s">
        <v>15</v>
      </c>
      <c r="F120" s="4" t="s">
        <v>20</v>
      </c>
      <c r="G120" s="18">
        <v>2835</v>
      </c>
      <c r="H120" s="10">
        <v>1</v>
      </c>
      <c r="I120" s="4">
        <v>4</v>
      </c>
      <c r="J120" s="4" t="s">
        <v>14</v>
      </c>
      <c r="K120" s="3" t="s">
        <v>14</v>
      </c>
      <c r="L120" s="3" t="str">
        <f>IF(Table1[[#This Row],[Monthly Income]]&lt;3000,"Low",IF(Table1[[#This Row],[Monthly Income]]&lt;7000,"Medium","High"))</f>
        <v>Low</v>
      </c>
      <c r="AK120" s="4"/>
      <c r="AL120" s="4"/>
      <c r="AM120" s="4"/>
      <c r="AN120" s="4"/>
      <c r="AO120" s="4"/>
      <c r="AP120" s="4"/>
      <c r="AQ120" s="4"/>
      <c r="AR120" s="4"/>
      <c r="AS120" s="4"/>
      <c r="AU120" s="4"/>
      <c r="AV120" s="4"/>
      <c r="AW120" s="4"/>
      <c r="AX120" s="4"/>
      <c r="AY120" s="4"/>
      <c r="AZ120" s="4"/>
      <c r="BA120" s="4"/>
      <c r="BB120" s="4"/>
      <c r="BC120" s="4"/>
      <c r="BD120" s="4"/>
      <c r="BE120" s="4"/>
    </row>
    <row r="121" spans="2:57" x14ac:dyDescent="0.3">
      <c r="B121" s="6" t="s">
        <v>144</v>
      </c>
      <c r="C121" s="6">
        <v>43</v>
      </c>
      <c r="D121" s="6" t="s">
        <v>17</v>
      </c>
      <c r="E121" s="6" t="s">
        <v>10</v>
      </c>
      <c r="F121" s="6" t="s">
        <v>39</v>
      </c>
      <c r="G121" s="19">
        <v>16959</v>
      </c>
      <c r="H121" s="11">
        <v>25</v>
      </c>
      <c r="I121" s="6">
        <v>4</v>
      </c>
      <c r="J121" s="6" t="s">
        <v>9</v>
      </c>
      <c r="K121" s="5" t="s">
        <v>14</v>
      </c>
      <c r="L121" s="3" t="str">
        <f>IF(Table1[[#This Row],[Monthly Income]]&lt;3000,"Low",IF(Table1[[#This Row],[Monthly Income]]&lt;7000,"Medium","High"))</f>
        <v>High</v>
      </c>
      <c r="AK121" s="6"/>
      <c r="AL121" s="6"/>
      <c r="AM121" s="6"/>
      <c r="AN121" s="6"/>
      <c r="AO121" s="6"/>
      <c r="AP121" s="6"/>
      <c r="AQ121" s="6"/>
      <c r="AR121" s="6"/>
      <c r="AS121" s="6"/>
      <c r="AU121" s="6"/>
      <c r="AV121" s="6"/>
      <c r="AW121" s="6"/>
      <c r="AX121" s="6"/>
      <c r="AY121" s="6"/>
      <c r="AZ121" s="6"/>
      <c r="BA121" s="6"/>
      <c r="BB121" s="6"/>
      <c r="BC121" s="6"/>
      <c r="BD121" s="6"/>
      <c r="BE121" s="6"/>
    </row>
    <row r="122" spans="2:57" x14ac:dyDescent="0.3">
      <c r="B122" s="4" t="s">
        <v>145</v>
      </c>
      <c r="C122" s="4">
        <v>30</v>
      </c>
      <c r="D122" s="4" t="s">
        <v>17</v>
      </c>
      <c r="E122" s="4" t="s">
        <v>15</v>
      </c>
      <c r="F122" s="4" t="s">
        <v>18</v>
      </c>
      <c r="G122" s="18">
        <v>2613</v>
      </c>
      <c r="H122" s="10">
        <v>10</v>
      </c>
      <c r="I122" s="4">
        <v>3</v>
      </c>
      <c r="J122" s="4" t="s">
        <v>14</v>
      </c>
      <c r="K122" s="3" t="s">
        <v>14</v>
      </c>
      <c r="L122" s="3" t="str">
        <f>IF(Table1[[#This Row],[Monthly Income]]&lt;3000,"Low",IF(Table1[[#This Row],[Monthly Income]]&lt;7000,"Medium","High"))</f>
        <v>Low</v>
      </c>
      <c r="AK122" s="4"/>
      <c r="AL122" s="4"/>
      <c r="AM122" s="4"/>
      <c r="AN122" s="4"/>
      <c r="AO122" s="4"/>
      <c r="AP122" s="4"/>
      <c r="AQ122" s="4"/>
      <c r="AR122" s="4"/>
      <c r="AS122" s="4"/>
      <c r="AU122" s="4"/>
      <c r="AV122" s="4"/>
      <c r="AW122" s="4"/>
      <c r="AX122" s="4"/>
      <c r="AY122" s="4"/>
      <c r="AZ122" s="4"/>
      <c r="BA122" s="4"/>
      <c r="BB122" s="4"/>
      <c r="BC122" s="4"/>
      <c r="BD122" s="4"/>
      <c r="BE122" s="4"/>
    </row>
    <row r="123" spans="2:57" x14ac:dyDescent="0.3">
      <c r="B123" s="6" t="s">
        <v>146</v>
      </c>
      <c r="C123" s="6">
        <v>33</v>
      </c>
      <c r="D123" s="6" t="s">
        <v>17</v>
      </c>
      <c r="E123" s="6" t="s">
        <v>10</v>
      </c>
      <c r="F123" s="6" t="s">
        <v>13</v>
      </c>
      <c r="G123" s="19">
        <v>6146</v>
      </c>
      <c r="H123" s="11">
        <v>7</v>
      </c>
      <c r="I123" s="6">
        <v>2</v>
      </c>
      <c r="J123" s="6" t="s">
        <v>14</v>
      </c>
      <c r="K123" s="5" t="s">
        <v>14</v>
      </c>
      <c r="L123" s="3" t="str">
        <f>IF(Table1[[#This Row],[Monthly Income]]&lt;3000,"Low",IF(Table1[[#This Row],[Monthly Income]]&lt;7000,"Medium","High"))</f>
        <v>Medium</v>
      </c>
      <c r="AK123" s="6"/>
      <c r="AL123" s="6"/>
      <c r="AM123" s="6"/>
      <c r="AN123" s="6"/>
      <c r="AO123" s="6"/>
      <c r="AP123" s="6"/>
      <c r="AQ123" s="6"/>
      <c r="AR123" s="6"/>
      <c r="AS123" s="6"/>
      <c r="AU123" s="6"/>
      <c r="AV123" s="6"/>
      <c r="AW123" s="6"/>
      <c r="AX123" s="6"/>
      <c r="AY123" s="6"/>
      <c r="AZ123" s="6"/>
      <c r="BA123" s="6"/>
      <c r="BB123" s="6"/>
      <c r="BC123" s="6"/>
      <c r="BD123" s="6"/>
      <c r="BE123" s="6"/>
    </row>
    <row r="124" spans="2:57" x14ac:dyDescent="0.3">
      <c r="B124" s="4" t="s">
        <v>147</v>
      </c>
      <c r="C124" s="4">
        <v>56</v>
      </c>
      <c r="D124" s="4" t="s">
        <v>12</v>
      </c>
      <c r="E124" s="4" t="s">
        <v>15</v>
      </c>
      <c r="F124" s="4" t="s">
        <v>18</v>
      </c>
      <c r="G124" s="18">
        <v>4963</v>
      </c>
      <c r="H124" s="10">
        <v>5</v>
      </c>
      <c r="I124" s="4">
        <v>2</v>
      </c>
      <c r="J124" s="4" t="s">
        <v>9</v>
      </c>
      <c r="K124" s="3" t="s">
        <v>9</v>
      </c>
      <c r="L124" s="3" t="str">
        <f>IF(Table1[[#This Row],[Monthly Income]]&lt;3000,"Low",IF(Table1[[#This Row],[Monthly Income]]&lt;7000,"Medium","High"))</f>
        <v>Medium</v>
      </c>
      <c r="AK124" s="4"/>
      <c r="AL124" s="4"/>
      <c r="AM124" s="4"/>
      <c r="AN124" s="4"/>
      <c r="AO124" s="4"/>
      <c r="AP124" s="4"/>
      <c r="AQ124" s="4"/>
      <c r="AR124" s="4"/>
      <c r="AS124" s="4"/>
      <c r="AU124" s="4"/>
      <c r="AV124" s="4"/>
      <c r="AW124" s="4"/>
      <c r="AX124" s="4"/>
      <c r="AY124" s="4"/>
      <c r="AZ124" s="4"/>
      <c r="BA124" s="4"/>
      <c r="BB124" s="4"/>
      <c r="BC124" s="4"/>
      <c r="BD124" s="4"/>
      <c r="BE124" s="4"/>
    </row>
    <row r="125" spans="2:57" x14ac:dyDescent="0.3">
      <c r="B125" s="6" t="s">
        <v>148</v>
      </c>
      <c r="C125" s="6">
        <v>51</v>
      </c>
      <c r="D125" s="6" t="s">
        <v>17</v>
      </c>
      <c r="E125" s="6" t="s">
        <v>15</v>
      </c>
      <c r="F125" s="6" t="s">
        <v>45</v>
      </c>
      <c r="G125" s="19">
        <v>19537</v>
      </c>
      <c r="H125" s="11">
        <v>20</v>
      </c>
      <c r="I125" s="6">
        <v>3</v>
      </c>
      <c r="J125" s="6" t="s">
        <v>14</v>
      </c>
      <c r="K125" s="5" t="s">
        <v>14</v>
      </c>
      <c r="L125" s="3" t="str">
        <f>IF(Table1[[#This Row],[Monthly Income]]&lt;3000,"Low",IF(Table1[[#This Row],[Monthly Income]]&lt;7000,"Medium","High"))</f>
        <v>High</v>
      </c>
      <c r="AK125" s="6"/>
      <c r="AL125" s="6"/>
      <c r="AM125" s="6"/>
      <c r="AN125" s="6"/>
      <c r="AO125" s="6"/>
      <c r="AP125" s="6"/>
      <c r="AQ125" s="6"/>
      <c r="AR125" s="6"/>
      <c r="AS125" s="6"/>
      <c r="AU125" s="6"/>
      <c r="AV125" s="6"/>
      <c r="AW125" s="6"/>
      <c r="AX125" s="6"/>
      <c r="AY125" s="6"/>
      <c r="AZ125" s="6"/>
      <c r="BA125" s="6"/>
      <c r="BB125" s="6"/>
      <c r="BC125" s="6"/>
      <c r="BD125" s="6"/>
      <c r="BE125" s="6"/>
    </row>
    <row r="126" spans="2:57" x14ac:dyDescent="0.3">
      <c r="B126" s="4" t="s">
        <v>149</v>
      </c>
      <c r="C126" s="4">
        <v>31</v>
      </c>
      <c r="D126" s="4" t="s">
        <v>17</v>
      </c>
      <c r="E126" s="4" t="s">
        <v>10</v>
      </c>
      <c r="F126" s="4" t="s">
        <v>13</v>
      </c>
      <c r="G126" s="18">
        <v>6172</v>
      </c>
      <c r="H126" s="10">
        <v>7</v>
      </c>
      <c r="I126" s="4">
        <v>3</v>
      </c>
      <c r="J126" s="4" t="s">
        <v>9</v>
      </c>
      <c r="K126" s="3" t="s">
        <v>9</v>
      </c>
      <c r="L126" s="3" t="str">
        <f>IF(Table1[[#This Row],[Monthly Income]]&lt;3000,"Low",IF(Table1[[#This Row],[Monthly Income]]&lt;7000,"Medium","High"))</f>
        <v>Medium</v>
      </c>
      <c r="AK126" s="4"/>
      <c r="AL126" s="4"/>
      <c r="AM126" s="4"/>
      <c r="AN126" s="4"/>
      <c r="AO126" s="4"/>
      <c r="AP126" s="4"/>
      <c r="AQ126" s="4"/>
      <c r="AR126" s="4"/>
      <c r="AS126" s="4"/>
      <c r="AU126" s="4"/>
      <c r="AV126" s="4"/>
      <c r="AW126" s="4"/>
      <c r="AX126" s="4"/>
      <c r="AY126" s="4"/>
      <c r="AZ126" s="4"/>
      <c r="BA126" s="4"/>
      <c r="BB126" s="4"/>
      <c r="BC126" s="4"/>
      <c r="BD126" s="4"/>
      <c r="BE126" s="4"/>
    </row>
    <row r="127" spans="2:57" x14ac:dyDescent="0.3">
      <c r="B127" s="6" t="s">
        <v>150</v>
      </c>
      <c r="C127" s="6">
        <v>26</v>
      </c>
      <c r="D127" s="6" t="s">
        <v>12</v>
      </c>
      <c r="E127" s="6" t="s">
        <v>15</v>
      </c>
      <c r="F127" s="6" t="s">
        <v>18</v>
      </c>
      <c r="G127" s="19">
        <v>2368</v>
      </c>
      <c r="H127" s="11">
        <v>5</v>
      </c>
      <c r="I127" s="6">
        <v>2</v>
      </c>
      <c r="J127" s="6" t="s">
        <v>14</v>
      </c>
      <c r="K127" s="5" t="s">
        <v>14</v>
      </c>
      <c r="L127" s="3" t="str">
        <f>IF(Table1[[#This Row],[Monthly Income]]&lt;3000,"Low",IF(Table1[[#This Row],[Monthly Income]]&lt;7000,"Medium","High"))</f>
        <v>Low</v>
      </c>
      <c r="AK127" s="6"/>
      <c r="AL127" s="6"/>
      <c r="AM127" s="6"/>
      <c r="AN127" s="6"/>
      <c r="AO127" s="6"/>
      <c r="AP127" s="6"/>
      <c r="AQ127" s="6"/>
      <c r="AR127" s="6"/>
      <c r="AS127" s="6"/>
      <c r="AU127" s="6"/>
      <c r="AV127" s="6"/>
      <c r="AW127" s="6"/>
      <c r="AX127" s="6"/>
      <c r="AY127" s="6"/>
      <c r="AZ127" s="6"/>
      <c r="BA127" s="6"/>
      <c r="BB127" s="6"/>
      <c r="BC127" s="6"/>
      <c r="BD127" s="6"/>
      <c r="BE127" s="6"/>
    </row>
    <row r="128" spans="2:57" x14ac:dyDescent="0.3">
      <c r="B128" s="4" t="s">
        <v>151</v>
      </c>
      <c r="C128" s="4">
        <v>58</v>
      </c>
      <c r="D128" s="4" t="s">
        <v>12</v>
      </c>
      <c r="E128" s="4" t="s">
        <v>15</v>
      </c>
      <c r="F128" s="4" t="s">
        <v>29</v>
      </c>
      <c r="G128" s="18">
        <v>10312</v>
      </c>
      <c r="H128" s="10">
        <v>40</v>
      </c>
      <c r="I128" s="4">
        <v>4</v>
      </c>
      <c r="J128" s="4" t="s">
        <v>14</v>
      </c>
      <c r="K128" s="3" t="s">
        <v>9</v>
      </c>
      <c r="L128" s="3" t="str">
        <f>IF(Table1[[#This Row],[Monthly Income]]&lt;3000,"Low",IF(Table1[[#This Row],[Monthly Income]]&lt;7000,"Medium","High"))</f>
        <v>High</v>
      </c>
      <c r="AK128" s="4"/>
      <c r="AL128" s="4"/>
      <c r="AM128" s="4"/>
      <c r="AN128" s="4"/>
      <c r="AO128" s="4"/>
      <c r="AP128" s="4"/>
      <c r="AQ128" s="4"/>
      <c r="AR128" s="4"/>
      <c r="AS128" s="4"/>
      <c r="AU128" s="4"/>
      <c r="AV128" s="4"/>
      <c r="AW128" s="4"/>
      <c r="AX128" s="4"/>
      <c r="AY128" s="4"/>
      <c r="AZ128" s="4"/>
      <c r="BA128" s="4"/>
      <c r="BB128" s="4"/>
      <c r="BC128" s="4"/>
      <c r="BD128" s="4"/>
      <c r="BE128" s="4"/>
    </row>
    <row r="129" spans="2:57" x14ac:dyDescent="0.3">
      <c r="B129" s="6" t="s">
        <v>152</v>
      </c>
      <c r="C129" s="6">
        <v>19</v>
      </c>
      <c r="D129" s="6" t="s">
        <v>17</v>
      </c>
      <c r="E129" s="6" t="s">
        <v>10</v>
      </c>
      <c r="F129" s="6" t="s">
        <v>43</v>
      </c>
      <c r="G129" s="19">
        <v>1675</v>
      </c>
      <c r="H129" s="11">
        <v>0</v>
      </c>
      <c r="I129" s="6">
        <v>3</v>
      </c>
      <c r="J129" s="6" t="s">
        <v>9</v>
      </c>
      <c r="K129" s="5" t="s">
        <v>9</v>
      </c>
      <c r="L129" s="3" t="str">
        <f>IF(Table1[[#This Row],[Monthly Income]]&lt;3000,"Low",IF(Table1[[#This Row],[Monthly Income]]&lt;7000,"Medium","High"))</f>
        <v>Low</v>
      </c>
      <c r="AK129" s="6"/>
      <c r="AL129" s="6"/>
      <c r="AM129" s="6"/>
      <c r="AN129" s="6"/>
      <c r="AO129" s="6"/>
      <c r="AP129" s="6"/>
      <c r="AQ129" s="6"/>
      <c r="AR129" s="6"/>
      <c r="AS129" s="6"/>
      <c r="AU129" s="6"/>
      <c r="AV129" s="6"/>
      <c r="AW129" s="6"/>
      <c r="AX129" s="6"/>
      <c r="AY129" s="6"/>
      <c r="AZ129" s="6"/>
      <c r="BA129" s="6"/>
      <c r="BB129" s="6"/>
      <c r="BC129" s="6"/>
      <c r="BD129" s="6"/>
      <c r="BE129" s="6"/>
    </row>
    <row r="130" spans="2:57" x14ac:dyDescent="0.3">
      <c r="B130" s="4" t="s">
        <v>153</v>
      </c>
      <c r="C130" s="4">
        <v>22</v>
      </c>
      <c r="D130" s="4" t="s">
        <v>17</v>
      </c>
      <c r="E130" s="4" t="s">
        <v>15</v>
      </c>
      <c r="F130" s="4" t="s">
        <v>20</v>
      </c>
      <c r="G130" s="18">
        <v>2523</v>
      </c>
      <c r="H130" s="10">
        <v>2</v>
      </c>
      <c r="I130" s="4">
        <v>4</v>
      </c>
      <c r="J130" s="4" t="s">
        <v>14</v>
      </c>
      <c r="K130" s="3" t="s">
        <v>14</v>
      </c>
      <c r="L130" s="3" t="str">
        <f>IF(Table1[[#This Row],[Monthly Income]]&lt;3000,"Low",IF(Table1[[#This Row],[Monthly Income]]&lt;7000,"Medium","High"))</f>
        <v>Low</v>
      </c>
      <c r="AK130" s="4"/>
      <c r="AL130" s="4"/>
      <c r="AM130" s="4"/>
      <c r="AN130" s="4"/>
      <c r="AO130" s="4"/>
      <c r="AP130" s="4"/>
      <c r="AQ130" s="4"/>
      <c r="AR130" s="4"/>
      <c r="AS130" s="4"/>
      <c r="AU130" s="4"/>
      <c r="AV130" s="4"/>
      <c r="AW130" s="4"/>
      <c r="AX130" s="4"/>
      <c r="AY130" s="4"/>
      <c r="AZ130" s="4"/>
      <c r="BA130" s="4"/>
      <c r="BB130" s="4"/>
      <c r="BC130" s="4"/>
      <c r="BD130" s="4"/>
      <c r="BE130" s="4"/>
    </row>
    <row r="131" spans="2:57" x14ac:dyDescent="0.3">
      <c r="B131" s="6" t="s">
        <v>154</v>
      </c>
      <c r="C131" s="6">
        <v>49</v>
      </c>
      <c r="D131" s="6" t="s">
        <v>12</v>
      </c>
      <c r="E131" s="6" t="s">
        <v>15</v>
      </c>
      <c r="F131" s="6" t="s">
        <v>27</v>
      </c>
      <c r="G131" s="19">
        <v>6567</v>
      </c>
      <c r="H131" s="11">
        <v>15</v>
      </c>
      <c r="I131" s="6">
        <v>1</v>
      </c>
      <c r="J131" s="6" t="s">
        <v>14</v>
      </c>
      <c r="K131" s="5" t="s">
        <v>14</v>
      </c>
      <c r="L131" s="3" t="str">
        <f>IF(Table1[[#This Row],[Monthly Income]]&lt;3000,"Low",IF(Table1[[#This Row],[Monthly Income]]&lt;7000,"Medium","High"))</f>
        <v>Medium</v>
      </c>
      <c r="AK131" s="6"/>
      <c r="AL131" s="6"/>
      <c r="AM131" s="6"/>
      <c r="AN131" s="6"/>
      <c r="AO131" s="6"/>
      <c r="AP131" s="6"/>
      <c r="AQ131" s="6"/>
      <c r="AR131" s="6"/>
      <c r="AS131" s="6"/>
      <c r="AU131" s="6"/>
      <c r="AV131" s="6"/>
      <c r="AW131" s="6"/>
      <c r="AX131" s="6"/>
      <c r="AY131" s="6"/>
      <c r="AZ131" s="6"/>
      <c r="BA131" s="6"/>
      <c r="BB131" s="6"/>
      <c r="BC131" s="6"/>
      <c r="BD131" s="6"/>
      <c r="BE131" s="6"/>
    </row>
    <row r="132" spans="2:57" x14ac:dyDescent="0.3">
      <c r="B132" s="4" t="s">
        <v>155</v>
      </c>
      <c r="C132" s="4">
        <v>43</v>
      </c>
      <c r="D132" s="4" t="s">
        <v>12</v>
      </c>
      <c r="E132" s="4" t="s">
        <v>15</v>
      </c>
      <c r="F132" s="4" t="s">
        <v>18</v>
      </c>
      <c r="G132" s="18">
        <v>4739</v>
      </c>
      <c r="H132" s="10">
        <v>3</v>
      </c>
      <c r="I132" s="4">
        <v>3</v>
      </c>
      <c r="J132" s="4" t="s">
        <v>14</v>
      </c>
      <c r="K132" s="3" t="s">
        <v>14</v>
      </c>
      <c r="L132" s="3" t="str">
        <f>IF(Table1[[#This Row],[Monthly Income]]&lt;3000,"Low",IF(Table1[[#This Row],[Monthly Income]]&lt;7000,"Medium","High"))</f>
        <v>Medium</v>
      </c>
      <c r="AK132" s="4"/>
      <c r="AL132" s="4"/>
      <c r="AM132" s="4"/>
      <c r="AN132" s="4"/>
      <c r="AO132" s="4"/>
      <c r="AP132" s="4"/>
      <c r="AQ132" s="4"/>
      <c r="AR132" s="4"/>
      <c r="AS132" s="4"/>
      <c r="AU132" s="4"/>
      <c r="AV132" s="4"/>
      <c r="AW132" s="4"/>
      <c r="AX132" s="4"/>
      <c r="AY132" s="4"/>
      <c r="AZ132" s="4"/>
      <c r="BA132" s="4"/>
      <c r="BB132" s="4"/>
      <c r="BC132" s="4"/>
      <c r="BD132" s="4"/>
      <c r="BE132" s="4"/>
    </row>
    <row r="133" spans="2:57" x14ac:dyDescent="0.3">
      <c r="B133" s="6" t="s">
        <v>156</v>
      </c>
      <c r="C133" s="6">
        <v>50</v>
      </c>
      <c r="D133" s="6" t="s">
        <v>12</v>
      </c>
      <c r="E133" s="6" t="s">
        <v>10</v>
      </c>
      <c r="F133" s="6" t="s">
        <v>13</v>
      </c>
      <c r="G133" s="19">
        <v>9208</v>
      </c>
      <c r="H133" s="11">
        <v>2</v>
      </c>
      <c r="I133" s="6">
        <v>4</v>
      </c>
      <c r="J133" s="6" t="s">
        <v>14</v>
      </c>
      <c r="K133" s="5" t="s">
        <v>14</v>
      </c>
      <c r="L133" s="3" t="str">
        <f>IF(Table1[[#This Row],[Monthly Income]]&lt;3000,"Low",IF(Table1[[#This Row],[Monthly Income]]&lt;7000,"Medium","High"))</f>
        <v>High</v>
      </c>
      <c r="AK133" s="6"/>
      <c r="AL133" s="6"/>
      <c r="AM133" s="6"/>
      <c r="AN133" s="6"/>
      <c r="AO133" s="6"/>
      <c r="AP133" s="6"/>
      <c r="AQ133" s="6"/>
      <c r="AR133" s="6"/>
      <c r="AS133" s="6"/>
      <c r="AU133" s="6"/>
      <c r="AV133" s="6"/>
      <c r="AW133" s="6"/>
      <c r="AX133" s="6"/>
      <c r="AY133" s="6"/>
      <c r="AZ133" s="6"/>
      <c r="BA133" s="6"/>
      <c r="BB133" s="6"/>
      <c r="BC133" s="6"/>
      <c r="BD133" s="6"/>
      <c r="BE133" s="6"/>
    </row>
    <row r="134" spans="2:57" x14ac:dyDescent="0.3">
      <c r="B134" s="4" t="s">
        <v>157</v>
      </c>
      <c r="C134" s="4">
        <v>31</v>
      </c>
      <c r="D134" s="4" t="s">
        <v>12</v>
      </c>
      <c r="E134" s="4" t="s">
        <v>10</v>
      </c>
      <c r="F134" s="4" t="s">
        <v>13</v>
      </c>
      <c r="G134" s="18">
        <v>4559</v>
      </c>
      <c r="H134" s="10">
        <v>2</v>
      </c>
      <c r="I134" s="4">
        <v>3</v>
      </c>
      <c r="J134" s="4" t="s">
        <v>9</v>
      </c>
      <c r="K134" s="3" t="s">
        <v>9</v>
      </c>
      <c r="L134" s="3" t="str">
        <f>IF(Table1[[#This Row],[Monthly Income]]&lt;3000,"Low",IF(Table1[[#This Row],[Monthly Income]]&lt;7000,"Medium","High"))</f>
        <v>Medium</v>
      </c>
      <c r="AK134" s="4"/>
      <c r="AL134" s="4"/>
      <c r="AM134" s="4"/>
      <c r="AN134" s="4"/>
      <c r="AO134" s="4"/>
      <c r="AP134" s="4"/>
      <c r="AQ134" s="4"/>
      <c r="AR134" s="4"/>
      <c r="AS134" s="4"/>
      <c r="AU134" s="4"/>
      <c r="AV134" s="4"/>
      <c r="AW134" s="4"/>
      <c r="AX134" s="4"/>
      <c r="AY134" s="4"/>
      <c r="AZ134" s="4"/>
      <c r="BA134" s="4"/>
      <c r="BB134" s="4"/>
      <c r="BC134" s="4"/>
      <c r="BD134" s="4"/>
      <c r="BE134" s="4"/>
    </row>
    <row r="135" spans="2:57" x14ac:dyDescent="0.3">
      <c r="B135" s="6" t="s">
        <v>158</v>
      </c>
      <c r="C135" s="6">
        <v>41</v>
      </c>
      <c r="D135" s="6" t="s">
        <v>17</v>
      </c>
      <c r="E135" s="6" t="s">
        <v>10</v>
      </c>
      <c r="F135" s="6" t="s">
        <v>13</v>
      </c>
      <c r="G135" s="19">
        <v>8189</v>
      </c>
      <c r="H135" s="11">
        <v>9</v>
      </c>
      <c r="I135" s="6">
        <v>3</v>
      </c>
      <c r="J135" s="6" t="s">
        <v>9</v>
      </c>
      <c r="K135" s="5" t="s">
        <v>14</v>
      </c>
      <c r="L135" s="3" t="str">
        <f>IF(Table1[[#This Row],[Monthly Income]]&lt;3000,"Low",IF(Table1[[#This Row],[Monthly Income]]&lt;7000,"Medium","High"))</f>
        <v>High</v>
      </c>
      <c r="AK135" s="6"/>
      <c r="AL135" s="6"/>
      <c r="AM135" s="6"/>
      <c r="AN135" s="6"/>
      <c r="AO135" s="6"/>
      <c r="AP135" s="6"/>
      <c r="AQ135" s="6"/>
      <c r="AR135" s="6"/>
      <c r="AS135" s="6"/>
      <c r="AU135" s="6"/>
      <c r="AV135" s="6"/>
      <c r="AW135" s="6"/>
      <c r="AX135" s="6"/>
      <c r="AY135" s="6"/>
      <c r="AZ135" s="6"/>
      <c r="BA135" s="6"/>
      <c r="BB135" s="6"/>
      <c r="BC135" s="6"/>
      <c r="BD135" s="6"/>
      <c r="BE135" s="6"/>
    </row>
    <row r="136" spans="2:57" x14ac:dyDescent="0.3">
      <c r="B136" s="4" t="s">
        <v>159</v>
      </c>
      <c r="C136" s="4">
        <v>26</v>
      </c>
      <c r="D136" s="4" t="s">
        <v>12</v>
      </c>
      <c r="E136" s="4" t="s">
        <v>102</v>
      </c>
      <c r="F136" s="4" t="s">
        <v>104</v>
      </c>
      <c r="G136" s="18">
        <v>2942</v>
      </c>
      <c r="H136" s="10">
        <v>8</v>
      </c>
      <c r="I136" s="4">
        <v>3</v>
      </c>
      <c r="J136" s="4" t="s">
        <v>14</v>
      </c>
      <c r="K136" s="3" t="s">
        <v>14</v>
      </c>
      <c r="L136" s="3" t="str">
        <f>IF(Table1[[#This Row],[Monthly Income]]&lt;3000,"Low",IF(Table1[[#This Row],[Monthly Income]]&lt;7000,"Medium","High"))</f>
        <v>Low</v>
      </c>
      <c r="AK136" s="4"/>
      <c r="AL136" s="4"/>
      <c r="AM136" s="4"/>
      <c r="AN136" s="4"/>
      <c r="AO136" s="4"/>
      <c r="AP136" s="4"/>
      <c r="AQ136" s="4"/>
      <c r="AR136" s="4"/>
      <c r="AS136" s="4"/>
      <c r="AU136" s="4"/>
      <c r="AV136" s="4"/>
      <c r="AW136" s="4"/>
      <c r="AX136" s="4"/>
      <c r="AY136" s="4"/>
      <c r="AZ136" s="4"/>
      <c r="BA136" s="4"/>
      <c r="BB136" s="4"/>
      <c r="BC136" s="4"/>
      <c r="BD136" s="4"/>
      <c r="BE136" s="4"/>
    </row>
    <row r="137" spans="2:57" x14ac:dyDescent="0.3">
      <c r="B137" s="6" t="s">
        <v>160</v>
      </c>
      <c r="C137" s="6">
        <v>36</v>
      </c>
      <c r="D137" s="6" t="s">
        <v>17</v>
      </c>
      <c r="E137" s="6" t="s">
        <v>15</v>
      </c>
      <c r="F137" s="6" t="s">
        <v>27</v>
      </c>
      <c r="G137" s="19">
        <v>4941</v>
      </c>
      <c r="H137" s="11">
        <v>3</v>
      </c>
      <c r="I137" s="6">
        <v>2</v>
      </c>
      <c r="J137" s="6" t="s">
        <v>14</v>
      </c>
      <c r="K137" s="5" t="s">
        <v>14</v>
      </c>
      <c r="L137" s="3" t="str">
        <f>IF(Table1[[#This Row],[Monthly Income]]&lt;3000,"Low",IF(Table1[[#This Row],[Monthly Income]]&lt;7000,"Medium","High"))</f>
        <v>Medium</v>
      </c>
      <c r="AK137" s="6"/>
      <c r="AL137" s="6"/>
      <c r="AM137" s="6"/>
      <c r="AN137" s="6"/>
      <c r="AO137" s="6"/>
      <c r="AP137" s="6"/>
      <c r="AQ137" s="6"/>
      <c r="AR137" s="6"/>
      <c r="AS137" s="6"/>
      <c r="AU137" s="6"/>
      <c r="AV137" s="6"/>
      <c r="AW137" s="6"/>
      <c r="AX137" s="6"/>
      <c r="AY137" s="6"/>
      <c r="AZ137" s="6"/>
      <c r="BA137" s="6"/>
      <c r="BB137" s="6"/>
      <c r="BC137" s="6"/>
      <c r="BD137" s="6"/>
      <c r="BE137" s="6"/>
    </row>
    <row r="138" spans="2:57" x14ac:dyDescent="0.3">
      <c r="B138" s="4" t="s">
        <v>161</v>
      </c>
      <c r="C138" s="4">
        <v>51</v>
      </c>
      <c r="D138" s="4" t="s">
        <v>17</v>
      </c>
      <c r="E138" s="4" t="s">
        <v>15</v>
      </c>
      <c r="F138" s="4" t="s">
        <v>27</v>
      </c>
      <c r="G138" s="18">
        <v>10650</v>
      </c>
      <c r="H138" s="10">
        <v>4</v>
      </c>
      <c r="I138" s="4">
        <v>4</v>
      </c>
      <c r="J138" s="4" t="s">
        <v>14</v>
      </c>
      <c r="K138" s="3" t="s">
        <v>9</v>
      </c>
      <c r="L138" s="3" t="str">
        <f>IF(Table1[[#This Row],[Monthly Income]]&lt;3000,"Low",IF(Table1[[#This Row],[Monthly Income]]&lt;7000,"Medium","High"))</f>
        <v>High</v>
      </c>
      <c r="AK138" s="4"/>
      <c r="AL138" s="4"/>
      <c r="AM138" s="4"/>
      <c r="AN138" s="4"/>
      <c r="AO138" s="4"/>
      <c r="AP138" s="4"/>
      <c r="AQ138" s="4"/>
      <c r="AR138" s="4"/>
      <c r="AS138" s="4"/>
      <c r="AU138" s="4"/>
      <c r="AV138" s="4"/>
      <c r="AW138" s="4"/>
      <c r="AX138" s="4"/>
      <c r="AY138" s="4"/>
      <c r="AZ138" s="4"/>
      <c r="BA138" s="4"/>
      <c r="BB138" s="4"/>
      <c r="BC138" s="4"/>
      <c r="BD138" s="4"/>
      <c r="BE138" s="4"/>
    </row>
    <row r="139" spans="2:57" x14ac:dyDescent="0.3">
      <c r="B139" s="6" t="s">
        <v>162</v>
      </c>
      <c r="C139" s="6">
        <v>39</v>
      </c>
      <c r="D139" s="6" t="s">
        <v>12</v>
      </c>
      <c r="E139" s="6" t="s">
        <v>10</v>
      </c>
      <c r="F139" s="6" t="s">
        <v>13</v>
      </c>
      <c r="G139" s="19">
        <v>5902</v>
      </c>
      <c r="H139" s="11">
        <v>15</v>
      </c>
      <c r="I139" s="6">
        <v>3</v>
      </c>
      <c r="J139" s="6" t="s">
        <v>14</v>
      </c>
      <c r="K139" s="5" t="s">
        <v>14</v>
      </c>
      <c r="L139" s="3" t="str">
        <f>IF(Table1[[#This Row],[Monthly Income]]&lt;3000,"Low",IF(Table1[[#This Row],[Monthly Income]]&lt;7000,"Medium","High"))</f>
        <v>Medium</v>
      </c>
      <c r="AK139" s="6"/>
      <c r="AL139" s="6"/>
      <c r="AM139" s="6"/>
      <c r="AN139" s="6"/>
      <c r="AO139" s="6"/>
      <c r="AP139" s="6"/>
      <c r="AQ139" s="6"/>
      <c r="AR139" s="6"/>
      <c r="AS139" s="6"/>
      <c r="AU139" s="6"/>
      <c r="AV139" s="6"/>
      <c r="AW139" s="6"/>
      <c r="AX139" s="6"/>
      <c r="AY139" s="6"/>
      <c r="AZ139" s="6"/>
      <c r="BA139" s="6"/>
      <c r="BB139" s="6"/>
      <c r="BC139" s="6"/>
      <c r="BD139" s="6"/>
      <c r="BE139" s="6"/>
    </row>
    <row r="140" spans="2:57" x14ac:dyDescent="0.3">
      <c r="B140" s="4" t="s">
        <v>163</v>
      </c>
      <c r="C140" s="4">
        <v>25</v>
      </c>
      <c r="D140" s="4" t="s">
        <v>17</v>
      </c>
      <c r="E140" s="4" t="s">
        <v>10</v>
      </c>
      <c r="F140" s="4" t="s">
        <v>13</v>
      </c>
      <c r="G140" s="18">
        <v>8639</v>
      </c>
      <c r="H140" s="10">
        <v>2</v>
      </c>
      <c r="I140" s="4">
        <v>3</v>
      </c>
      <c r="J140" s="4" t="s">
        <v>14</v>
      </c>
      <c r="K140" s="3" t="s">
        <v>14</v>
      </c>
      <c r="L140" s="3" t="str">
        <f>IF(Table1[[#This Row],[Monthly Income]]&lt;3000,"Low",IF(Table1[[#This Row],[Monthly Income]]&lt;7000,"Medium","High"))</f>
        <v>High</v>
      </c>
      <c r="AK140" s="4"/>
      <c r="AL140" s="4"/>
      <c r="AM140" s="4"/>
      <c r="AN140" s="4"/>
      <c r="AO140" s="4"/>
      <c r="AP140" s="4"/>
      <c r="AQ140" s="4"/>
      <c r="AR140" s="4"/>
      <c r="AS140" s="4"/>
      <c r="AU140" s="4"/>
      <c r="AV140" s="4"/>
      <c r="AW140" s="4"/>
      <c r="AX140" s="4"/>
      <c r="AY140" s="4"/>
      <c r="AZ140" s="4"/>
      <c r="BA140" s="4"/>
      <c r="BB140" s="4"/>
      <c r="BC140" s="4"/>
      <c r="BD140" s="4"/>
      <c r="BE140" s="4"/>
    </row>
    <row r="141" spans="2:57" x14ac:dyDescent="0.3">
      <c r="B141" s="6" t="s">
        <v>164</v>
      </c>
      <c r="C141" s="6">
        <v>30</v>
      </c>
      <c r="D141" s="6" t="s">
        <v>17</v>
      </c>
      <c r="E141" s="6" t="s">
        <v>102</v>
      </c>
      <c r="F141" s="6" t="s">
        <v>104</v>
      </c>
      <c r="G141" s="19">
        <v>6347</v>
      </c>
      <c r="H141" s="11">
        <v>11</v>
      </c>
      <c r="I141" s="6">
        <v>4</v>
      </c>
      <c r="J141" s="6" t="s">
        <v>9</v>
      </c>
      <c r="K141" s="5" t="s">
        <v>14</v>
      </c>
      <c r="L141" s="3" t="str">
        <f>IF(Table1[[#This Row],[Monthly Income]]&lt;3000,"Low",IF(Table1[[#This Row],[Monthly Income]]&lt;7000,"Medium","High"))</f>
        <v>Medium</v>
      </c>
      <c r="AK141" s="6"/>
      <c r="AL141" s="6"/>
      <c r="AM141" s="6"/>
      <c r="AN141" s="6"/>
      <c r="AO141" s="6"/>
      <c r="AP141" s="6"/>
      <c r="AQ141" s="6"/>
      <c r="AR141" s="6"/>
      <c r="AS141" s="6"/>
      <c r="AU141" s="6"/>
      <c r="AV141" s="6"/>
      <c r="AW141" s="6"/>
      <c r="AX141" s="6"/>
      <c r="AY141" s="6"/>
      <c r="AZ141" s="6"/>
      <c r="BA141" s="6"/>
      <c r="BB141" s="6"/>
      <c r="BC141" s="6"/>
      <c r="BD141" s="6"/>
      <c r="BE141" s="6"/>
    </row>
    <row r="142" spans="2:57" x14ac:dyDescent="0.3">
      <c r="B142" s="4" t="s">
        <v>165</v>
      </c>
      <c r="C142" s="4">
        <v>32</v>
      </c>
      <c r="D142" s="4" t="s">
        <v>12</v>
      </c>
      <c r="E142" s="4" t="s">
        <v>15</v>
      </c>
      <c r="F142" s="4" t="s">
        <v>20</v>
      </c>
      <c r="G142" s="18">
        <v>4200</v>
      </c>
      <c r="H142" s="10">
        <v>5</v>
      </c>
      <c r="I142" s="4">
        <v>1</v>
      </c>
      <c r="J142" s="4" t="s">
        <v>14</v>
      </c>
      <c r="K142" s="3" t="s">
        <v>9</v>
      </c>
      <c r="L142" s="3" t="str">
        <f>IF(Table1[[#This Row],[Monthly Income]]&lt;3000,"Low",IF(Table1[[#This Row],[Monthly Income]]&lt;7000,"Medium","High"))</f>
        <v>Medium</v>
      </c>
      <c r="AK142" s="4"/>
      <c r="AL142" s="4"/>
      <c r="AM142" s="4"/>
      <c r="AN142" s="4"/>
      <c r="AO142" s="4"/>
      <c r="AP142" s="4"/>
      <c r="AQ142" s="4"/>
      <c r="AR142" s="4"/>
      <c r="AS142" s="4"/>
      <c r="AU142" s="4"/>
      <c r="AV142" s="4"/>
      <c r="AW142" s="4"/>
      <c r="AX142" s="4"/>
      <c r="AY142" s="4"/>
      <c r="AZ142" s="4"/>
      <c r="BA142" s="4"/>
      <c r="BB142" s="4"/>
      <c r="BC142" s="4"/>
      <c r="BD142" s="4"/>
      <c r="BE142" s="4"/>
    </row>
    <row r="143" spans="2:57" x14ac:dyDescent="0.3">
      <c r="B143" s="6" t="s">
        <v>166</v>
      </c>
      <c r="C143" s="6">
        <v>45</v>
      </c>
      <c r="D143" s="6" t="s">
        <v>17</v>
      </c>
      <c r="E143" s="6" t="s">
        <v>15</v>
      </c>
      <c r="F143" s="6" t="s">
        <v>18</v>
      </c>
      <c r="G143" s="19">
        <v>3452</v>
      </c>
      <c r="H143" s="11">
        <v>6</v>
      </c>
      <c r="I143" s="6">
        <v>4</v>
      </c>
      <c r="J143" s="6" t="s">
        <v>14</v>
      </c>
      <c r="K143" s="5" t="s">
        <v>14</v>
      </c>
      <c r="L143" s="3" t="str">
        <f>IF(Table1[[#This Row],[Monthly Income]]&lt;3000,"Low",IF(Table1[[#This Row],[Monthly Income]]&lt;7000,"Medium","High"))</f>
        <v>Medium</v>
      </c>
      <c r="AK143" s="6"/>
      <c r="AL143" s="6"/>
      <c r="AM143" s="6"/>
      <c r="AN143" s="6"/>
      <c r="AO143" s="6"/>
      <c r="AP143" s="6"/>
      <c r="AQ143" s="6"/>
      <c r="AR143" s="6"/>
      <c r="AS143" s="6"/>
      <c r="AU143" s="6"/>
      <c r="AV143" s="6"/>
      <c r="AW143" s="6"/>
      <c r="AX143" s="6"/>
      <c r="AY143" s="6"/>
      <c r="AZ143" s="6"/>
      <c r="BA143" s="6"/>
      <c r="BB143" s="6"/>
      <c r="BC143" s="6"/>
      <c r="BD143" s="6"/>
      <c r="BE143" s="6"/>
    </row>
    <row r="144" spans="2:57" x14ac:dyDescent="0.3">
      <c r="B144" s="4" t="s">
        <v>167</v>
      </c>
      <c r="C144" s="4">
        <v>38</v>
      </c>
      <c r="D144" s="4" t="s">
        <v>12</v>
      </c>
      <c r="E144" s="4" t="s">
        <v>15</v>
      </c>
      <c r="F144" s="4" t="s">
        <v>18</v>
      </c>
      <c r="G144" s="18">
        <v>4317</v>
      </c>
      <c r="H144" s="10">
        <v>3</v>
      </c>
      <c r="I144" s="4">
        <v>3</v>
      </c>
      <c r="J144" s="4" t="s">
        <v>9</v>
      </c>
      <c r="K144" s="3" t="s">
        <v>14</v>
      </c>
      <c r="L144" s="3" t="str">
        <f>IF(Table1[[#This Row],[Monthly Income]]&lt;3000,"Low",IF(Table1[[#This Row],[Monthly Income]]&lt;7000,"Medium","High"))</f>
        <v>Medium</v>
      </c>
      <c r="AK144" s="4"/>
      <c r="AL144" s="4"/>
      <c r="AM144" s="4"/>
      <c r="AN144" s="4"/>
      <c r="AO144" s="4"/>
      <c r="AP144" s="4"/>
      <c r="AQ144" s="4"/>
      <c r="AR144" s="4"/>
      <c r="AS144" s="4"/>
      <c r="AU144" s="4"/>
      <c r="AV144" s="4"/>
      <c r="AW144" s="4"/>
      <c r="AX144" s="4"/>
      <c r="AY144" s="4"/>
      <c r="AZ144" s="4"/>
      <c r="BA144" s="4"/>
      <c r="BB144" s="4"/>
      <c r="BC144" s="4"/>
      <c r="BD144" s="4"/>
      <c r="BE144" s="4"/>
    </row>
    <row r="145" spans="2:57" x14ac:dyDescent="0.3">
      <c r="B145" s="6" t="s">
        <v>168</v>
      </c>
      <c r="C145" s="6">
        <v>30</v>
      </c>
      <c r="D145" s="6" t="s">
        <v>12</v>
      </c>
      <c r="E145" s="6" t="s">
        <v>15</v>
      </c>
      <c r="F145" s="6" t="s">
        <v>18</v>
      </c>
      <c r="G145" s="19">
        <v>2632</v>
      </c>
      <c r="H145" s="11">
        <v>5</v>
      </c>
      <c r="I145" s="6">
        <v>3</v>
      </c>
      <c r="J145" s="6" t="s">
        <v>14</v>
      </c>
      <c r="K145" s="5" t="s">
        <v>14</v>
      </c>
      <c r="L145" s="3" t="str">
        <f>IF(Table1[[#This Row],[Monthly Income]]&lt;3000,"Low",IF(Table1[[#This Row],[Monthly Income]]&lt;7000,"Medium","High"))</f>
        <v>Low</v>
      </c>
      <c r="AK145" s="6"/>
      <c r="AL145" s="6"/>
      <c r="AM145" s="6"/>
      <c r="AN145" s="6"/>
      <c r="AO145" s="6"/>
      <c r="AP145" s="6"/>
      <c r="AQ145" s="6"/>
      <c r="AR145" s="6"/>
      <c r="AS145" s="6"/>
      <c r="AU145" s="6"/>
      <c r="AV145" s="6"/>
      <c r="AW145" s="6"/>
      <c r="AX145" s="6"/>
      <c r="AY145" s="6"/>
      <c r="AZ145" s="6"/>
      <c r="BA145" s="6"/>
      <c r="BB145" s="6"/>
      <c r="BC145" s="6"/>
      <c r="BD145" s="6"/>
      <c r="BE145" s="6"/>
    </row>
    <row r="146" spans="2:57" x14ac:dyDescent="0.3">
      <c r="B146" s="4" t="s">
        <v>169</v>
      </c>
      <c r="C146" s="4">
        <v>32</v>
      </c>
      <c r="D146" s="4" t="s">
        <v>17</v>
      </c>
      <c r="E146" s="4" t="s">
        <v>10</v>
      </c>
      <c r="F146" s="4" t="s">
        <v>13</v>
      </c>
      <c r="G146" s="18">
        <v>4668</v>
      </c>
      <c r="H146" s="10">
        <v>8</v>
      </c>
      <c r="I146" s="4">
        <v>4</v>
      </c>
      <c r="J146" s="4" t="s">
        <v>14</v>
      </c>
      <c r="K146" s="3" t="s">
        <v>14</v>
      </c>
      <c r="L146" s="3" t="str">
        <f>IF(Table1[[#This Row],[Monthly Income]]&lt;3000,"Low",IF(Table1[[#This Row],[Monthly Income]]&lt;7000,"Medium","High"))</f>
        <v>Medium</v>
      </c>
      <c r="AK146" s="4"/>
      <c r="AL146" s="4"/>
      <c r="AM146" s="4"/>
      <c r="AN146" s="4"/>
      <c r="AO146" s="4"/>
      <c r="AP146" s="4"/>
      <c r="AQ146" s="4"/>
      <c r="AR146" s="4"/>
      <c r="AS146" s="4"/>
      <c r="AU146" s="4"/>
      <c r="AV146" s="4"/>
      <c r="AW146" s="4"/>
      <c r="AX146" s="4"/>
      <c r="AY146" s="4"/>
      <c r="AZ146" s="4"/>
      <c r="BA146" s="4"/>
      <c r="BB146" s="4"/>
      <c r="BC146" s="4"/>
      <c r="BD146" s="4"/>
      <c r="BE146" s="4"/>
    </row>
    <row r="147" spans="2:57" x14ac:dyDescent="0.3">
      <c r="B147" s="6" t="s">
        <v>170</v>
      </c>
      <c r="C147" s="6">
        <v>30</v>
      </c>
      <c r="D147" s="6" t="s">
        <v>12</v>
      </c>
      <c r="E147" s="6" t="s">
        <v>15</v>
      </c>
      <c r="F147" s="6" t="s">
        <v>18</v>
      </c>
      <c r="G147" s="19">
        <v>3204</v>
      </c>
      <c r="H147" s="11">
        <v>3</v>
      </c>
      <c r="I147" s="6">
        <v>1</v>
      </c>
      <c r="J147" s="6" t="s">
        <v>14</v>
      </c>
      <c r="K147" s="5" t="s">
        <v>14</v>
      </c>
      <c r="L147" s="3" t="str">
        <f>IF(Table1[[#This Row],[Monthly Income]]&lt;3000,"Low",IF(Table1[[#This Row],[Monthly Income]]&lt;7000,"Medium","High"))</f>
        <v>Medium</v>
      </c>
      <c r="AK147" s="6"/>
      <c r="AL147" s="6"/>
      <c r="AM147" s="6"/>
      <c r="AN147" s="6"/>
      <c r="AO147" s="6"/>
      <c r="AP147" s="6"/>
      <c r="AQ147" s="6"/>
      <c r="AR147" s="6"/>
      <c r="AS147" s="6"/>
      <c r="AU147" s="6"/>
      <c r="AV147" s="6"/>
      <c r="AW147" s="6"/>
      <c r="AX147" s="6"/>
      <c r="AY147" s="6"/>
      <c r="AZ147" s="6"/>
      <c r="BA147" s="6"/>
      <c r="BB147" s="6"/>
      <c r="BC147" s="6"/>
      <c r="BD147" s="6"/>
      <c r="BE147" s="6"/>
    </row>
    <row r="148" spans="2:57" x14ac:dyDescent="0.3">
      <c r="B148" s="4" t="s">
        <v>171</v>
      </c>
      <c r="C148" s="4">
        <v>30</v>
      </c>
      <c r="D148" s="4" t="s">
        <v>17</v>
      </c>
      <c r="E148" s="4" t="s">
        <v>15</v>
      </c>
      <c r="F148" s="4" t="s">
        <v>20</v>
      </c>
      <c r="G148" s="18">
        <v>2720</v>
      </c>
      <c r="H148" s="10">
        <v>5</v>
      </c>
      <c r="I148" s="4">
        <v>4</v>
      </c>
      <c r="J148" s="4" t="s">
        <v>14</v>
      </c>
      <c r="K148" s="3" t="s">
        <v>14</v>
      </c>
      <c r="L148" s="3" t="str">
        <f>IF(Table1[[#This Row],[Monthly Income]]&lt;3000,"Low",IF(Table1[[#This Row],[Monthly Income]]&lt;7000,"Medium","High"))</f>
        <v>Low</v>
      </c>
      <c r="AK148" s="4"/>
      <c r="AL148" s="4"/>
      <c r="AM148" s="4"/>
      <c r="AN148" s="4"/>
      <c r="AO148" s="4"/>
      <c r="AP148" s="4"/>
      <c r="AQ148" s="4"/>
      <c r="AR148" s="4"/>
      <c r="AS148" s="4"/>
      <c r="AU148" s="4"/>
      <c r="AV148" s="4"/>
      <c r="AW148" s="4"/>
      <c r="AX148" s="4"/>
      <c r="AY148" s="4"/>
      <c r="AZ148" s="4"/>
      <c r="BA148" s="4"/>
      <c r="BB148" s="4"/>
      <c r="BC148" s="4"/>
      <c r="BD148" s="4"/>
      <c r="BE148" s="4"/>
    </row>
    <row r="149" spans="2:57" x14ac:dyDescent="0.3">
      <c r="B149" s="6" t="s">
        <v>172</v>
      </c>
      <c r="C149" s="6">
        <v>41</v>
      </c>
      <c r="D149" s="6" t="s">
        <v>17</v>
      </c>
      <c r="E149" s="6" t="s">
        <v>15</v>
      </c>
      <c r="F149" s="6" t="s">
        <v>39</v>
      </c>
      <c r="G149" s="19">
        <v>17181</v>
      </c>
      <c r="H149" s="11">
        <v>7</v>
      </c>
      <c r="I149" s="6">
        <v>1</v>
      </c>
      <c r="J149" s="6" t="s">
        <v>14</v>
      </c>
      <c r="K149" s="5" t="s">
        <v>14</v>
      </c>
      <c r="L149" s="3" t="str">
        <f>IF(Table1[[#This Row],[Monthly Income]]&lt;3000,"Low",IF(Table1[[#This Row],[Monthly Income]]&lt;7000,"Medium","High"))</f>
        <v>High</v>
      </c>
      <c r="AK149" s="6"/>
      <c r="AL149" s="6"/>
      <c r="AM149" s="6"/>
      <c r="AN149" s="6"/>
      <c r="AO149" s="6"/>
      <c r="AP149" s="6"/>
      <c r="AQ149" s="6"/>
      <c r="AR149" s="6"/>
      <c r="AS149" s="6"/>
      <c r="AU149" s="6"/>
      <c r="AV149" s="6"/>
      <c r="AW149" s="6"/>
      <c r="AX149" s="6"/>
      <c r="AY149" s="6"/>
      <c r="AZ149" s="6"/>
      <c r="BA149" s="6"/>
      <c r="BB149" s="6"/>
      <c r="BC149" s="6"/>
      <c r="BD149" s="6"/>
      <c r="BE149" s="6"/>
    </row>
    <row r="150" spans="2:57" x14ac:dyDescent="0.3">
      <c r="B150" s="4" t="s">
        <v>173</v>
      </c>
      <c r="C150" s="4">
        <v>41</v>
      </c>
      <c r="D150" s="4" t="s">
        <v>17</v>
      </c>
      <c r="E150" s="4" t="s">
        <v>15</v>
      </c>
      <c r="F150" s="4" t="s">
        <v>20</v>
      </c>
      <c r="G150" s="18">
        <v>2238</v>
      </c>
      <c r="H150" s="10">
        <v>5</v>
      </c>
      <c r="I150" s="4">
        <v>1</v>
      </c>
      <c r="J150" s="4" t="s">
        <v>14</v>
      </c>
      <c r="K150" s="3" t="s">
        <v>14</v>
      </c>
      <c r="L150" s="3" t="str">
        <f>IF(Table1[[#This Row],[Monthly Income]]&lt;3000,"Low",IF(Table1[[#This Row],[Monthly Income]]&lt;7000,"Medium","High"))</f>
        <v>Low</v>
      </c>
      <c r="AK150" s="4"/>
      <c r="AL150" s="4"/>
      <c r="AM150" s="4"/>
      <c r="AN150" s="4"/>
      <c r="AO150" s="4"/>
      <c r="AP150" s="4"/>
      <c r="AQ150" s="4"/>
      <c r="AR150" s="4"/>
      <c r="AS150" s="4"/>
      <c r="AU150" s="4"/>
      <c r="AV150" s="4"/>
      <c r="AW150" s="4"/>
      <c r="AX150" s="4"/>
      <c r="AY150" s="4"/>
      <c r="AZ150" s="4"/>
      <c r="BA150" s="4"/>
      <c r="BB150" s="4"/>
      <c r="BC150" s="4"/>
      <c r="BD150" s="4"/>
      <c r="BE150" s="4"/>
    </row>
    <row r="151" spans="2:57" x14ac:dyDescent="0.3">
      <c r="B151" s="6" t="s">
        <v>174</v>
      </c>
      <c r="C151" s="6">
        <v>19</v>
      </c>
      <c r="D151" s="6" t="s">
        <v>12</v>
      </c>
      <c r="E151" s="6" t="s">
        <v>15</v>
      </c>
      <c r="F151" s="6" t="s">
        <v>20</v>
      </c>
      <c r="G151" s="19">
        <v>1483</v>
      </c>
      <c r="H151" s="11">
        <v>1</v>
      </c>
      <c r="I151" s="6">
        <v>2</v>
      </c>
      <c r="J151" s="6" t="s">
        <v>14</v>
      </c>
      <c r="K151" s="5" t="s">
        <v>14</v>
      </c>
      <c r="L151" s="3" t="str">
        <f>IF(Table1[[#This Row],[Monthly Income]]&lt;3000,"Low",IF(Table1[[#This Row],[Monthly Income]]&lt;7000,"Medium","High"))</f>
        <v>Low</v>
      </c>
      <c r="AK151" s="6"/>
      <c r="AL151" s="6"/>
      <c r="AM151" s="6"/>
      <c r="AN151" s="6"/>
      <c r="AO151" s="6"/>
      <c r="AP151" s="6"/>
      <c r="AQ151" s="6"/>
      <c r="AR151" s="6"/>
      <c r="AS151" s="6"/>
      <c r="AU151" s="6"/>
      <c r="AV151" s="6"/>
      <c r="AW151" s="6"/>
      <c r="AX151" s="6"/>
      <c r="AY151" s="6"/>
      <c r="AZ151" s="6"/>
      <c r="BA151" s="6"/>
      <c r="BB151" s="6"/>
      <c r="BC151" s="6"/>
      <c r="BD151" s="6"/>
      <c r="BE151" s="6"/>
    </row>
    <row r="152" spans="2:57" x14ac:dyDescent="0.3">
      <c r="B152" s="4" t="s">
        <v>175</v>
      </c>
      <c r="C152" s="4">
        <v>40</v>
      </c>
      <c r="D152" s="4" t="s">
        <v>12</v>
      </c>
      <c r="E152" s="4" t="s">
        <v>15</v>
      </c>
      <c r="F152" s="4" t="s">
        <v>18</v>
      </c>
      <c r="G152" s="18">
        <v>5605</v>
      </c>
      <c r="H152" s="10">
        <v>20</v>
      </c>
      <c r="I152" s="4">
        <v>2</v>
      </c>
      <c r="J152" s="4" t="s">
        <v>14</v>
      </c>
      <c r="K152" s="3" t="s">
        <v>14</v>
      </c>
      <c r="L152" s="3" t="str">
        <f>IF(Table1[[#This Row],[Monthly Income]]&lt;3000,"Low",IF(Table1[[#This Row],[Monthly Income]]&lt;7000,"Medium","High"))</f>
        <v>Medium</v>
      </c>
      <c r="AK152" s="4"/>
      <c r="AL152" s="4"/>
      <c r="AM152" s="4"/>
      <c r="AN152" s="4"/>
      <c r="AO152" s="4"/>
      <c r="AP152" s="4"/>
      <c r="AQ152" s="4"/>
      <c r="AR152" s="4"/>
      <c r="AS152" s="4"/>
      <c r="AU152" s="4"/>
      <c r="AV152" s="4"/>
      <c r="AW152" s="4"/>
      <c r="AX152" s="4"/>
      <c r="AY152" s="4"/>
      <c r="AZ152" s="4"/>
      <c r="BA152" s="4"/>
      <c r="BB152" s="4"/>
      <c r="BC152" s="4"/>
      <c r="BD152" s="4"/>
      <c r="BE152" s="4"/>
    </row>
    <row r="153" spans="2:57" x14ac:dyDescent="0.3">
      <c r="B153" s="6" t="s">
        <v>176</v>
      </c>
      <c r="C153" s="6">
        <v>35</v>
      </c>
      <c r="D153" s="6" t="s">
        <v>17</v>
      </c>
      <c r="E153" s="6" t="s">
        <v>10</v>
      </c>
      <c r="F153" s="6" t="s">
        <v>13</v>
      </c>
      <c r="G153" s="19">
        <v>7295</v>
      </c>
      <c r="H153" s="11">
        <v>10</v>
      </c>
      <c r="I153" s="6">
        <v>2</v>
      </c>
      <c r="J153" s="6" t="s">
        <v>14</v>
      </c>
      <c r="K153" s="5" t="s">
        <v>14</v>
      </c>
      <c r="L153" s="3" t="str">
        <f>IF(Table1[[#This Row],[Monthly Income]]&lt;3000,"Low",IF(Table1[[#This Row],[Monthly Income]]&lt;7000,"Medium","High"))</f>
        <v>High</v>
      </c>
      <c r="AK153" s="6"/>
      <c r="AL153" s="6"/>
      <c r="AM153" s="6"/>
      <c r="AN153" s="6"/>
      <c r="AO153" s="6"/>
      <c r="AP153" s="6"/>
      <c r="AQ153" s="6"/>
      <c r="AR153" s="6"/>
      <c r="AS153" s="6"/>
      <c r="AU153" s="6"/>
      <c r="AV153" s="6"/>
      <c r="AW153" s="6"/>
      <c r="AX153" s="6"/>
      <c r="AY153" s="6"/>
      <c r="AZ153" s="6"/>
      <c r="BA153" s="6"/>
      <c r="BB153" s="6"/>
      <c r="BC153" s="6"/>
      <c r="BD153" s="6"/>
      <c r="BE153" s="6"/>
    </row>
    <row r="154" spans="2:57" x14ac:dyDescent="0.3">
      <c r="B154" s="4" t="s">
        <v>177</v>
      </c>
      <c r="C154" s="4">
        <v>53</v>
      </c>
      <c r="D154" s="4" t="s">
        <v>17</v>
      </c>
      <c r="E154" s="4" t="s">
        <v>10</v>
      </c>
      <c r="F154" s="4" t="s">
        <v>43</v>
      </c>
      <c r="G154" s="18">
        <v>2306</v>
      </c>
      <c r="H154" s="10">
        <v>7</v>
      </c>
      <c r="I154" s="4">
        <v>3</v>
      </c>
      <c r="J154" s="4" t="s">
        <v>9</v>
      </c>
      <c r="K154" s="3" t="s">
        <v>14</v>
      </c>
      <c r="L154" s="3" t="str">
        <f>IF(Table1[[#This Row],[Monthly Income]]&lt;3000,"Low",IF(Table1[[#This Row],[Monthly Income]]&lt;7000,"Medium","High"))</f>
        <v>Low</v>
      </c>
      <c r="AK154" s="4"/>
      <c r="AL154" s="4"/>
      <c r="AM154" s="4"/>
      <c r="AN154" s="4"/>
      <c r="AO154" s="4"/>
      <c r="AP154" s="4"/>
      <c r="AQ154" s="4"/>
      <c r="AR154" s="4"/>
      <c r="AS154" s="4"/>
      <c r="AU154" s="4"/>
      <c r="AV154" s="4"/>
      <c r="AW154" s="4"/>
      <c r="AX154" s="4"/>
      <c r="AY154" s="4"/>
      <c r="AZ154" s="4"/>
      <c r="BA154" s="4"/>
      <c r="BB154" s="4"/>
      <c r="BC154" s="4"/>
      <c r="BD154" s="4"/>
      <c r="BE154" s="4"/>
    </row>
    <row r="155" spans="2:57" x14ac:dyDescent="0.3">
      <c r="B155" s="6" t="s">
        <v>178</v>
      </c>
      <c r="C155" s="6">
        <v>45</v>
      </c>
      <c r="D155" s="6" t="s">
        <v>17</v>
      </c>
      <c r="E155" s="6" t="s">
        <v>15</v>
      </c>
      <c r="F155" s="6" t="s">
        <v>20</v>
      </c>
      <c r="G155" s="19">
        <v>2348</v>
      </c>
      <c r="H155" s="11">
        <v>17</v>
      </c>
      <c r="I155" s="6">
        <v>2</v>
      </c>
      <c r="J155" s="6" t="s">
        <v>14</v>
      </c>
      <c r="K155" s="5" t="s">
        <v>14</v>
      </c>
      <c r="L155" s="3" t="str">
        <f>IF(Table1[[#This Row],[Monthly Income]]&lt;3000,"Low",IF(Table1[[#This Row],[Monthly Income]]&lt;7000,"Medium","High"))</f>
        <v>Low</v>
      </c>
      <c r="AK155" s="6"/>
      <c r="AL155" s="6"/>
      <c r="AM155" s="6"/>
      <c r="AN155" s="6"/>
      <c r="AO155" s="6"/>
      <c r="AP155" s="6"/>
      <c r="AQ155" s="6"/>
      <c r="AR155" s="6"/>
      <c r="AS155" s="6"/>
      <c r="AU155" s="6"/>
      <c r="AV155" s="6"/>
      <c r="AW155" s="6"/>
      <c r="AX155" s="6"/>
      <c r="AY155" s="6"/>
      <c r="AZ155" s="6"/>
      <c r="BA155" s="6"/>
      <c r="BB155" s="6"/>
      <c r="BC155" s="6"/>
      <c r="BD155" s="6"/>
      <c r="BE155" s="6"/>
    </row>
    <row r="156" spans="2:57" x14ac:dyDescent="0.3">
      <c r="B156" s="4" t="s">
        <v>179</v>
      </c>
      <c r="C156" s="4">
        <v>32</v>
      </c>
      <c r="D156" s="4" t="s">
        <v>12</v>
      </c>
      <c r="E156" s="4" t="s">
        <v>10</v>
      </c>
      <c r="F156" s="4" t="s">
        <v>13</v>
      </c>
      <c r="G156" s="18">
        <v>8998</v>
      </c>
      <c r="H156" s="10">
        <v>9</v>
      </c>
      <c r="I156" s="4">
        <v>4</v>
      </c>
      <c r="J156" s="4" t="s">
        <v>14</v>
      </c>
      <c r="K156" s="3" t="s">
        <v>14</v>
      </c>
      <c r="L156" s="3" t="str">
        <f>IF(Table1[[#This Row],[Monthly Income]]&lt;3000,"Low",IF(Table1[[#This Row],[Monthly Income]]&lt;7000,"Medium","High"))</f>
        <v>High</v>
      </c>
      <c r="AK156" s="4"/>
      <c r="AL156" s="4"/>
      <c r="AM156" s="4"/>
      <c r="AN156" s="4"/>
      <c r="AO156" s="4"/>
      <c r="AP156" s="4"/>
      <c r="AQ156" s="4"/>
      <c r="AR156" s="4"/>
      <c r="AS156" s="4"/>
      <c r="AU156" s="4"/>
      <c r="AV156" s="4"/>
      <c r="AW156" s="4"/>
      <c r="AX156" s="4"/>
      <c r="AY156" s="4"/>
      <c r="AZ156" s="4"/>
      <c r="BA156" s="4"/>
      <c r="BB156" s="4"/>
      <c r="BC156" s="4"/>
      <c r="BD156" s="4"/>
      <c r="BE156" s="4"/>
    </row>
    <row r="157" spans="2:57" x14ac:dyDescent="0.3">
      <c r="B157" s="6" t="s">
        <v>180</v>
      </c>
      <c r="C157" s="6">
        <v>29</v>
      </c>
      <c r="D157" s="6" t="s">
        <v>17</v>
      </c>
      <c r="E157" s="6" t="s">
        <v>15</v>
      </c>
      <c r="F157" s="6" t="s">
        <v>27</v>
      </c>
      <c r="G157" s="19">
        <v>4319</v>
      </c>
      <c r="H157" s="11">
        <v>10</v>
      </c>
      <c r="I157" s="6">
        <v>3</v>
      </c>
      <c r="J157" s="6" t="s">
        <v>14</v>
      </c>
      <c r="K157" s="5" t="s">
        <v>14</v>
      </c>
      <c r="L157" s="3" t="str">
        <f>IF(Table1[[#This Row],[Monthly Income]]&lt;3000,"Low",IF(Table1[[#This Row],[Monthly Income]]&lt;7000,"Medium","High"))</f>
        <v>Medium</v>
      </c>
      <c r="AK157" s="6"/>
      <c r="AL157" s="6"/>
      <c r="AM157" s="6"/>
      <c r="AN157" s="6"/>
      <c r="AO157" s="6"/>
      <c r="AP157" s="6"/>
      <c r="AQ157" s="6"/>
      <c r="AR157" s="6"/>
      <c r="AS157" s="6"/>
      <c r="AU157" s="6"/>
      <c r="AV157" s="6"/>
      <c r="AW157" s="6"/>
      <c r="AX157" s="6"/>
      <c r="AY157" s="6"/>
      <c r="AZ157" s="6"/>
      <c r="BA157" s="6"/>
      <c r="BB157" s="6"/>
      <c r="BC157" s="6"/>
      <c r="BD157" s="6"/>
      <c r="BE157" s="6"/>
    </row>
    <row r="158" spans="2:57" x14ac:dyDescent="0.3">
      <c r="B158" s="4" t="s">
        <v>181</v>
      </c>
      <c r="C158" s="4">
        <v>51</v>
      </c>
      <c r="D158" s="4" t="s">
        <v>17</v>
      </c>
      <c r="E158" s="4" t="s">
        <v>15</v>
      </c>
      <c r="F158" s="4" t="s">
        <v>27</v>
      </c>
      <c r="G158" s="18">
        <v>6132</v>
      </c>
      <c r="H158" s="10">
        <v>1</v>
      </c>
      <c r="I158" s="4">
        <v>3</v>
      </c>
      <c r="J158" s="4" t="s">
        <v>14</v>
      </c>
      <c r="K158" s="3" t="s">
        <v>14</v>
      </c>
      <c r="L158" s="3" t="str">
        <f>IF(Table1[[#This Row],[Monthly Income]]&lt;3000,"Low",IF(Table1[[#This Row],[Monthly Income]]&lt;7000,"Medium","High"))</f>
        <v>Medium</v>
      </c>
      <c r="AK158" s="4"/>
      <c r="AL158" s="4"/>
      <c r="AM158" s="4"/>
      <c r="AN158" s="4"/>
      <c r="AO158" s="4"/>
      <c r="AP158" s="4"/>
      <c r="AQ158" s="4"/>
      <c r="AR158" s="4"/>
      <c r="AS158" s="4"/>
      <c r="AU158" s="4"/>
      <c r="AV158" s="4"/>
      <c r="AW158" s="4"/>
      <c r="AX158" s="4"/>
      <c r="AY158" s="4"/>
      <c r="AZ158" s="4"/>
      <c r="BA158" s="4"/>
      <c r="BB158" s="4"/>
      <c r="BC158" s="4"/>
      <c r="BD158" s="4"/>
      <c r="BE158" s="4"/>
    </row>
    <row r="159" spans="2:57" x14ac:dyDescent="0.3">
      <c r="B159" s="6" t="s">
        <v>182</v>
      </c>
      <c r="C159" s="6">
        <v>58</v>
      </c>
      <c r="D159" s="6" t="s">
        <v>12</v>
      </c>
      <c r="E159" s="6" t="s">
        <v>15</v>
      </c>
      <c r="F159" s="6" t="s">
        <v>18</v>
      </c>
      <c r="G159" s="19">
        <v>3346</v>
      </c>
      <c r="H159" s="11">
        <v>1</v>
      </c>
      <c r="I159" s="6">
        <v>2</v>
      </c>
      <c r="J159" s="6" t="s">
        <v>9</v>
      </c>
      <c r="K159" s="5" t="s">
        <v>14</v>
      </c>
      <c r="L159" s="3" t="str">
        <f>IF(Table1[[#This Row],[Monthly Income]]&lt;3000,"Low",IF(Table1[[#This Row],[Monthly Income]]&lt;7000,"Medium","High"))</f>
        <v>Medium</v>
      </c>
      <c r="AK159" s="6"/>
      <c r="AL159" s="6"/>
      <c r="AM159" s="6"/>
      <c r="AN159" s="6"/>
      <c r="AO159" s="6"/>
      <c r="AP159" s="6"/>
      <c r="AQ159" s="6"/>
      <c r="AR159" s="6"/>
      <c r="AS159" s="6"/>
      <c r="AU159" s="6"/>
      <c r="AV159" s="6"/>
      <c r="AW159" s="6"/>
      <c r="AX159" s="6"/>
      <c r="AY159" s="6"/>
      <c r="AZ159" s="6"/>
      <c r="BA159" s="6"/>
      <c r="BB159" s="6"/>
      <c r="BC159" s="6"/>
      <c r="BD159" s="6"/>
      <c r="BE159" s="6"/>
    </row>
    <row r="160" spans="2:57" x14ac:dyDescent="0.3">
      <c r="B160" s="4" t="s">
        <v>183</v>
      </c>
      <c r="C160" s="4">
        <v>40</v>
      </c>
      <c r="D160" s="4" t="s">
        <v>17</v>
      </c>
      <c r="E160" s="4" t="s">
        <v>10</v>
      </c>
      <c r="F160" s="4" t="s">
        <v>13</v>
      </c>
      <c r="G160" s="18">
        <v>10855</v>
      </c>
      <c r="H160" s="10">
        <v>12</v>
      </c>
      <c r="I160" s="4">
        <v>4</v>
      </c>
      <c r="J160" s="4" t="s">
        <v>14</v>
      </c>
      <c r="K160" s="3" t="s">
        <v>14</v>
      </c>
      <c r="L160" s="3" t="str">
        <f>IF(Table1[[#This Row],[Monthly Income]]&lt;3000,"Low",IF(Table1[[#This Row],[Monthly Income]]&lt;7000,"Medium","High"))</f>
        <v>High</v>
      </c>
      <c r="AK160" s="4"/>
      <c r="AL160" s="4"/>
      <c r="AM160" s="4"/>
      <c r="AN160" s="4"/>
      <c r="AO160" s="4"/>
      <c r="AP160" s="4"/>
      <c r="AQ160" s="4"/>
      <c r="AR160" s="4"/>
      <c r="AS160" s="4"/>
      <c r="AU160" s="4"/>
      <c r="AV160" s="4"/>
      <c r="AW160" s="4"/>
      <c r="AX160" s="4"/>
      <c r="AY160" s="4"/>
      <c r="AZ160" s="4"/>
      <c r="BA160" s="4"/>
      <c r="BB160" s="4"/>
      <c r="BC160" s="4"/>
      <c r="BD160" s="4"/>
      <c r="BE160" s="4"/>
    </row>
    <row r="161" spans="2:57" x14ac:dyDescent="0.3">
      <c r="B161" s="6" t="s">
        <v>184</v>
      </c>
      <c r="C161" s="6">
        <v>34</v>
      </c>
      <c r="D161" s="6" t="s">
        <v>12</v>
      </c>
      <c r="E161" s="6" t="s">
        <v>10</v>
      </c>
      <c r="F161" s="6" t="s">
        <v>43</v>
      </c>
      <c r="G161" s="19">
        <v>2231</v>
      </c>
      <c r="H161" s="11">
        <v>4</v>
      </c>
      <c r="I161" s="6">
        <v>3</v>
      </c>
      <c r="J161" s="6" t="s">
        <v>14</v>
      </c>
      <c r="K161" s="5" t="s">
        <v>14</v>
      </c>
      <c r="L161" s="3" t="str">
        <f>IF(Table1[[#This Row],[Monthly Income]]&lt;3000,"Low",IF(Table1[[#This Row],[Monthly Income]]&lt;7000,"Medium","High"))</f>
        <v>Low</v>
      </c>
      <c r="AK161" s="6"/>
      <c r="AL161" s="6"/>
      <c r="AM161" s="6"/>
      <c r="AN161" s="6"/>
      <c r="AO161" s="6"/>
      <c r="AP161" s="6"/>
      <c r="AQ161" s="6"/>
      <c r="AR161" s="6"/>
      <c r="AS161" s="6"/>
      <c r="AU161" s="6"/>
      <c r="AV161" s="6"/>
      <c r="AW161" s="6"/>
      <c r="AX161" s="6"/>
      <c r="AY161" s="6"/>
      <c r="AZ161" s="6"/>
      <c r="BA161" s="6"/>
      <c r="BB161" s="6"/>
      <c r="BC161" s="6"/>
      <c r="BD161" s="6"/>
      <c r="BE161" s="6"/>
    </row>
    <row r="162" spans="2:57" x14ac:dyDescent="0.3">
      <c r="B162" s="4" t="s">
        <v>185</v>
      </c>
      <c r="C162" s="4">
        <v>22</v>
      </c>
      <c r="D162" s="4" t="s">
        <v>17</v>
      </c>
      <c r="E162" s="4" t="s">
        <v>15</v>
      </c>
      <c r="F162" s="4" t="s">
        <v>18</v>
      </c>
      <c r="G162" s="18">
        <v>2323</v>
      </c>
      <c r="H162" s="10">
        <v>2</v>
      </c>
      <c r="I162" s="4">
        <v>4</v>
      </c>
      <c r="J162" s="4" t="s">
        <v>14</v>
      </c>
      <c r="K162" s="3" t="s">
        <v>14</v>
      </c>
      <c r="L162" s="3" t="str">
        <f>IF(Table1[[#This Row],[Monthly Income]]&lt;3000,"Low",IF(Table1[[#This Row],[Monthly Income]]&lt;7000,"Medium","High"))</f>
        <v>Low</v>
      </c>
      <c r="AK162" s="4"/>
      <c r="AL162" s="4"/>
      <c r="AM162" s="4"/>
      <c r="AN162" s="4"/>
      <c r="AO162" s="4"/>
      <c r="AP162" s="4"/>
      <c r="AQ162" s="4"/>
      <c r="AR162" s="4"/>
      <c r="AS162" s="4"/>
      <c r="AU162" s="4"/>
      <c r="AV162" s="4"/>
      <c r="AW162" s="4"/>
      <c r="AX162" s="4"/>
      <c r="AY162" s="4"/>
      <c r="AZ162" s="4"/>
      <c r="BA162" s="4"/>
      <c r="BB162" s="4"/>
      <c r="BC162" s="4"/>
      <c r="BD162" s="4"/>
      <c r="BE162" s="4"/>
    </row>
    <row r="163" spans="2:57" x14ac:dyDescent="0.3">
      <c r="B163" s="6" t="s">
        <v>186</v>
      </c>
      <c r="C163" s="6">
        <v>27</v>
      </c>
      <c r="D163" s="6" t="s">
        <v>17</v>
      </c>
      <c r="E163" s="6" t="s">
        <v>15</v>
      </c>
      <c r="F163" s="6" t="s">
        <v>18</v>
      </c>
      <c r="G163" s="19">
        <v>2024</v>
      </c>
      <c r="H163" s="11">
        <v>2</v>
      </c>
      <c r="I163" s="6">
        <v>2</v>
      </c>
      <c r="J163" s="6" t="s">
        <v>14</v>
      </c>
      <c r="K163" s="5" t="s">
        <v>14</v>
      </c>
      <c r="L163" s="3" t="str">
        <f>IF(Table1[[#This Row],[Monthly Income]]&lt;3000,"Low",IF(Table1[[#This Row],[Monthly Income]]&lt;7000,"Medium","High"))</f>
        <v>Low</v>
      </c>
      <c r="AK163" s="6"/>
      <c r="AL163" s="6"/>
      <c r="AM163" s="6"/>
      <c r="AN163" s="6"/>
      <c r="AO163" s="6"/>
      <c r="AP163" s="6"/>
      <c r="AQ163" s="6"/>
      <c r="AR163" s="6"/>
      <c r="AS163" s="6"/>
      <c r="AU163" s="6"/>
      <c r="AV163" s="6"/>
      <c r="AW163" s="6"/>
      <c r="AX163" s="6"/>
      <c r="AY163" s="6"/>
      <c r="AZ163" s="6"/>
      <c r="BA163" s="6"/>
      <c r="BB163" s="6"/>
      <c r="BC163" s="6"/>
      <c r="BD163" s="6"/>
      <c r="BE163" s="6"/>
    </row>
    <row r="164" spans="2:57" x14ac:dyDescent="0.3">
      <c r="B164" s="4" t="s">
        <v>187</v>
      </c>
      <c r="C164" s="4">
        <v>28</v>
      </c>
      <c r="D164" s="4" t="s">
        <v>17</v>
      </c>
      <c r="E164" s="4" t="s">
        <v>15</v>
      </c>
      <c r="F164" s="4" t="s">
        <v>18</v>
      </c>
      <c r="G164" s="18">
        <v>2713</v>
      </c>
      <c r="H164" s="10">
        <v>5</v>
      </c>
      <c r="I164" s="4">
        <v>4</v>
      </c>
      <c r="J164" s="4" t="s">
        <v>14</v>
      </c>
      <c r="K164" s="3" t="s">
        <v>14</v>
      </c>
      <c r="L164" s="3" t="str">
        <f>IF(Table1[[#This Row],[Monthly Income]]&lt;3000,"Low",IF(Table1[[#This Row],[Monthly Income]]&lt;7000,"Medium","High"))</f>
        <v>Low</v>
      </c>
      <c r="AK164" s="4"/>
      <c r="AL164" s="4"/>
      <c r="AM164" s="4"/>
      <c r="AN164" s="4"/>
      <c r="AO164" s="4"/>
      <c r="AP164" s="4"/>
      <c r="AQ164" s="4"/>
      <c r="AR164" s="4"/>
      <c r="AS164" s="4"/>
      <c r="AU164" s="4"/>
      <c r="AV164" s="4"/>
      <c r="AW164" s="4"/>
      <c r="AX164" s="4"/>
      <c r="AY164" s="4"/>
      <c r="AZ164" s="4"/>
      <c r="BA164" s="4"/>
      <c r="BB164" s="4"/>
      <c r="BC164" s="4"/>
      <c r="BD164" s="4"/>
      <c r="BE164" s="4"/>
    </row>
    <row r="165" spans="2:57" x14ac:dyDescent="0.3">
      <c r="B165" s="6" t="s">
        <v>188</v>
      </c>
      <c r="C165" s="6">
        <v>57</v>
      </c>
      <c r="D165" s="6" t="s">
        <v>17</v>
      </c>
      <c r="E165" s="6" t="s">
        <v>15</v>
      </c>
      <c r="F165" s="6" t="s">
        <v>29</v>
      </c>
      <c r="G165" s="19">
        <v>9439</v>
      </c>
      <c r="H165" s="11">
        <v>5</v>
      </c>
      <c r="I165" s="6">
        <v>4</v>
      </c>
      <c r="J165" s="6" t="s">
        <v>9</v>
      </c>
      <c r="K165" s="5" t="s">
        <v>14</v>
      </c>
      <c r="L165" s="3" t="str">
        <f>IF(Table1[[#This Row],[Monthly Income]]&lt;3000,"Low",IF(Table1[[#This Row],[Monthly Income]]&lt;7000,"Medium","High"))</f>
        <v>High</v>
      </c>
      <c r="AK165" s="6"/>
      <c r="AL165" s="6"/>
      <c r="AM165" s="6"/>
      <c r="AN165" s="6"/>
      <c r="AO165" s="6"/>
      <c r="AP165" s="6"/>
      <c r="AQ165" s="6"/>
      <c r="AR165" s="6"/>
      <c r="AS165" s="6"/>
      <c r="AU165" s="6"/>
      <c r="AV165" s="6"/>
      <c r="AW165" s="6"/>
      <c r="AX165" s="6"/>
      <c r="AY165" s="6"/>
      <c r="AZ165" s="6"/>
      <c r="BA165" s="6"/>
      <c r="BB165" s="6"/>
      <c r="BC165" s="6"/>
      <c r="BD165" s="6"/>
      <c r="BE165" s="6"/>
    </row>
    <row r="166" spans="2:57" x14ac:dyDescent="0.3">
      <c r="B166" s="4" t="s">
        <v>189</v>
      </c>
      <c r="C166" s="4">
        <v>27</v>
      </c>
      <c r="D166" s="4" t="s">
        <v>17</v>
      </c>
      <c r="E166" s="4" t="s">
        <v>15</v>
      </c>
      <c r="F166" s="4" t="s">
        <v>18</v>
      </c>
      <c r="G166" s="18">
        <v>2566</v>
      </c>
      <c r="H166" s="10">
        <v>1</v>
      </c>
      <c r="I166" s="4">
        <v>3</v>
      </c>
      <c r="J166" s="4" t="s">
        <v>9</v>
      </c>
      <c r="K166" s="3" t="s">
        <v>14</v>
      </c>
      <c r="L166" s="3" t="str">
        <f>IF(Table1[[#This Row],[Monthly Income]]&lt;3000,"Low",IF(Table1[[#This Row],[Monthly Income]]&lt;7000,"Medium","High"))</f>
        <v>Low</v>
      </c>
      <c r="AK166" s="4"/>
      <c r="AL166" s="4"/>
      <c r="AM166" s="4"/>
      <c r="AN166" s="4"/>
      <c r="AO166" s="4"/>
      <c r="AP166" s="4"/>
      <c r="AQ166" s="4"/>
      <c r="AR166" s="4"/>
      <c r="AS166" s="4"/>
      <c r="AU166" s="4"/>
      <c r="AV166" s="4"/>
      <c r="AW166" s="4"/>
      <c r="AX166" s="4"/>
      <c r="AY166" s="4"/>
      <c r="AZ166" s="4"/>
      <c r="BA166" s="4"/>
      <c r="BB166" s="4"/>
      <c r="BC166" s="4"/>
      <c r="BD166" s="4"/>
      <c r="BE166" s="4"/>
    </row>
    <row r="167" spans="2:57" x14ac:dyDescent="0.3">
      <c r="B167" s="6" t="s">
        <v>190</v>
      </c>
      <c r="C167" s="6">
        <v>50</v>
      </c>
      <c r="D167" s="6" t="s">
        <v>12</v>
      </c>
      <c r="E167" s="6" t="s">
        <v>15</v>
      </c>
      <c r="F167" s="6" t="s">
        <v>39</v>
      </c>
      <c r="G167" s="19">
        <v>19926</v>
      </c>
      <c r="H167" s="11">
        <v>5</v>
      </c>
      <c r="I167" s="6">
        <v>2</v>
      </c>
      <c r="J167" s="6" t="s">
        <v>14</v>
      </c>
      <c r="K167" s="5" t="s">
        <v>14</v>
      </c>
      <c r="L167" s="3" t="str">
        <f>IF(Table1[[#This Row],[Monthly Income]]&lt;3000,"Low",IF(Table1[[#This Row],[Monthly Income]]&lt;7000,"Medium","High"))</f>
        <v>High</v>
      </c>
      <c r="AK167" s="6"/>
      <c r="AL167" s="6"/>
      <c r="AM167" s="6"/>
      <c r="AN167" s="6"/>
      <c r="AO167" s="6"/>
      <c r="AP167" s="6"/>
      <c r="AQ167" s="6"/>
      <c r="AR167" s="6"/>
      <c r="AS167" s="6"/>
      <c r="AU167" s="6"/>
      <c r="AV167" s="6"/>
      <c r="AW167" s="6"/>
      <c r="AX167" s="6"/>
      <c r="AY167" s="6"/>
      <c r="AZ167" s="6"/>
      <c r="BA167" s="6"/>
      <c r="BB167" s="6"/>
      <c r="BC167" s="6"/>
      <c r="BD167" s="6"/>
      <c r="BE167" s="6"/>
    </row>
    <row r="168" spans="2:57" x14ac:dyDescent="0.3">
      <c r="B168" s="4" t="s">
        <v>191</v>
      </c>
      <c r="C168" s="4">
        <v>41</v>
      </c>
      <c r="D168" s="4" t="s">
        <v>17</v>
      </c>
      <c r="E168" s="4" t="s">
        <v>15</v>
      </c>
      <c r="F168" s="4" t="s">
        <v>18</v>
      </c>
      <c r="G168" s="18">
        <v>2451</v>
      </c>
      <c r="H168" s="10">
        <v>9</v>
      </c>
      <c r="I168" s="4">
        <v>3</v>
      </c>
      <c r="J168" s="4" t="s">
        <v>14</v>
      </c>
      <c r="K168" s="3" t="s">
        <v>14</v>
      </c>
      <c r="L168" s="3" t="str">
        <f>IF(Table1[[#This Row],[Monthly Income]]&lt;3000,"Low",IF(Table1[[#This Row],[Monthly Income]]&lt;7000,"Medium","High"))</f>
        <v>Low</v>
      </c>
      <c r="AK168" s="4"/>
      <c r="AL168" s="4"/>
      <c r="AM168" s="4"/>
      <c r="AN168" s="4"/>
      <c r="AO168" s="4"/>
      <c r="AP168" s="4"/>
      <c r="AQ168" s="4"/>
      <c r="AR168" s="4"/>
      <c r="AS168" s="4"/>
      <c r="AU168" s="4"/>
      <c r="AV168" s="4"/>
      <c r="AW168" s="4"/>
      <c r="AX168" s="4"/>
      <c r="AY168" s="4"/>
      <c r="AZ168" s="4"/>
      <c r="BA168" s="4"/>
      <c r="BB168" s="4"/>
      <c r="BC168" s="4"/>
      <c r="BD168" s="4"/>
      <c r="BE168" s="4"/>
    </row>
    <row r="169" spans="2:57" x14ac:dyDescent="0.3">
      <c r="B169" s="6" t="s">
        <v>192</v>
      </c>
      <c r="C169" s="6">
        <v>30</v>
      </c>
      <c r="D169" s="6" t="s">
        <v>12</v>
      </c>
      <c r="E169" s="6" t="s">
        <v>10</v>
      </c>
      <c r="F169" s="6" t="s">
        <v>13</v>
      </c>
      <c r="G169" s="19">
        <v>9419</v>
      </c>
      <c r="H169" s="11">
        <v>10</v>
      </c>
      <c r="I169" s="6">
        <v>4</v>
      </c>
      <c r="J169" s="6" t="s">
        <v>14</v>
      </c>
      <c r="K169" s="5" t="s">
        <v>14</v>
      </c>
      <c r="L169" s="3" t="str">
        <f>IF(Table1[[#This Row],[Monthly Income]]&lt;3000,"Low",IF(Table1[[#This Row],[Monthly Income]]&lt;7000,"Medium","High"))</f>
        <v>High</v>
      </c>
      <c r="AK169" s="6"/>
      <c r="AL169" s="6"/>
      <c r="AM169" s="6"/>
      <c r="AN169" s="6"/>
      <c r="AO169" s="6"/>
      <c r="AP169" s="6"/>
      <c r="AQ169" s="6"/>
      <c r="AR169" s="6"/>
      <c r="AS169" s="6"/>
      <c r="AU169" s="6"/>
      <c r="AV169" s="6"/>
      <c r="AW169" s="6"/>
      <c r="AX169" s="6"/>
      <c r="AY169" s="6"/>
      <c r="AZ169" s="6"/>
      <c r="BA169" s="6"/>
      <c r="BB169" s="6"/>
      <c r="BC169" s="6"/>
      <c r="BD169" s="6"/>
      <c r="BE169" s="6"/>
    </row>
    <row r="170" spans="2:57" x14ac:dyDescent="0.3">
      <c r="B170" s="4" t="s">
        <v>193</v>
      </c>
      <c r="C170" s="4">
        <v>38</v>
      </c>
      <c r="D170" s="4" t="s">
        <v>12</v>
      </c>
      <c r="E170" s="4" t="s">
        <v>10</v>
      </c>
      <c r="F170" s="4" t="s">
        <v>13</v>
      </c>
      <c r="G170" s="18">
        <v>8686</v>
      </c>
      <c r="H170" s="10">
        <v>8</v>
      </c>
      <c r="I170" s="4">
        <v>4</v>
      </c>
      <c r="J170" s="4" t="s">
        <v>14</v>
      </c>
      <c r="K170" s="3" t="s">
        <v>14</v>
      </c>
      <c r="L170" s="3" t="str">
        <f>IF(Table1[[#This Row],[Monthly Income]]&lt;3000,"Low",IF(Table1[[#This Row],[Monthly Income]]&lt;7000,"Medium","High"))</f>
        <v>High</v>
      </c>
      <c r="AK170" s="4"/>
      <c r="AL170" s="4"/>
      <c r="AM170" s="4"/>
      <c r="AN170" s="4"/>
      <c r="AO170" s="4"/>
      <c r="AP170" s="4"/>
      <c r="AQ170" s="4"/>
      <c r="AR170" s="4"/>
      <c r="AS170" s="4"/>
      <c r="AU170" s="4"/>
      <c r="AV170" s="4"/>
      <c r="AW170" s="4"/>
      <c r="AX170" s="4"/>
      <c r="AY170" s="4"/>
      <c r="AZ170" s="4"/>
      <c r="BA170" s="4"/>
      <c r="BB170" s="4"/>
      <c r="BC170" s="4"/>
      <c r="BD170" s="4"/>
      <c r="BE170" s="4"/>
    </row>
    <row r="171" spans="2:57" x14ac:dyDescent="0.3">
      <c r="B171" s="6" t="s">
        <v>194</v>
      </c>
      <c r="C171" s="6">
        <v>32</v>
      </c>
      <c r="D171" s="6" t="s">
        <v>17</v>
      </c>
      <c r="E171" s="6" t="s">
        <v>15</v>
      </c>
      <c r="F171" s="6" t="s">
        <v>18</v>
      </c>
      <c r="G171" s="19">
        <v>3038</v>
      </c>
      <c r="H171" s="11">
        <v>5</v>
      </c>
      <c r="I171" s="6">
        <v>3</v>
      </c>
      <c r="J171" s="6" t="s">
        <v>14</v>
      </c>
      <c r="K171" s="5" t="s">
        <v>14</v>
      </c>
      <c r="L171" s="3" t="str">
        <f>IF(Table1[[#This Row],[Monthly Income]]&lt;3000,"Low",IF(Table1[[#This Row],[Monthly Income]]&lt;7000,"Medium","High"))</f>
        <v>Medium</v>
      </c>
      <c r="AK171" s="6"/>
      <c r="AL171" s="6"/>
      <c r="AM171" s="6"/>
      <c r="AN171" s="6"/>
      <c r="AO171" s="6"/>
      <c r="AP171" s="6"/>
      <c r="AQ171" s="6"/>
      <c r="AR171" s="6"/>
      <c r="AS171" s="6"/>
      <c r="AU171" s="6"/>
      <c r="AV171" s="6"/>
      <c r="AW171" s="6"/>
      <c r="AX171" s="6"/>
      <c r="AY171" s="6"/>
      <c r="AZ171" s="6"/>
      <c r="BA171" s="6"/>
      <c r="BB171" s="6"/>
      <c r="BC171" s="6"/>
      <c r="BD171" s="6"/>
      <c r="BE171" s="6"/>
    </row>
    <row r="172" spans="2:57" x14ac:dyDescent="0.3">
      <c r="B172" s="4" t="s">
        <v>195</v>
      </c>
      <c r="C172" s="4">
        <v>27</v>
      </c>
      <c r="D172" s="4" t="s">
        <v>17</v>
      </c>
      <c r="E172" s="4" t="s">
        <v>15</v>
      </c>
      <c r="F172" s="4" t="s">
        <v>18</v>
      </c>
      <c r="G172" s="18">
        <v>3058</v>
      </c>
      <c r="H172" s="10">
        <v>5</v>
      </c>
      <c r="I172" s="4">
        <v>2</v>
      </c>
      <c r="J172" s="4" t="s">
        <v>9</v>
      </c>
      <c r="K172" s="3" t="s">
        <v>14</v>
      </c>
      <c r="L172" s="3" t="str">
        <f>IF(Table1[[#This Row],[Monthly Income]]&lt;3000,"Low",IF(Table1[[#This Row],[Monthly Income]]&lt;7000,"Medium","High"))</f>
        <v>Medium</v>
      </c>
      <c r="AK172" s="4"/>
      <c r="AL172" s="4"/>
      <c r="AM172" s="4"/>
      <c r="AN172" s="4"/>
      <c r="AO172" s="4"/>
      <c r="AP172" s="4"/>
      <c r="AQ172" s="4"/>
      <c r="AR172" s="4"/>
      <c r="AS172" s="4"/>
      <c r="AU172" s="4"/>
      <c r="AV172" s="4"/>
      <c r="AW172" s="4"/>
      <c r="AX172" s="4"/>
      <c r="AY172" s="4"/>
      <c r="AZ172" s="4"/>
      <c r="BA172" s="4"/>
      <c r="BB172" s="4"/>
      <c r="BC172" s="4"/>
      <c r="BD172" s="4"/>
      <c r="BE172" s="4"/>
    </row>
    <row r="173" spans="2:57" x14ac:dyDescent="0.3">
      <c r="B173" s="6" t="s">
        <v>196</v>
      </c>
      <c r="C173" s="6">
        <v>19</v>
      </c>
      <c r="D173" s="6" t="s">
        <v>12</v>
      </c>
      <c r="E173" s="6" t="s">
        <v>10</v>
      </c>
      <c r="F173" s="6" t="s">
        <v>43</v>
      </c>
      <c r="G173" s="19">
        <v>2325</v>
      </c>
      <c r="H173" s="11">
        <v>0</v>
      </c>
      <c r="I173" s="6">
        <v>1</v>
      </c>
      <c r="J173" s="6" t="s">
        <v>14</v>
      </c>
      <c r="K173" s="5" t="s">
        <v>9</v>
      </c>
      <c r="L173" s="3" t="str">
        <f>IF(Table1[[#This Row],[Monthly Income]]&lt;3000,"Low",IF(Table1[[#This Row],[Monthly Income]]&lt;7000,"Medium","High"))</f>
        <v>Low</v>
      </c>
      <c r="AK173" s="6"/>
      <c r="AL173" s="6"/>
      <c r="AM173" s="6"/>
      <c r="AN173" s="6"/>
      <c r="AO173" s="6"/>
      <c r="AP173" s="6"/>
      <c r="AQ173" s="6"/>
      <c r="AR173" s="6"/>
      <c r="AS173" s="6"/>
      <c r="AU173" s="6"/>
      <c r="AV173" s="6"/>
      <c r="AW173" s="6"/>
      <c r="AX173" s="6"/>
      <c r="AY173" s="6"/>
      <c r="AZ173" s="6"/>
      <c r="BA173" s="6"/>
      <c r="BB173" s="6"/>
      <c r="BC173" s="6"/>
      <c r="BD173" s="6"/>
      <c r="BE173" s="6"/>
    </row>
    <row r="174" spans="2:57" x14ac:dyDescent="0.3">
      <c r="B174" s="4" t="s">
        <v>197</v>
      </c>
      <c r="C174" s="4">
        <v>36</v>
      </c>
      <c r="D174" s="4" t="s">
        <v>17</v>
      </c>
      <c r="E174" s="4" t="s">
        <v>15</v>
      </c>
      <c r="F174" s="4" t="s">
        <v>20</v>
      </c>
      <c r="G174" s="18">
        <v>2088</v>
      </c>
      <c r="H174" s="10">
        <v>8</v>
      </c>
      <c r="I174" s="4">
        <v>2</v>
      </c>
      <c r="J174" s="4" t="s">
        <v>14</v>
      </c>
      <c r="K174" s="3" t="s">
        <v>14</v>
      </c>
      <c r="L174" s="3" t="str">
        <f>IF(Table1[[#This Row],[Monthly Income]]&lt;3000,"Low",IF(Table1[[#This Row],[Monthly Income]]&lt;7000,"Medium","High"))</f>
        <v>Low</v>
      </c>
      <c r="AK174" s="4"/>
      <c r="AL174" s="4"/>
      <c r="AM174" s="4"/>
      <c r="AN174" s="4"/>
      <c r="AO174" s="4"/>
      <c r="AP174" s="4"/>
      <c r="AQ174" s="4"/>
      <c r="AR174" s="4"/>
      <c r="AS174" s="4"/>
      <c r="AU174" s="4"/>
      <c r="AV174" s="4"/>
      <c r="AW174" s="4"/>
      <c r="AX174" s="4"/>
      <c r="AY174" s="4"/>
      <c r="AZ174" s="4"/>
      <c r="BA174" s="4"/>
      <c r="BB174" s="4"/>
      <c r="BC174" s="4"/>
      <c r="BD174" s="4"/>
      <c r="BE174" s="4"/>
    </row>
    <row r="175" spans="2:57" x14ac:dyDescent="0.3">
      <c r="B175" s="6" t="s">
        <v>198</v>
      </c>
      <c r="C175" s="6">
        <v>30</v>
      </c>
      <c r="D175" s="6" t="s">
        <v>17</v>
      </c>
      <c r="E175" s="6" t="s">
        <v>15</v>
      </c>
      <c r="F175" s="6" t="s">
        <v>20</v>
      </c>
      <c r="G175" s="19">
        <v>3072</v>
      </c>
      <c r="H175" s="11">
        <v>12</v>
      </c>
      <c r="I175" s="6">
        <v>1</v>
      </c>
      <c r="J175" s="6" t="s">
        <v>14</v>
      </c>
      <c r="K175" s="5" t="s">
        <v>14</v>
      </c>
      <c r="L175" s="3" t="str">
        <f>IF(Table1[[#This Row],[Monthly Income]]&lt;3000,"Low",IF(Table1[[#This Row],[Monthly Income]]&lt;7000,"Medium","High"))</f>
        <v>Medium</v>
      </c>
      <c r="AK175" s="6"/>
      <c r="AL175" s="6"/>
      <c r="AM175" s="6"/>
      <c r="AN175" s="6"/>
      <c r="AO175" s="6"/>
      <c r="AP175" s="6"/>
      <c r="AQ175" s="6"/>
      <c r="AR175" s="6"/>
      <c r="AS175" s="6"/>
      <c r="AU175" s="6"/>
      <c r="AV175" s="6"/>
      <c r="AW175" s="6"/>
      <c r="AX175" s="6"/>
      <c r="AY175" s="6"/>
      <c r="AZ175" s="6"/>
      <c r="BA175" s="6"/>
      <c r="BB175" s="6"/>
      <c r="BC175" s="6"/>
      <c r="BD175" s="6"/>
      <c r="BE175" s="6"/>
    </row>
    <row r="176" spans="2:57" x14ac:dyDescent="0.3">
      <c r="B176" s="4" t="s">
        <v>199</v>
      </c>
      <c r="C176" s="4">
        <v>45</v>
      </c>
      <c r="D176" s="4" t="s">
        <v>12</v>
      </c>
      <c r="E176" s="4" t="s">
        <v>10</v>
      </c>
      <c r="F176" s="4" t="s">
        <v>13</v>
      </c>
      <c r="G176" s="18">
        <v>5006</v>
      </c>
      <c r="H176" s="10">
        <v>5</v>
      </c>
      <c r="I176" s="4">
        <v>1</v>
      </c>
      <c r="J176" s="4" t="s">
        <v>9</v>
      </c>
      <c r="K176" s="3" t="s">
        <v>14</v>
      </c>
      <c r="L176" s="3" t="str">
        <f>IF(Table1[[#This Row],[Monthly Income]]&lt;3000,"Low",IF(Table1[[#This Row],[Monthly Income]]&lt;7000,"Medium","High"))</f>
        <v>Medium</v>
      </c>
      <c r="AK176" s="4"/>
      <c r="AL176" s="4"/>
      <c r="AM176" s="4"/>
      <c r="AN176" s="4"/>
      <c r="AO176" s="4"/>
      <c r="AP176" s="4"/>
      <c r="AQ176" s="4"/>
      <c r="AR176" s="4"/>
      <c r="AS176" s="4"/>
      <c r="AU176" s="4"/>
      <c r="AV176" s="4"/>
      <c r="AW176" s="4"/>
      <c r="AX176" s="4"/>
      <c r="AY176" s="4"/>
      <c r="AZ176" s="4"/>
      <c r="BA176" s="4"/>
      <c r="BB176" s="4"/>
      <c r="BC176" s="4"/>
      <c r="BD176" s="4"/>
      <c r="BE176" s="4"/>
    </row>
    <row r="177" spans="2:57" x14ac:dyDescent="0.3">
      <c r="B177" s="6" t="s">
        <v>200</v>
      </c>
      <c r="C177" s="6">
        <v>56</v>
      </c>
      <c r="D177" s="6" t="s">
        <v>12</v>
      </c>
      <c r="E177" s="6" t="s">
        <v>15</v>
      </c>
      <c r="F177" s="6" t="s">
        <v>18</v>
      </c>
      <c r="G177" s="19">
        <v>4257</v>
      </c>
      <c r="H177" s="11">
        <v>2</v>
      </c>
      <c r="I177" s="6">
        <v>1</v>
      </c>
      <c r="J177" s="6" t="s">
        <v>9</v>
      </c>
      <c r="K177" s="5" t="s">
        <v>14</v>
      </c>
      <c r="L177" s="3" t="str">
        <f>IF(Table1[[#This Row],[Monthly Income]]&lt;3000,"Low",IF(Table1[[#This Row],[Monthly Income]]&lt;7000,"Medium","High"))</f>
        <v>Medium</v>
      </c>
      <c r="AK177" s="6"/>
      <c r="AL177" s="6"/>
      <c r="AM177" s="6"/>
      <c r="AN177" s="6"/>
      <c r="AO177" s="6"/>
      <c r="AP177" s="6"/>
      <c r="AQ177" s="6"/>
      <c r="AR177" s="6"/>
      <c r="AS177" s="6"/>
      <c r="AU177" s="6"/>
      <c r="AV177" s="6"/>
      <c r="AW177" s="6"/>
      <c r="AX177" s="6"/>
      <c r="AY177" s="6"/>
      <c r="AZ177" s="6"/>
      <c r="BA177" s="6"/>
      <c r="BB177" s="6"/>
      <c r="BC177" s="6"/>
      <c r="BD177" s="6"/>
      <c r="BE177" s="6"/>
    </row>
    <row r="178" spans="2:57" x14ac:dyDescent="0.3">
      <c r="B178" s="4" t="s">
        <v>201</v>
      </c>
      <c r="C178" s="4">
        <v>33</v>
      </c>
      <c r="D178" s="4" t="s">
        <v>17</v>
      </c>
      <c r="E178" s="4" t="s">
        <v>15</v>
      </c>
      <c r="F178" s="4" t="s">
        <v>18</v>
      </c>
      <c r="G178" s="18">
        <v>2500</v>
      </c>
      <c r="H178" s="10">
        <v>3</v>
      </c>
      <c r="I178" s="4">
        <v>4</v>
      </c>
      <c r="J178" s="4" t="s">
        <v>14</v>
      </c>
      <c r="K178" s="3" t="s">
        <v>14</v>
      </c>
      <c r="L178" s="3" t="str">
        <f>IF(Table1[[#This Row],[Monthly Income]]&lt;3000,"Low",IF(Table1[[#This Row],[Monthly Income]]&lt;7000,"Medium","High"))</f>
        <v>Low</v>
      </c>
      <c r="AK178" s="4"/>
      <c r="AL178" s="4"/>
      <c r="AM178" s="4"/>
      <c r="AN178" s="4"/>
      <c r="AO178" s="4"/>
      <c r="AP178" s="4"/>
      <c r="AQ178" s="4"/>
      <c r="AR178" s="4"/>
      <c r="AS178" s="4"/>
      <c r="AU178" s="4"/>
      <c r="AV178" s="4"/>
      <c r="AW178" s="4"/>
      <c r="AX178" s="4"/>
      <c r="AY178" s="4"/>
      <c r="AZ178" s="4"/>
      <c r="BA178" s="4"/>
      <c r="BB178" s="4"/>
      <c r="BC178" s="4"/>
      <c r="BD178" s="4"/>
      <c r="BE178" s="4"/>
    </row>
    <row r="179" spans="2:57" x14ac:dyDescent="0.3">
      <c r="B179" s="6" t="s">
        <v>202</v>
      </c>
      <c r="C179" s="6">
        <v>19</v>
      </c>
      <c r="D179" s="6" t="s">
        <v>17</v>
      </c>
      <c r="E179" s="6" t="s">
        <v>15</v>
      </c>
      <c r="F179" s="6" t="s">
        <v>20</v>
      </c>
      <c r="G179" s="19">
        <v>1102</v>
      </c>
      <c r="H179" s="11">
        <v>1</v>
      </c>
      <c r="I179" s="6">
        <v>4</v>
      </c>
      <c r="J179" s="6" t="s">
        <v>14</v>
      </c>
      <c r="K179" s="5" t="s">
        <v>9</v>
      </c>
      <c r="L179" s="3" t="str">
        <f>IF(Table1[[#This Row],[Monthly Income]]&lt;3000,"Low",IF(Table1[[#This Row],[Monthly Income]]&lt;7000,"Medium","High"))</f>
        <v>Low</v>
      </c>
      <c r="AK179" s="6"/>
      <c r="AL179" s="6"/>
      <c r="AM179" s="6"/>
      <c r="AN179" s="6"/>
      <c r="AO179" s="6"/>
      <c r="AP179" s="6"/>
      <c r="AQ179" s="6"/>
      <c r="AR179" s="6"/>
      <c r="AS179" s="6"/>
      <c r="AU179" s="6"/>
      <c r="AV179" s="6"/>
      <c r="AW179" s="6"/>
      <c r="AX179" s="6"/>
      <c r="AY179" s="6"/>
      <c r="AZ179" s="6"/>
      <c r="BA179" s="6"/>
      <c r="BB179" s="6"/>
      <c r="BC179" s="6"/>
      <c r="BD179" s="6"/>
      <c r="BE179" s="6"/>
    </row>
    <row r="180" spans="2:57" x14ac:dyDescent="0.3">
      <c r="B180" s="4" t="s">
        <v>203</v>
      </c>
      <c r="C180" s="4">
        <v>46</v>
      </c>
      <c r="D180" s="4" t="s">
        <v>12</v>
      </c>
      <c r="E180" s="4" t="s">
        <v>10</v>
      </c>
      <c r="F180" s="4" t="s">
        <v>13</v>
      </c>
      <c r="G180" s="18">
        <v>10453</v>
      </c>
      <c r="H180" s="10">
        <v>24</v>
      </c>
      <c r="I180" s="4">
        <v>1</v>
      </c>
      <c r="J180" s="4" t="s">
        <v>14</v>
      </c>
      <c r="K180" s="3" t="s">
        <v>14</v>
      </c>
      <c r="L180" s="3" t="str">
        <f>IF(Table1[[#This Row],[Monthly Income]]&lt;3000,"Low",IF(Table1[[#This Row],[Monthly Income]]&lt;7000,"Medium","High"))</f>
        <v>High</v>
      </c>
      <c r="AK180" s="4"/>
      <c r="AL180" s="4"/>
      <c r="AM180" s="4"/>
      <c r="AN180" s="4"/>
      <c r="AO180" s="4"/>
      <c r="AP180" s="4"/>
      <c r="AQ180" s="4"/>
      <c r="AR180" s="4"/>
      <c r="AS180" s="4"/>
      <c r="AU180" s="4"/>
      <c r="AV180" s="4"/>
      <c r="AW180" s="4"/>
      <c r="AX180" s="4"/>
      <c r="AY180" s="4"/>
      <c r="AZ180" s="4"/>
      <c r="BA180" s="4"/>
      <c r="BB180" s="4"/>
      <c r="BC180" s="4"/>
      <c r="BD180" s="4"/>
      <c r="BE180" s="4"/>
    </row>
    <row r="181" spans="2:57" x14ac:dyDescent="0.3">
      <c r="B181" s="6" t="s">
        <v>204</v>
      </c>
      <c r="C181" s="6">
        <v>38</v>
      </c>
      <c r="D181" s="6" t="s">
        <v>12</v>
      </c>
      <c r="E181" s="6" t="s">
        <v>15</v>
      </c>
      <c r="F181" s="6" t="s">
        <v>20</v>
      </c>
      <c r="G181" s="19">
        <v>2288</v>
      </c>
      <c r="H181" s="11">
        <v>2</v>
      </c>
      <c r="I181" s="6">
        <v>4</v>
      </c>
      <c r="J181" s="6" t="s">
        <v>14</v>
      </c>
      <c r="K181" s="5" t="s">
        <v>14</v>
      </c>
      <c r="L181" s="3" t="str">
        <f>IF(Table1[[#This Row],[Monthly Income]]&lt;3000,"Low",IF(Table1[[#This Row],[Monthly Income]]&lt;7000,"Medium","High"))</f>
        <v>Low</v>
      </c>
      <c r="AK181" s="6"/>
      <c r="AL181" s="6"/>
      <c r="AM181" s="6"/>
      <c r="AN181" s="6"/>
      <c r="AO181" s="6"/>
      <c r="AP181" s="6"/>
      <c r="AQ181" s="6"/>
      <c r="AR181" s="6"/>
      <c r="AS181" s="6"/>
      <c r="AU181" s="6"/>
      <c r="AV181" s="6"/>
      <c r="AW181" s="6"/>
      <c r="AX181" s="6"/>
      <c r="AY181" s="6"/>
      <c r="AZ181" s="6"/>
      <c r="BA181" s="6"/>
      <c r="BB181" s="6"/>
      <c r="BC181" s="6"/>
      <c r="BD181" s="6"/>
      <c r="BE181" s="6"/>
    </row>
    <row r="182" spans="2:57" x14ac:dyDescent="0.3">
      <c r="B182" s="4" t="s">
        <v>205</v>
      </c>
      <c r="C182" s="4">
        <v>31</v>
      </c>
      <c r="D182" s="4" t="s">
        <v>12</v>
      </c>
      <c r="E182" s="4" t="s">
        <v>15</v>
      </c>
      <c r="F182" s="4" t="s">
        <v>18</v>
      </c>
      <c r="G182" s="18">
        <v>3929</v>
      </c>
      <c r="H182" s="10">
        <v>4</v>
      </c>
      <c r="I182" s="4">
        <v>4</v>
      </c>
      <c r="J182" s="4" t="s">
        <v>9</v>
      </c>
      <c r="K182" s="3" t="s">
        <v>14</v>
      </c>
      <c r="L182" s="3" t="str">
        <f>IF(Table1[[#This Row],[Monthly Income]]&lt;3000,"Low",IF(Table1[[#This Row],[Monthly Income]]&lt;7000,"Medium","High"))</f>
        <v>Medium</v>
      </c>
      <c r="AK182" s="4"/>
      <c r="AL182" s="4"/>
      <c r="AM182" s="4"/>
      <c r="AN182" s="4"/>
      <c r="AO182" s="4"/>
      <c r="AP182" s="4"/>
      <c r="AQ182" s="4"/>
      <c r="AR182" s="4"/>
      <c r="AS182" s="4"/>
      <c r="AU182" s="4"/>
      <c r="AV182" s="4"/>
      <c r="AW182" s="4"/>
      <c r="AX182" s="4"/>
      <c r="AY182" s="4"/>
      <c r="AZ182" s="4"/>
      <c r="BA182" s="4"/>
      <c r="BB182" s="4"/>
      <c r="BC182" s="4"/>
      <c r="BD182" s="4"/>
      <c r="BE182" s="4"/>
    </row>
    <row r="183" spans="2:57" x14ac:dyDescent="0.3">
      <c r="B183" s="6" t="s">
        <v>206</v>
      </c>
      <c r="C183" s="6">
        <v>34</v>
      </c>
      <c r="D183" s="6" t="s">
        <v>12</v>
      </c>
      <c r="E183" s="6" t="s">
        <v>15</v>
      </c>
      <c r="F183" s="6" t="s">
        <v>18</v>
      </c>
      <c r="G183" s="19">
        <v>2311</v>
      </c>
      <c r="H183" s="11">
        <v>3</v>
      </c>
      <c r="I183" s="6">
        <v>2</v>
      </c>
      <c r="J183" s="6" t="s">
        <v>14</v>
      </c>
      <c r="K183" s="5" t="s">
        <v>14</v>
      </c>
      <c r="L183" s="3" t="str">
        <f>IF(Table1[[#This Row],[Monthly Income]]&lt;3000,"Low",IF(Table1[[#This Row],[Monthly Income]]&lt;7000,"Medium","High"))</f>
        <v>Low</v>
      </c>
      <c r="AK183" s="6"/>
      <c r="AL183" s="6"/>
      <c r="AM183" s="6"/>
      <c r="AN183" s="6"/>
      <c r="AO183" s="6"/>
      <c r="AP183" s="6"/>
      <c r="AQ183" s="6"/>
      <c r="AR183" s="6"/>
      <c r="AS183" s="6"/>
      <c r="AU183" s="6"/>
      <c r="AV183" s="6"/>
      <c r="AW183" s="6"/>
      <c r="AX183" s="6"/>
      <c r="AY183" s="6"/>
      <c r="AZ183" s="6"/>
      <c r="BA183" s="6"/>
      <c r="BB183" s="6"/>
      <c r="BC183" s="6"/>
      <c r="BD183" s="6"/>
      <c r="BE183" s="6"/>
    </row>
    <row r="184" spans="2:57" x14ac:dyDescent="0.3">
      <c r="B184" s="4" t="s">
        <v>207</v>
      </c>
      <c r="C184" s="4">
        <v>41</v>
      </c>
      <c r="D184" s="4" t="s">
        <v>12</v>
      </c>
      <c r="E184" s="4" t="s">
        <v>10</v>
      </c>
      <c r="F184" s="4" t="s">
        <v>43</v>
      </c>
      <c r="G184" s="18">
        <v>3140</v>
      </c>
      <c r="H184" s="10">
        <v>4</v>
      </c>
      <c r="I184" s="4">
        <v>2</v>
      </c>
      <c r="J184" s="4" t="s">
        <v>9</v>
      </c>
      <c r="K184" s="3" t="s">
        <v>9</v>
      </c>
      <c r="L184" s="3" t="str">
        <f>IF(Table1[[#This Row],[Monthly Income]]&lt;3000,"Low",IF(Table1[[#This Row],[Monthly Income]]&lt;7000,"Medium","High"))</f>
        <v>Medium</v>
      </c>
      <c r="AK184" s="4"/>
      <c r="AL184" s="4"/>
      <c r="AM184" s="4"/>
      <c r="AN184" s="4"/>
      <c r="AO184" s="4"/>
      <c r="AP184" s="4"/>
      <c r="AQ184" s="4"/>
      <c r="AR184" s="4"/>
      <c r="AS184" s="4"/>
      <c r="AU184" s="4"/>
      <c r="AV184" s="4"/>
      <c r="AW184" s="4"/>
      <c r="AX184" s="4"/>
      <c r="AY184" s="4"/>
      <c r="AZ184" s="4"/>
      <c r="BA184" s="4"/>
      <c r="BB184" s="4"/>
      <c r="BC184" s="4"/>
      <c r="BD184" s="4"/>
      <c r="BE184" s="4"/>
    </row>
    <row r="185" spans="2:57" x14ac:dyDescent="0.3">
      <c r="B185" s="6" t="s">
        <v>208</v>
      </c>
      <c r="C185" s="6">
        <v>50</v>
      </c>
      <c r="D185" s="6" t="s">
        <v>17</v>
      </c>
      <c r="E185" s="6" t="s">
        <v>15</v>
      </c>
      <c r="F185" s="6" t="s">
        <v>20</v>
      </c>
      <c r="G185" s="19">
        <v>3690</v>
      </c>
      <c r="H185" s="11">
        <v>3</v>
      </c>
      <c r="I185" s="6">
        <v>3</v>
      </c>
      <c r="J185" s="6" t="s">
        <v>14</v>
      </c>
      <c r="K185" s="5" t="s">
        <v>14</v>
      </c>
      <c r="L185" s="3" t="str">
        <f>IF(Table1[[#This Row],[Monthly Income]]&lt;3000,"Low",IF(Table1[[#This Row],[Monthly Income]]&lt;7000,"Medium","High"))</f>
        <v>Medium</v>
      </c>
      <c r="AK185" s="6"/>
      <c r="AL185" s="6"/>
      <c r="AM185" s="6"/>
      <c r="AN185" s="6"/>
      <c r="AO185" s="6"/>
      <c r="AP185" s="6"/>
      <c r="AQ185" s="6"/>
      <c r="AR185" s="6"/>
      <c r="AS185" s="6"/>
      <c r="AU185" s="6"/>
      <c r="AV185" s="6"/>
      <c r="AW185" s="6"/>
      <c r="AX185" s="6"/>
      <c r="AY185" s="6"/>
      <c r="AZ185" s="6"/>
      <c r="BA185" s="6"/>
      <c r="BB185" s="6"/>
      <c r="BC185" s="6"/>
      <c r="BD185" s="6"/>
      <c r="BE185" s="6"/>
    </row>
    <row r="186" spans="2:57" x14ac:dyDescent="0.3">
      <c r="B186" s="4" t="s">
        <v>209</v>
      </c>
      <c r="C186" s="4">
        <v>53</v>
      </c>
      <c r="D186" s="4" t="s">
        <v>12</v>
      </c>
      <c r="E186" s="4" t="s">
        <v>15</v>
      </c>
      <c r="F186" s="4" t="s">
        <v>27</v>
      </c>
      <c r="G186" s="18">
        <v>4450</v>
      </c>
      <c r="H186" s="10">
        <v>4</v>
      </c>
      <c r="I186" s="4">
        <v>1</v>
      </c>
      <c r="J186" s="4" t="s">
        <v>14</v>
      </c>
      <c r="K186" s="3" t="s">
        <v>14</v>
      </c>
      <c r="L186" s="3" t="str">
        <f>IF(Table1[[#This Row],[Monthly Income]]&lt;3000,"Low",IF(Table1[[#This Row],[Monthly Income]]&lt;7000,"Medium","High"))</f>
        <v>Medium</v>
      </c>
      <c r="AK186" s="4"/>
      <c r="AL186" s="4"/>
      <c r="AM186" s="4"/>
      <c r="AN186" s="4"/>
      <c r="AO186" s="4"/>
      <c r="AP186" s="4"/>
      <c r="AQ186" s="4"/>
      <c r="AR186" s="4"/>
      <c r="AS186" s="4"/>
      <c r="AU186" s="4"/>
      <c r="AV186" s="4"/>
      <c r="AW186" s="4"/>
      <c r="AX186" s="4"/>
      <c r="AY186" s="4"/>
      <c r="AZ186" s="4"/>
      <c r="BA186" s="4"/>
      <c r="BB186" s="4"/>
      <c r="BC186" s="4"/>
      <c r="BD186" s="4"/>
      <c r="BE186" s="4"/>
    </row>
    <row r="187" spans="2:57" x14ac:dyDescent="0.3">
      <c r="B187" s="6" t="s">
        <v>210</v>
      </c>
      <c r="C187" s="6">
        <v>33</v>
      </c>
      <c r="D187" s="6" t="s">
        <v>12</v>
      </c>
      <c r="E187" s="6" t="s">
        <v>15</v>
      </c>
      <c r="F187" s="6" t="s">
        <v>18</v>
      </c>
      <c r="G187" s="19">
        <v>2756</v>
      </c>
      <c r="H187" s="11">
        <v>8</v>
      </c>
      <c r="I187" s="6">
        <v>2</v>
      </c>
      <c r="J187" s="6" t="s">
        <v>14</v>
      </c>
      <c r="K187" s="5" t="s">
        <v>14</v>
      </c>
      <c r="L187" s="3" t="str">
        <f>IF(Table1[[#This Row],[Monthly Income]]&lt;3000,"Low",IF(Table1[[#This Row],[Monthly Income]]&lt;7000,"Medium","High"))</f>
        <v>Low</v>
      </c>
      <c r="AK187" s="6"/>
      <c r="AL187" s="6"/>
      <c r="AM187" s="6"/>
      <c r="AN187" s="6"/>
      <c r="AO187" s="6"/>
      <c r="AP187" s="6"/>
      <c r="AQ187" s="6"/>
      <c r="AR187" s="6"/>
      <c r="AS187" s="6"/>
      <c r="AU187" s="6"/>
      <c r="AV187" s="6"/>
      <c r="AW187" s="6"/>
      <c r="AX187" s="6"/>
      <c r="AY187" s="6"/>
      <c r="AZ187" s="6"/>
      <c r="BA187" s="6"/>
      <c r="BB187" s="6"/>
      <c r="BC187" s="6"/>
      <c r="BD187" s="6"/>
      <c r="BE187" s="6"/>
    </row>
    <row r="188" spans="2:57" x14ac:dyDescent="0.3">
      <c r="B188" s="4" t="s">
        <v>211</v>
      </c>
      <c r="C188" s="4">
        <v>40</v>
      </c>
      <c r="D188" s="4" t="s">
        <v>12</v>
      </c>
      <c r="E188" s="4" t="s">
        <v>15</v>
      </c>
      <c r="F188" s="4" t="s">
        <v>39</v>
      </c>
      <c r="G188" s="18">
        <v>19033</v>
      </c>
      <c r="H188" s="10">
        <v>20</v>
      </c>
      <c r="I188" s="4">
        <v>3</v>
      </c>
      <c r="J188" s="4" t="s">
        <v>14</v>
      </c>
      <c r="K188" s="3" t="s">
        <v>14</v>
      </c>
      <c r="L188" s="3" t="str">
        <f>IF(Table1[[#This Row],[Monthly Income]]&lt;3000,"Low",IF(Table1[[#This Row],[Monthly Income]]&lt;7000,"Medium","High"))</f>
        <v>High</v>
      </c>
      <c r="AK188" s="4"/>
      <c r="AL188" s="4"/>
      <c r="AM188" s="4"/>
      <c r="AN188" s="4"/>
      <c r="AO188" s="4"/>
      <c r="AP188" s="4"/>
      <c r="AQ188" s="4"/>
      <c r="AR188" s="4"/>
      <c r="AS188" s="4"/>
      <c r="AU188" s="4"/>
      <c r="AV188" s="4"/>
      <c r="AW188" s="4"/>
      <c r="AX188" s="4"/>
      <c r="AY188" s="4"/>
      <c r="AZ188" s="4"/>
      <c r="BA188" s="4"/>
      <c r="BB188" s="4"/>
      <c r="BC188" s="4"/>
      <c r="BD188" s="4"/>
      <c r="BE188" s="4"/>
    </row>
    <row r="189" spans="2:57" x14ac:dyDescent="0.3">
      <c r="B189" s="6" t="s">
        <v>212</v>
      </c>
      <c r="C189" s="6">
        <v>55</v>
      </c>
      <c r="D189" s="6" t="s">
        <v>17</v>
      </c>
      <c r="E189" s="6" t="s">
        <v>15</v>
      </c>
      <c r="F189" s="6" t="s">
        <v>45</v>
      </c>
      <c r="G189" s="19">
        <v>18722</v>
      </c>
      <c r="H189" s="11">
        <v>24</v>
      </c>
      <c r="I189" s="6">
        <v>2</v>
      </c>
      <c r="J189" s="6" t="s">
        <v>14</v>
      </c>
      <c r="K189" s="5" t="s">
        <v>14</v>
      </c>
      <c r="L189" s="3" t="str">
        <f>IF(Table1[[#This Row],[Monthly Income]]&lt;3000,"Low",IF(Table1[[#This Row],[Monthly Income]]&lt;7000,"Medium","High"))</f>
        <v>High</v>
      </c>
      <c r="AK189" s="6"/>
      <c r="AL189" s="6"/>
      <c r="AM189" s="6"/>
      <c r="AN189" s="6"/>
      <c r="AO189" s="6"/>
      <c r="AP189" s="6"/>
      <c r="AQ189" s="6"/>
      <c r="AR189" s="6"/>
      <c r="AS189" s="6"/>
      <c r="AU189" s="6"/>
      <c r="AV189" s="6"/>
      <c r="AW189" s="6"/>
      <c r="AX189" s="6"/>
      <c r="AY189" s="6"/>
      <c r="AZ189" s="6"/>
      <c r="BA189" s="6"/>
      <c r="BB189" s="6"/>
      <c r="BC189" s="6"/>
      <c r="BD189" s="6"/>
      <c r="BE189" s="6"/>
    </row>
    <row r="190" spans="2:57" x14ac:dyDescent="0.3">
      <c r="B190" s="4" t="s">
        <v>213</v>
      </c>
      <c r="C190" s="4">
        <v>34</v>
      </c>
      <c r="D190" s="4" t="s">
        <v>17</v>
      </c>
      <c r="E190" s="4" t="s">
        <v>15</v>
      </c>
      <c r="F190" s="4" t="s">
        <v>27</v>
      </c>
      <c r="G190" s="18">
        <v>9547</v>
      </c>
      <c r="H190" s="10">
        <v>10</v>
      </c>
      <c r="I190" s="4">
        <v>3</v>
      </c>
      <c r="J190" s="4" t="s">
        <v>14</v>
      </c>
      <c r="K190" s="3" t="s">
        <v>14</v>
      </c>
      <c r="L190" s="3" t="str">
        <f>IF(Table1[[#This Row],[Monthly Income]]&lt;3000,"Low",IF(Table1[[#This Row],[Monthly Income]]&lt;7000,"Medium","High"))</f>
        <v>High</v>
      </c>
      <c r="AK190" s="4"/>
      <c r="AL190" s="4"/>
      <c r="AM190" s="4"/>
      <c r="AN190" s="4"/>
      <c r="AO190" s="4"/>
      <c r="AP190" s="4"/>
      <c r="AQ190" s="4"/>
      <c r="AR190" s="4"/>
      <c r="AS190" s="4"/>
      <c r="AU190" s="4"/>
      <c r="AV190" s="4"/>
      <c r="AW190" s="4"/>
      <c r="AX190" s="4"/>
      <c r="AY190" s="4"/>
      <c r="AZ190" s="4"/>
      <c r="BA190" s="4"/>
      <c r="BB190" s="4"/>
      <c r="BC190" s="4"/>
      <c r="BD190" s="4"/>
      <c r="BE190" s="4"/>
    </row>
    <row r="191" spans="2:57" x14ac:dyDescent="0.3">
      <c r="B191" s="6" t="s">
        <v>214</v>
      </c>
      <c r="C191" s="6">
        <v>51</v>
      </c>
      <c r="D191" s="6" t="s">
        <v>12</v>
      </c>
      <c r="E191" s="6" t="s">
        <v>15</v>
      </c>
      <c r="F191" s="6" t="s">
        <v>29</v>
      </c>
      <c r="G191" s="19">
        <v>13734</v>
      </c>
      <c r="H191" s="11">
        <v>7</v>
      </c>
      <c r="I191" s="6">
        <v>2</v>
      </c>
      <c r="J191" s="6" t="s">
        <v>14</v>
      </c>
      <c r="K191" s="5" t="s">
        <v>14</v>
      </c>
      <c r="L191" s="3" t="str">
        <f>IF(Table1[[#This Row],[Monthly Income]]&lt;3000,"Low",IF(Table1[[#This Row],[Monthly Income]]&lt;7000,"Medium","High"))</f>
        <v>High</v>
      </c>
      <c r="AK191" s="6"/>
      <c r="AL191" s="6"/>
      <c r="AM191" s="6"/>
      <c r="AN191" s="6"/>
      <c r="AO191" s="6"/>
      <c r="AP191" s="6"/>
      <c r="AQ191" s="6"/>
      <c r="AR191" s="6"/>
      <c r="AS191" s="6"/>
      <c r="AU191" s="6"/>
      <c r="AV191" s="6"/>
      <c r="AW191" s="6"/>
      <c r="AX191" s="6"/>
      <c r="AY191" s="6"/>
      <c r="AZ191" s="6"/>
      <c r="BA191" s="6"/>
      <c r="BB191" s="6"/>
      <c r="BC191" s="6"/>
      <c r="BD191" s="6"/>
      <c r="BE191" s="6"/>
    </row>
    <row r="192" spans="2:57" x14ac:dyDescent="0.3">
      <c r="B192" s="4" t="s">
        <v>215</v>
      </c>
      <c r="C192" s="4">
        <v>52</v>
      </c>
      <c r="D192" s="4" t="s">
        <v>17</v>
      </c>
      <c r="E192" s="4" t="s">
        <v>15</v>
      </c>
      <c r="F192" s="4" t="s">
        <v>39</v>
      </c>
      <c r="G192" s="18">
        <v>19999</v>
      </c>
      <c r="H192" s="10">
        <v>33</v>
      </c>
      <c r="I192" s="4">
        <v>3</v>
      </c>
      <c r="J192" s="4" t="s">
        <v>14</v>
      </c>
      <c r="K192" s="3" t="s">
        <v>14</v>
      </c>
      <c r="L192" s="3" t="str">
        <f>IF(Table1[[#This Row],[Monthly Income]]&lt;3000,"Low",IF(Table1[[#This Row],[Monthly Income]]&lt;7000,"Medium","High"))</f>
        <v>High</v>
      </c>
      <c r="AK192" s="4"/>
      <c r="AL192" s="4"/>
      <c r="AM192" s="4"/>
      <c r="AN192" s="4"/>
      <c r="AO192" s="4"/>
      <c r="AP192" s="4"/>
      <c r="AQ192" s="4"/>
      <c r="AR192" s="4"/>
      <c r="AS192" s="4"/>
      <c r="AU192" s="4"/>
      <c r="AV192" s="4"/>
      <c r="AW192" s="4"/>
      <c r="AX192" s="4"/>
      <c r="AY192" s="4"/>
      <c r="AZ192" s="4"/>
      <c r="BA192" s="4"/>
      <c r="BB192" s="4"/>
      <c r="BC192" s="4"/>
      <c r="BD192" s="4"/>
      <c r="BE192" s="4"/>
    </row>
    <row r="193" spans="2:57" x14ac:dyDescent="0.3">
      <c r="B193" s="6" t="s">
        <v>216</v>
      </c>
      <c r="C193" s="6">
        <v>27</v>
      </c>
      <c r="D193" s="6" t="s">
        <v>12</v>
      </c>
      <c r="E193" s="6" t="s">
        <v>15</v>
      </c>
      <c r="F193" s="6" t="s">
        <v>18</v>
      </c>
      <c r="G193" s="19">
        <v>2279</v>
      </c>
      <c r="H193" s="11">
        <v>7</v>
      </c>
      <c r="I193" s="6">
        <v>2</v>
      </c>
      <c r="J193" s="6" t="s">
        <v>14</v>
      </c>
      <c r="K193" s="5" t="s">
        <v>14</v>
      </c>
      <c r="L193" s="3" t="str">
        <f>IF(Table1[[#This Row],[Monthly Income]]&lt;3000,"Low",IF(Table1[[#This Row],[Monthly Income]]&lt;7000,"Medium","High"))</f>
        <v>Low</v>
      </c>
      <c r="AK193" s="6"/>
      <c r="AL193" s="6"/>
      <c r="AM193" s="6"/>
      <c r="AN193" s="6"/>
      <c r="AO193" s="6"/>
      <c r="AP193" s="6"/>
      <c r="AQ193" s="6"/>
      <c r="AR193" s="6"/>
      <c r="AS193" s="6"/>
      <c r="AU193" s="6"/>
      <c r="AV193" s="6"/>
      <c r="AW193" s="6"/>
      <c r="AX193" s="6"/>
      <c r="AY193" s="6"/>
      <c r="AZ193" s="6"/>
      <c r="BA193" s="6"/>
      <c r="BB193" s="6"/>
      <c r="BC193" s="6"/>
      <c r="BD193" s="6"/>
      <c r="BE193" s="6"/>
    </row>
    <row r="194" spans="2:57" x14ac:dyDescent="0.3">
      <c r="B194" s="4" t="s">
        <v>217</v>
      </c>
      <c r="C194" s="4">
        <v>35</v>
      </c>
      <c r="D194" s="4" t="s">
        <v>17</v>
      </c>
      <c r="E194" s="4" t="s">
        <v>15</v>
      </c>
      <c r="F194" s="4" t="s">
        <v>27</v>
      </c>
      <c r="G194" s="18">
        <v>5916</v>
      </c>
      <c r="H194" s="10">
        <v>1</v>
      </c>
      <c r="I194" s="4">
        <v>3</v>
      </c>
      <c r="J194" s="4" t="s">
        <v>9</v>
      </c>
      <c r="K194" s="3" t="s">
        <v>9</v>
      </c>
      <c r="L194" s="3" t="str">
        <f>IF(Table1[[#This Row],[Monthly Income]]&lt;3000,"Low",IF(Table1[[#This Row],[Monthly Income]]&lt;7000,"Medium","High"))</f>
        <v>Medium</v>
      </c>
      <c r="AK194" s="4"/>
      <c r="AL194" s="4"/>
      <c r="AM194" s="4"/>
      <c r="AN194" s="4"/>
      <c r="AO194" s="4"/>
      <c r="AP194" s="4"/>
      <c r="AQ194" s="4"/>
      <c r="AR194" s="4"/>
      <c r="AS194" s="4"/>
      <c r="AU194" s="4"/>
      <c r="AV194" s="4"/>
      <c r="AW194" s="4"/>
      <c r="AX194" s="4"/>
      <c r="AY194" s="4"/>
      <c r="AZ194" s="4"/>
      <c r="BA194" s="4"/>
      <c r="BB194" s="4"/>
      <c r="BC194" s="4"/>
      <c r="BD194" s="4"/>
      <c r="BE194" s="4"/>
    </row>
    <row r="195" spans="2:57" x14ac:dyDescent="0.3">
      <c r="B195" s="6" t="s">
        <v>218</v>
      </c>
      <c r="C195" s="6">
        <v>43</v>
      </c>
      <c r="D195" s="6" t="s">
        <v>17</v>
      </c>
      <c r="E195" s="6" t="s">
        <v>15</v>
      </c>
      <c r="F195" s="6" t="s">
        <v>18</v>
      </c>
      <c r="G195" s="19">
        <v>2089</v>
      </c>
      <c r="H195" s="11">
        <v>5</v>
      </c>
      <c r="I195" s="6">
        <v>4</v>
      </c>
      <c r="J195" s="6" t="s">
        <v>14</v>
      </c>
      <c r="K195" s="5" t="s">
        <v>14</v>
      </c>
      <c r="L195" s="3" t="str">
        <f>IF(Table1[[#This Row],[Monthly Income]]&lt;3000,"Low",IF(Table1[[#This Row],[Monthly Income]]&lt;7000,"Medium","High"))</f>
        <v>Low</v>
      </c>
      <c r="AK195" s="6"/>
      <c r="AL195" s="6"/>
      <c r="AM195" s="6"/>
      <c r="AN195" s="6"/>
      <c r="AO195" s="6"/>
      <c r="AP195" s="6"/>
      <c r="AQ195" s="6"/>
      <c r="AR195" s="6"/>
      <c r="AS195" s="6"/>
      <c r="AU195" s="6"/>
      <c r="AV195" s="6"/>
      <c r="AW195" s="6"/>
      <c r="AX195" s="6"/>
      <c r="AY195" s="6"/>
      <c r="AZ195" s="6"/>
      <c r="BA195" s="6"/>
      <c r="BB195" s="6"/>
      <c r="BC195" s="6"/>
      <c r="BD195" s="6"/>
      <c r="BE195" s="6"/>
    </row>
    <row r="196" spans="2:57" x14ac:dyDescent="0.3">
      <c r="B196" s="4" t="s">
        <v>219</v>
      </c>
      <c r="C196" s="4">
        <v>45</v>
      </c>
      <c r="D196" s="4" t="s">
        <v>17</v>
      </c>
      <c r="E196" s="4" t="s">
        <v>15</v>
      </c>
      <c r="F196" s="4" t="s">
        <v>39</v>
      </c>
      <c r="G196" s="18">
        <v>16792</v>
      </c>
      <c r="H196" s="10">
        <v>20</v>
      </c>
      <c r="I196" s="4">
        <v>4</v>
      </c>
      <c r="J196" s="4" t="s">
        <v>14</v>
      </c>
      <c r="K196" s="3" t="s">
        <v>14</v>
      </c>
      <c r="L196" s="3" t="str">
        <f>IF(Table1[[#This Row],[Monthly Income]]&lt;3000,"Low",IF(Table1[[#This Row],[Monthly Income]]&lt;7000,"Medium","High"))</f>
        <v>High</v>
      </c>
      <c r="AK196" s="4"/>
      <c r="AL196" s="4"/>
      <c r="AM196" s="4"/>
      <c r="AN196" s="4"/>
      <c r="AO196" s="4"/>
      <c r="AP196" s="4"/>
      <c r="AQ196" s="4"/>
      <c r="AR196" s="4"/>
      <c r="AS196" s="4"/>
      <c r="AU196" s="4"/>
      <c r="AV196" s="4"/>
      <c r="AW196" s="4"/>
      <c r="AX196" s="4"/>
      <c r="AY196" s="4"/>
      <c r="AZ196" s="4"/>
      <c r="BA196" s="4"/>
      <c r="BB196" s="4"/>
      <c r="BC196" s="4"/>
      <c r="BD196" s="4"/>
      <c r="BE196" s="4"/>
    </row>
    <row r="197" spans="2:57" x14ac:dyDescent="0.3">
      <c r="B197" s="6" t="s">
        <v>220</v>
      </c>
      <c r="C197" s="6">
        <v>37</v>
      </c>
      <c r="D197" s="6" t="s">
        <v>17</v>
      </c>
      <c r="E197" s="6" t="s">
        <v>15</v>
      </c>
      <c r="F197" s="6" t="s">
        <v>18</v>
      </c>
      <c r="G197" s="19">
        <v>3564</v>
      </c>
      <c r="H197" s="11">
        <v>8</v>
      </c>
      <c r="I197" s="6">
        <v>1</v>
      </c>
      <c r="J197" s="6" t="s">
        <v>9</v>
      </c>
      <c r="K197" s="5" t="s">
        <v>14</v>
      </c>
      <c r="L197" s="3" t="str">
        <f>IF(Table1[[#This Row],[Monthly Income]]&lt;3000,"Low",IF(Table1[[#This Row],[Monthly Income]]&lt;7000,"Medium","High"))</f>
        <v>Medium</v>
      </c>
      <c r="AK197" s="6"/>
      <c r="AL197" s="6"/>
      <c r="AM197" s="6"/>
      <c r="AN197" s="6"/>
      <c r="AO197" s="6"/>
      <c r="AP197" s="6"/>
      <c r="AQ197" s="6"/>
      <c r="AR197" s="6"/>
      <c r="AS197" s="6"/>
      <c r="AU197" s="6"/>
      <c r="AV197" s="6"/>
      <c r="AW197" s="6"/>
      <c r="AX197" s="6"/>
      <c r="AY197" s="6"/>
      <c r="AZ197" s="6"/>
      <c r="BA197" s="6"/>
      <c r="BB197" s="6"/>
      <c r="BC197" s="6"/>
      <c r="BD197" s="6"/>
      <c r="BE197" s="6"/>
    </row>
    <row r="198" spans="2:57" x14ac:dyDescent="0.3">
      <c r="B198" s="4" t="s">
        <v>221</v>
      </c>
      <c r="C198" s="4">
        <v>35</v>
      </c>
      <c r="D198" s="4" t="s">
        <v>12</v>
      </c>
      <c r="E198" s="4" t="s">
        <v>15</v>
      </c>
      <c r="F198" s="4" t="s">
        <v>20</v>
      </c>
      <c r="G198" s="18">
        <v>4425</v>
      </c>
      <c r="H198" s="10">
        <v>6</v>
      </c>
      <c r="I198" s="4">
        <v>2</v>
      </c>
      <c r="J198" s="4" t="s">
        <v>14</v>
      </c>
      <c r="K198" s="3" t="s">
        <v>14</v>
      </c>
      <c r="L198" s="3" t="str">
        <f>IF(Table1[[#This Row],[Monthly Income]]&lt;3000,"Low",IF(Table1[[#This Row],[Monthly Income]]&lt;7000,"Medium","High"))</f>
        <v>Medium</v>
      </c>
      <c r="AK198" s="4"/>
      <c r="AL198" s="4"/>
      <c r="AM198" s="4"/>
      <c r="AN198" s="4"/>
      <c r="AO198" s="4"/>
      <c r="AP198" s="4"/>
      <c r="AQ198" s="4"/>
      <c r="AR198" s="4"/>
      <c r="AS198" s="4"/>
      <c r="AU198" s="4"/>
      <c r="AV198" s="4"/>
      <c r="AW198" s="4"/>
      <c r="AX198" s="4"/>
      <c r="AY198" s="4"/>
      <c r="AZ198" s="4"/>
      <c r="BA198" s="4"/>
      <c r="BB198" s="4"/>
      <c r="BC198" s="4"/>
      <c r="BD198" s="4"/>
      <c r="BE198" s="4"/>
    </row>
    <row r="199" spans="2:57" x14ac:dyDescent="0.3">
      <c r="B199" s="6" t="s">
        <v>222</v>
      </c>
      <c r="C199" s="6">
        <v>42</v>
      </c>
      <c r="D199" s="6" t="s">
        <v>12</v>
      </c>
      <c r="E199" s="6" t="s">
        <v>15</v>
      </c>
      <c r="F199" s="6" t="s">
        <v>27</v>
      </c>
      <c r="G199" s="19">
        <v>5265</v>
      </c>
      <c r="H199" s="11">
        <v>5</v>
      </c>
      <c r="I199" s="6">
        <v>3</v>
      </c>
      <c r="J199" s="6" t="s">
        <v>14</v>
      </c>
      <c r="K199" s="5" t="s">
        <v>14</v>
      </c>
      <c r="L199" s="3" t="str">
        <f>IF(Table1[[#This Row],[Monthly Income]]&lt;3000,"Low",IF(Table1[[#This Row],[Monthly Income]]&lt;7000,"Medium","High"))</f>
        <v>Medium</v>
      </c>
      <c r="AK199" s="6"/>
      <c r="AL199" s="6"/>
      <c r="AM199" s="6"/>
      <c r="AN199" s="6"/>
      <c r="AO199" s="6"/>
      <c r="AP199" s="6"/>
      <c r="AQ199" s="6"/>
      <c r="AR199" s="6"/>
      <c r="AS199" s="6"/>
      <c r="AU199" s="6"/>
      <c r="AV199" s="6"/>
      <c r="AW199" s="6"/>
      <c r="AX199" s="6"/>
      <c r="AY199" s="6"/>
      <c r="AZ199" s="6"/>
      <c r="BA199" s="6"/>
      <c r="BB199" s="6"/>
      <c r="BC199" s="6"/>
      <c r="BD199" s="6"/>
      <c r="BE199" s="6"/>
    </row>
    <row r="200" spans="2:57" x14ac:dyDescent="0.3">
      <c r="B200" s="4" t="s">
        <v>223</v>
      </c>
      <c r="C200" s="4">
        <v>38</v>
      </c>
      <c r="D200" s="4" t="s">
        <v>17</v>
      </c>
      <c r="E200" s="4" t="s">
        <v>15</v>
      </c>
      <c r="F200" s="4" t="s">
        <v>27</v>
      </c>
      <c r="G200" s="18">
        <v>6553</v>
      </c>
      <c r="H200" s="10">
        <v>1</v>
      </c>
      <c r="I200" s="4">
        <v>3</v>
      </c>
      <c r="J200" s="4" t="s">
        <v>14</v>
      </c>
      <c r="K200" s="3" t="s">
        <v>14</v>
      </c>
      <c r="L200" s="3" t="str">
        <f>IF(Table1[[#This Row],[Monthly Income]]&lt;3000,"Low",IF(Table1[[#This Row],[Monthly Income]]&lt;7000,"Medium","High"))</f>
        <v>Medium</v>
      </c>
      <c r="AK200" s="4"/>
      <c r="AL200" s="4"/>
      <c r="AM200" s="4"/>
      <c r="AN200" s="4"/>
      <c r="AO200" s="4"/>
      <c r="AP200" s="4"/>
      <c r="AQ200" s="4"/>
      <c r="AR200" s="4"/>
      <c r="AS200" s="4"/>
      <c r="AU200" s="4"/>
      <c r="AV200" s="4"/>
      <c r="AW200" s="4"/>
      <c r="AX200" s="4"/>
      <c r="AY200" s="4"/>
      <c r="AZ200" s="4"/>
      <c r="BA200" s="4"/>
      <c r="BB200" s="4"/>
      <c r="BC200" s="4"/>
      <c r="BD200" s="4"/>
      <c r="BE200" s="4"/>
    </row>
    <row r="201" spans="2:57" x14ac:dyDescent="0.3">
      <c r="B201" s="6" t="s">
        <v>224</v>
      </c>
      <c r="C201" s="6">
        <v>38</v>
      </c>
      <c r="D201" s="6" t="s">
        <v>17</v>
      </c>
      <c r="E201" s="6" t="s">
        <v>15</v>
      </c>
      <c r="F201" s="6" t="s">
        <v>27</v>
      </c>
      <c r="G201" s="19">
        <v>6261</v>
      </c>
      <c r="H201" s="11">
        <v>7</v>
      </c>
      <c r="I201" s="6">
        <v>4</v>
      </c>
      <c r="J201" s="6" t="s">
        <v>14</v>
      </c>
      <c r="K201" s="5" t="s">
        <v>14</v>
      </c>
      <c r="L201" s="3" t="str">
        <f>IF(Table1[[#This Row],[Monthly Income]]&lt;3000,"Low",IF(Table1[[#This Row],[Monthly Income]]&lt;7000,"Medium","High"))</f>
        <v>Medium</v>
      </c>
      <c r="AK201" s="6"/>
      <c r="AL201" s="6"/>
      <c r="AM201" s="6"/>
      <c r="AN201" s="6"/>
      <c r="AO201" s="6"/>
      <c r="AP201" s="6"/>
      <c r="AQ201" s="6"/>
      <c r="AR201" s="6"/>
      <c r="AS201" s="6"/>
      <c r="AU201" s="6"/>
      <c r="AV201" s="6"/>
      <c r="AW201" s="6"/>
      <c r="AX201" s="6"/>
      <c r="AY201" s="6"/>
      <c r="AZ201" s="6"/>
      <c r="BA201" s="6"/>
      <c r="BB201" s="6"/>
      <c r="BC201" s="6"/>
      <c r="BD201" s="6"/>
      <c r="BE201" s="6"/>
    </row>
    <row r="202" spans="2:57" x14ac:dyDescent="0.3">
      <c r="B202" s="4" t="s">
        <v>225</v>
      </c>
      <c r="C202" s="4">
        <v>27</v>
      </c>
      <c r="D202" s="4" t="s">
        <v>17</v>
      </c>
      <c r="E202" s="4" t="s">
        <v>15</v>
      </c>
      <c r="F202" s="4" t="s">
        <v>27</v>
      </c>
      <c r="G202" s="18">
        <v>4298</v>
      </c>
      <c r="H202" s="10">
        <v>2</v>
      </c>
      <c r="I202" s="4">
        <v>1</v>
      </c>
      <c r="J202" s="4" t="s">
        <v>14</v>
      </c>
      <c r="K202" s="3" t="s">
        <v>14</v>
      </c>
      <c r="L202" s="3" t="str">
        <f>IF(Table1[[#This Row],[Monthly Income]]&lt;3000,"Low",IF(Table1[[#This Row],[Monthly Income]]&lt;7000,"Medium","High"))</f>
        <v>Medium</v>
      </c>
      <c r="AK202" s="4"/>
      <c r="AL202" s="4"/>
      <c r="AM202" s="4"/>
      <c r="AN202" s="4"/>
      <c r="AO202" s="4"/>
      <c r="AP202" s="4"/>
      <c r="AQ202" s="4"/>
      <c r="AR202" s="4"/>
      <c r="AS202" s="4"/>
      <c r="AU202" s="4"/>
      <c r="AV202" s="4"/>
      <c r="AW202" s="4"/>
      <c r="AX202" s="4"/>
      <c r="AY202" s="4"/>
      <c r="AZ202" s="4"/>
      <c r="BA202" s="4"/>
      <c r="BB202" s="4"/>
      <c r="BC202" s="4"/>
      <c r="BD202" s="4"/>
      <c r="BE202" s="4"/>
    </row>
    <row r="203" spans="2:57" x14ac:dyDescent="0.3">
      <c r="B203" s="6" t="s">
        <v>226</v>
      </c>
      <c r="C203" s="6">
        <v>49</v>
      </c>
      <c r="D203" s="6" t="s">
        <v>17</v>
      </c>
      <c r="E203" s="6" t="s">
        <v>15</v>
      </c>
      <c r="F203" s="6" t="s">
        <v>27</v>
      </c>
      <c r="G203" s="19">
        <v>6804</v>
      </c>
      <c r="H203" s="11">
        <v>7</v>
      </c>
      <c r="I203" s="6">
        <v>4</v>
      </c>
      <c r="J203" s="6" t="s">
        <v>9</v>
      </c>
      <c r="K203" s="5" t="s">
        <v>14</v>
      </c>
      <c r="L203" s="3" t="str">
        <f>IF(Table1[[#This Row],[Monthly Income]]&lt;3000,"Low",IF(Table1[[#This Row],[Monthly Income]]&lt;7000,"Medium","High"))</f>
        <v>Medium</v>
      </c>
      <c r="AK203" s="6"/>
      <c r="AL203" s="6"/>
      <c r="AM203" s="6"/>
      <c r="AN203" s="6"/>
      <c r="AO203" s="6"/>
      <c r="AP203" s="6"/>
      <c r="AQ203" s="6"/>
      <c r="AR203" s="6"/>
      <c r="AS203" s="6"/>
      <c r="AU203" s="6"/>
      <c r="AV203" s="6"/>
      <c r="AW203" s="6"/>
      <c r="AX203" s="6"/>
      <c r="AY203" s="6"/>
      <c r="AZ203" s="6"/>
      <c r="BA203" s="6"/>
      <c r="BB203" s="6"/>
      <c r="BC203" s="6"/>
      <c r="BD203" s="6"/>
      <c r="BE203" s="6"/>
    </row>
    <row r="204" spans="2:57" x14ac:dyDescent="0.3">
      <c r="B204" s="4" t="s">
        <v>227</v>
      </c>
      <c r="C204" s="4">
        <v>34</v>
      </c>
      <c r="D204" s="4" t="s">
        <v>17</v>
      </c>
      <c r="E204" s="4" t="s">
        <v>15</v>
      </c>
      <c r="F204" s="4" t="s">
        <v>18</v>
      </c>
      <c r="G204" s="18">
        <v>3815</v>
      </c>
      <c r="H204" s="10">
        <v>5</v>
      </c>
      <c r="I204" s="4">
        <v>3</v>
      </c>
      <c r="J204" s="4" t="s">
        <v>9</v>
      </c>
      <c r="K204" s="3" t="s">
        <v>14</v>
      </c>
      <c r="L204" s="3" t="str">
        <f>IF(Table1[[#This Row],[Monthly Income]]&lt;3000,"Low",IF(Table1[[#This Row],[Monthly Income]]&lt;7000,"Medium","High"))</f>
        <v>Medium</v>
      </c>
      <c r="AK204" s="4"/>
      <c r="AL204" s="4"/>
      <c r="AM204" s="4"/>
      <c r="AN204" s="4"/>
      <c r="AO204" s="4"/>
      <c r="AP204" s="4"/>
      <c r="AQ204" s="4"/>
      <c r="AR204" s="4"/>
      <c r="AS204" s="4"/>
      <c r="AU204" s="4"/>
      <c r="AV204" s="4"/>
      <c r="AW204" s="4"/>
      <c r="AX204" s="4"/>
      <c r="AY204" s="4"/>
      <c r="AZ204" s="4"/>
      <c r="BA204" s="4"/>
      <c r="BB204" s="4"/>
      <c r="BC204" s="4"/>
      <c r="BD204" s="4"/>
      <c r="BE204" s="4"/>
    </row>
    <row r="205" spans="2:57" x14ac:dyDescent="0.3">
      <c r="B205" s="6" t="s">
        <v>228</v>
      </c>
      <c r="C205" s="6">
        <v>40</v>
      </c>
      <c r="D205" s="6" t="s">
        <v>17</v>
      </c>
      <c r="E205" s="6" t="s">
        <v>15</v>
      </c>
      <c r="F205" s="6" t="s">
        <v>20</v>
      </c>
      <c r="G205" s="19">
        <v>2741</v>
      </c>
      <c r="H205" s="11">
        <v>7</v>
      </c>
      <c r="I205" s="6">
        <v>4</v>
      </c>
      <c r="J205" s="6" t="s">
        <v>9</v>
      </c>
      <c r="K205" s="5" t="s">
        <v>14</v>
      </c>
      <c r="L205" s="3" t="str">
        <f>IF(Table1[[#This Row],[Monthly Income]]&lt;3000,"Low",IF(Table1[[#This Row],[Monthly Income]]&lt;7000,"Medium","High"))</f>
        <v>Low</v>
      </c>
      <c r="AK205" s="6"/>
      <c r="AL205" s="6"/>
      <c r="AM205" s="6"/>
      <c r="AN205" s="6"/>
      <c r="AO205" s="6"/>
      <c r="AP205" s="6"/>
      <c r="AQ205" s="6"/>
      <c r="AR205" s="6"/>
      <c r="AS205" s="6"/>
      <c r="AU205" s="6"/>
      <c r="AV205" s="6"/>
      <c r="AW205" s="6"/>
      <c r="AX205" s="6"/>
      <c r="AY205" s="6"/>
      <c r="AZ205" s="6"/>
      <c r="BA205" s="6"/>
      <c r="BB205" s="6"/>
      <c r="BC205" s="6"/>
      <c r="BD205" s="6"/>
      <c r="BE205" s="6"/>
    </row>
    <row r="206" spans="2:57" x14ac:dyDescent="0.3">
      <c r="B206" s="4" t="s">
        <v>229</v>
      </c>
      <c r="C206" s="4">
        <v>38</v>
      </c>
      <c r="D206" s="4" t="s">
        <v>17</v>
      </c>
      <c r="E206" s="4" t="s">
        <v>15</v>
      </c>
      <c r="F206" s="4" t="s">
        <v>29</v>
      </c>
      <c r="G206" s="18">
        <v>6673</v>
      </c>
      <c r="H206" s="10">
        <v>1</v>
      </c>
      <c r="I206" s="4">
        <v>1</v>
      </c>
      <c r="J206" s="4" t="s">
        <v>9</v>
      </c>
      <c r="K206" s="3" t="s">
        <v>9</v>
      </c>
      <c r="L206" s="3" t="str">
        <f>IF(Table1[[#This Row],[Monthly Income]]&lt;3000,"Low",IF(Table1[[#This Row],[Monthly Income]]&lt;7000,"Medium","High"))</f>
        <v>Medium</v>
      </c>
      <c r="AK206" s="4"/>
      <c r="AL206" s="4"/>
      <c r="AM206" s="4"/>
      <c r="AN206" s="4"/>
      <c r="AO206" s="4"/>
      <c r="AP206" s="4"/>
      <c r="AQ206" s="4"/>
      <c r="AR206" s="4"/>
      <c r="AS206" s="4"/>
      <c r="AU206" s="4"/>
      <c r="AV206" s="4"/>
      <c r="AW206" s="4"/>
      <c r="AX206" s="4"/>
      <c r="AY206" s="4"/>
      <c r="AZ206" s="4"/>
      <c r="BA206" s="4"/>
      <c r="BB206" s="4"/>
      <c r="BC206" s="4"/>
      <c r="BD206" s="4"/>
      <c r="BE206" s="4"/>
    </row>
    <row r="207" spans="2:57" x14ac:dyDescent="0.3">
      <c r="B207" s="6" t="s">
        <v>230</v>
      </c>
      <c r="C207" s="6">
        <v>29</v>
      </c>
      <c r="D207" s="6" t="s">
        <v>12</v>
      </c>
      <c r="E207" s="6" t="s">
        <v>10</v>
      </c>
      <c r="F207" s="6" t="s">
        <v>13</v>
      </c>
      <c r="G207" s="19">
        <v>7639</v>
      </c>
      <c r="H207" s="11">
        <v>10</v>
      </c>
      <c r="I207" s="6">
        <v>4</v>
      </c>
      <c r="J207" s="6" t="s">
        <v>14</v>
      </c>
      <c r="K207" s="5" t="s">
        <v>9</v>
      </c>
      <c r="L207" s="3" t="str">
        <f>IF(Table1[[#This Row],[Monthly Income]]&lt;3000,"Low",IF(Table1[[#This Row],[Monthly Income]]&lt;7000,"Medium","High"))</f>
        <v>High</v>
      </c>
      <c r="AK207" s="6"/>
      <c r="AL207" s="6"/>
      <c r="AM207" s="6"/>
      <c r="AN207" s="6"/>
      <c r="AO207" s="6"/>
      <c r="AP207" s="6"/>
      <c r="AQ207" s="6"/>
      <c r="AR207" s="6"/>
      <c r="AS207" s="6"/>
      <c r="AU207" s="6"/>
      <c r="AV207" s="6"/>
      <c r="AW207" s="6"/>
      <c r="AX207" s="6"/>
      <c r="AY207" s="6"/>
      <c r="AZ207" s="6"/>
      <c r="BA207" s="6"/>
      <c r="BB207" s="6"/>
      <c r="BC207" s="6"/>
      <c r="BD207" s="6"/>
      <c r="BE207" s="6"/>
    </row>
    <row r="208" spans="2:57" x14ac:dyDescent="0.3">
      <c r="B208" s="4" t="s">
        <v>231</v>
      </c>
      <c r="C208" s="4">
        <v>22</v>
      </c>
      <c r="D208" s="4" t="s">
        <v>17</v>
      </c>
      <c r="E208" s="4" t="s">
        <v>15</v>
      </c>
      <c r="F208" s="4" t="s">
        <v>18</v>
      </c>
      <c r="G208" s="18">
        <v>2328</v>
      </c>
      <c r="H208" s="10">
        <v>4</v>
      </c>
      <c r="I208" s="4">
        <v>2</v>
      </c>
      <c r="J208" s="4" t="s">
        <v>9</v>
      </c>
      <c r="K208" s="3" t="s">
        <v>14</v>
      </c>
      <c r="L208" s="3" t="str">
        <f>IF(Table1[[#This Row],[Monthly Income]]&lt;3000,"Low",IF(Table1[[#This Row],[Monthly Income]]&lt;7000,"Medium","High"))</f>
        <v>Low</v>
      </c>
      <c r="AK208" s="4"/>
      <c r="AL208" s="4"/>
      <c r="AM208" s="4"/>
      <c r="AN208" s="4"/>
      <c r="AO208" s="4"/>
      <c r="AP208" s="4"/>
      <c r="AQ208" s="4"/>
      <c r="AR208" s="4"/>
      <c r="AS208" s="4"/>
      <c r="AU208" s="4"/>
      <c r="AV208" s="4"/>
      <c r="AW208" s="4"/>
      <c r="AX208" s="4"/>
      <c r="AY208" s="4"/>
      <c r="AZ208" s="4"/>
      <c r="BA208" s="4"/>
      <c r="BB208" s="4"/>
      <c r="BC208" s="4"/>
      <c r="BD208" s="4"/>
      <c r="BE208" s="4"/>
    </row>
    <row r="209" spans="2:57" x14ac:dyDescent="0.3">
      <c r="B209" s="6" t="s">
        <v>232</v>
      </c>
      <c r="C209" s="6">
        <v>36</v>
      </c>
      <c r="D209" s="6" t="s">
        <v>12</v>
      </c>
      <c r="E209" s="6" t="s">
        <v>15</v>
      </c>
      <c r="F209" s="6" t="s">
        <v>20</v>
      </c>
      <c r="G209" s="19">
        <v>2153</v>
      </c>
      <c r="H209" s="11">
        <v>8</v>
      </c>
      <c r="I209" s="6">
        <v>4</v>
      </c>
      <c r="J209" s="6" t="s">
        <v>14</v>
      </c>
      <c r="K209" s="5" t="s">
        <v>14</v>
      </c>
      <c r="L209" s="3" t="str">
        <f>IF(Table1[[#This Row],[Monthly Income]]&lt;3000,"Low",IF(Table1[[#This Row],[Monthly Income]]&lt;7000,"Medium","High"))</f>
        <v>Low</v>
      </c>
      <c r="AK209" s="6"/>
      <c r="AL209" s="6"/>
      <c r="AM209" s="6"/>
      <c r="AN209" s="6"/>
      <c r="AO209" s="6"/>
      <c r="AP209" s="6"/>
      <c r="AQ209" s="6"/>
      <c r="AR209" s="6"/>
      <c r="AS209" s="6"/>
      <c r="AU209" s="6"/>
      <c r="AV209" s="6"/>
      <c r="AW209" s="6"/>
      <c r="AX209" s="6"/>
      <c r="AY209" s="6"/>
      <c r="AZ209" s="6"/>
      <c r="BA209" s="6"/>
      <c r="BB209" s="6"/>
      <c r="BC209" s="6"/>
      <c r="BD209" s="6"/>
      <c r="BE209" s="6"/>
    </row>
    <row r="210" spans="2:57" x14ac:dyDescent="0.3">
      <c r="B210" s="4" t="s">
        <v>233</v>
      </c>
      <c r="C210" s="4">
        <v>40</v>
      </c>
      <c r="D210" s="4" t="s">
        <v>17</v>
      </c>
      <c r="E210" s="4" t="s">
        <v>15</v>
      </c>
      <c r="F210" s="4" t="s">
        <v>29</v>
      </c>
      <c r="G210" s="18">
        <v>4876</v>
      </c>
      <c r="H210" s="10">
        <v>3</v>
      </c>
      <c r="I210" s="4">
        <v>4</v>
      </c>
      <c r="J210" s="4" t="s">
        <v>14</v>
      </c>
      <c r="K210" s="3" t="s">
        <v>14</v>
      </c>
      <c r="L210" s="3" t="str">
        <f>IF(Table1[[#This Row],[Monthly Income]]&lt;3000,"Low",IF(Table1[[#This Row],[Monthly Income]]&lt;7000,"Medium","High"))</f>
        <v>Medium</v>
      </c>
      <c r="AK210" s="4"/>
      <c r="AL210" s="4"/>
      <c r="AM210" s="4"/>
      <c r="AN210" s="4"/>
      <c r="AO210" s="4"/>
      <c r="AP210" s="4"/>
      <c r="AQ210" s="4"/>
      <c r="AR210" s="4"/>
      <c r="AS210" s="4"/>
      <c r="AU210" s="4"/>
      <c r="AV210" s="4"/>
      <c r="AW210" s="4"/>
      <c r="AX210" s="4"/>
      <c r="AY210" s="4"/>
      <c r="AZ210" s="4"/>
      <c r="BA210" s="4"/>
      <c r="BB210" s="4"/>
      <c r="BC210" s="4"/>
      <c r="BD210" s="4"/>
      <c r="BE210" s="4"/>
    </row>
    <row r="211" spans="2:57" x14ac:dyDescent="0.3">
      <c r="B211" s="6" t="s">
        <v>234</v>
      </c>
      <c r="C211" s="6">
        <v>46</v>
      </c>
      <c r="D211" s="6" t="s">
        <v>17</v>
      </c>
      <c r="E211" s="6" t="s">
        <v>15</v>
      </c>
      <c r="F211" s="6" t="s">
        <v>29</v>
      </c>
      <c r="G211" s="19">
        <v>9396</v>
      </c>
      <c r="H211" s="11">
        <v>4</v>
      </c>
      <c r="I211" s="6">
        <v>1</v>
      </c>
      <c r="J211" s="6" t="s">
        <v>14</v>
      </c>
      <c r="K211" s="5" t="s">
        <v>14</v>
      </c>
      <c r="L211" s="3" t="str">
        <f>IF(Table1[[#This Row],[Monthly Income]]&lt;3000,"Low",IF(Table1[[#This Row],[Monthly Income]]&lt;7000,"Medium","High"))</f>
        <v>High</v>
      </c>
      <c r="AK211" s="6"/>
      <c r="AL211" s="6"/>
      <c r="AM211" s="6"/>
      <c r="AN211" s="6"/>
      <c r="AO211" s="6"/>
      <c r="AP211" s="6"/>
      <c r="AQ211" s="6"/>
      <c r="AR211" s="6"/>
      <c r="AS211" s="6"/>
      <c r="AU211" s="6"/>
      <c r="AV211" s="6"/>
      <c r="AW211" s="6"/>
      <c r="AX211" s="6"/>
      <c r="AY211" s="6"/>
      <c r="AZ211" s="6"/>
      <c r="BA211" s="6"/>
      <c r="BB211" s="6"/>
      <c r="BC211" s="6"/>
      <c r="BD211" s="6"/>
      <c r="BE211" s="6"/>
    </row>
    <row r="212" spans="2:57" x14ac:dyDescent="0.3">
      <c r="B212" s="4" t="s">
        <v>235</v>
      </c>
      <c r="C212" s="4">
        <v>32</v>
      </c>
      <c r="D212" s="4" t="s">
        <v>17</v>
      </c>
      <c r="E212" s="4" t="s">
        <v>10</v>
      </c>
      <c r="F212" s="4" t="s">
        <v>13</v>
      </c>
      <c r="G212" s="18">
        <v>10400</v>
      </c>
      <c r="H212" s="10">
        <v>14</v>
      </c>
      <c r="I212" s="4">
        <v>4</v>
      </c>
      <c r="J212" s="4" t="s">
        <v>14</v>
      </c>
      <c r="K212" s="3" t="s">
        <v>9</v>
      </c>
      <c r="L212" s="3" t="str">
        <f>IF(Table1[[#This Row],[Monthly Income]]&lt;3000,"Low",IF(Table1[[#This Row],[Monthly Income]]&lt;7000,"Medium","High"))</f>
        <v>High</v>
      </c>
      <c r="AK212" s="4"/>
      <c r="AL212" s="4"/>
      <c r="AM212" s="4"/>
      <c r="AN212" s="4"/>
      <c r="AO212" s="4"/>
      <c r="AP212" s="4"/>
      <c r="AQ212" s="4"/>
      <c r="AR212" s="4"/>
      <c r="AS212" s="4"/>
      <c r="AU212" s="4"/>
      <c r="AV212" s="4"/>
      <c r="AW212" s="4"/>
      <c r="AX212" s="4"/>
      <c r="AY212" s="4"/>
      <c r="AZ212" s="4"/>
      <c r="BA212" s="4"/>
      <c r="BB212" s="4"/>
      <c r="BC212" s="4"/>
      <c r="BD212" s="4"/>
      <c r="BE212" s="4"/>
    </row>
    <row r="213" spans="2:57" x14ac:dyDescent="0.3">
      <c r="B213" s="6" t="s">
        <v>236</v>
      </c>
      <c r="C213" s="6">
        <v>30</v>
      </c>
      <c r="D213" s="6" t="s">
        <v>17</v>
      </c>
      <c r="E213" s="6" t="s">
        <v>15</v>
      </c>
      <c r="F213" s="6" t="s">
        <v>27</v>
      </c>
      <c r="G213" s="19">
        <v>8474</v>
      </c>
      <c r="H213" s="11">
        <v>11</v>
      </c>
      <c r="I213" s="6">
        <v>3</v>
      </c>
      <c r="J213" s="6" t="s">
        <v>14</v>
      </c>
      <c r="K213" s="5" t="s">
        <v>14</v>
      </c>
      <c r="L213" s="3" t="str">
        <f>IF(Table1[[#This Row],[Monthly Income]]&lt;3000,"Low",IF(Table1[[#This Row],[Monthly Income]]&lt;7000,"Medium","High"))</f>
        <v>High</v>
      </c>
      <c r="AK213" s="6"/>
      <c r="AL213" s="6"/>
      <c r="AM213" s="6"/>
      <c r="AN213" s="6"/>
      <c r="AO213" s="6"/>
      <c r="AP213" s="6"/>
      <c r="AQ213" s="6"/>
      <c r="AR213" s="6"/>
      <c r="AS213" s="6"/>
      <c r="AU213" s="6"/>
      <c r="AV213" s="6"/>
      <c r="AW213" s="6"/>
      <c r="AX213" s="6"/>
      <c r="AY213" s="6"/>
      <c r="AZ213" s="6"/>
      <c r="BA213" s="6"/>
      <c r="BB213" s="6"/>
      <c r="BC213" s="6"/>
      <c r="BD213" s="6"/>
      <c r="BE213" s="6"/>
    </row>
    <row r="214" spans="2:57" x14ac:dyDescent="0.3">
      <c r="B214" s="4" t="s">
        <v>237</v>
      </c>
      <c r="C214" s="4">
        <v>27</v>
      </c>
      <c r="D214" s="4" t="s">
        <v>12</v>
      </c>
      <c r="E214" s="4" t="s">
        <v>10</v>
      </c>
      <c r="F214" s="4" t="s">
        <v>13</v>
      </c>
      <c r="G214" s="18">
        <v>9981</v>
      </c>
      <c r="H214" s="10">
        <v>7</v>
      </c>
      <c r="I214" s="4">
        <v>3</v>
      </c>
      <c r="J214" s="4" t="s">
        <v>14</v>
      </c>
      <c r="K214" s="3" t="s">
        <v>14</v>
      </c>
      <c r="L214" s="3" t="str">
        <f>IF(Table1[[#This Row],[Monthly Income]]&lt;3000,"Low",IF(Table1[[#This Row],[Monthly Income]]&lt;7000,"Medium","High"))</f>
        <v>High</v>
      </c>
      <c r="AK214" s="4"/>
      <c r="AL214" s="4"/>
      <c r="AM214" s="4"/>
      <c r="AN214" s="4"/>
      <c r="AO214" s="4"/>
      <c r="AP214" s="4"/>
      <c r="AQ214" s="4"/>
      <c r="AR214" s="4"/>
      <c r="AS214" s="4"/>
      <c r="AU214" s="4"/>
      <c r="AV214" s="4"/>
      <c r="AW214" s="4"/>
      <c r="AX214" s="4"/>
      <c r="AY214" s="4"/>
      <c r="AZ214" s="4"/>
      <c r="BA214" s="4"/>
      <c r="BB214" s="4"/>
      <c r="BC214" s="4"/>
      <c r="BD214" s="4"/>
      <c r="BE214" s="4"/>
    </row>
    <row r="215" spans="2:57" x14ac:dyDescent="0.3">
      <c r="B215" s="6" t="s">
        <v>238</v>
      </c>
      <c r="C215" s="6">
        <v>51</v>
      </c>
      <c r="D215" s="6" t="s">
        <v>17</v>
      </c>
      <c r="E215" s="6" t="s">
        <v>15</v>
      </c>
      <c r="F215" s="6" t="s">
        <v>45</v>
      </c>
      <c r="G215" s="19">
        <v>12490</v>
      </c>
      <c r="H215" s="11">
        <v>10</v>
      </c>
      <c r="I215" s="6">
        <v>2</v>
      </c>
      <c r="J215" s="6" t="s">
        <v>14</v>
      </c>
      <c r="K215" s="5" t="s">
        <v>14</v>
      </c>
      <c r="L215" s="3" t="str">
        <f>IF(Table1[[#This Row],[Monthly Income]]&lt;3000,"Low",IF(Table1[[#This Row],[Monthly Income]]&lt;7000,"Medium","High"))</f>
        <v>High</v>
      </c>
      <c r="AK215" s="6"/>
      <c r="AL215" s="6"/>
      <c r="AM215" s="6"/>
      <c r="AN215" s="6"/>
      <c r="AO215" s="6"/>
      <c r="AP215" s="6"/>
      <c r="AQ215" s="6"/>
      <c r="AR215" s="6"/>
      <c r="AS215" s="6"/>
      <c r="AU215" s="6"/>
      <c r="AV215" s="6"/>
      <c r="AW215" s="6"/>
      <c r="AX215" s="6"/>
      <c r="AY215" s="6"/>
      <c r="AZ215" s="6"/>
      <c r="BA215" s="6"/>
      <c r="BB215" s="6"/>
      <c r="BC215" s="6"/>
      <c r="BD215" s="6"/>
      <c r="BE215" s="6"/>
    </row>
    <row r="216" spans="2:57" x14ac:dyDescent="0.3">
      <c r="B216" s="4" t="s">
        <v>239</v>
      </c>
      <c r="C216" s="4">
        <v>30</v>
      </c>
      <c r="D216" s="4" t="s">
        <v>12</v>
      </c>
      <c r="E216" s="4" t="s">
        <v>15</v>
      </c>
      <c r="F216" s="4" t="s">
        <v>18</v>
      </c>
      <c r="G216" s="18">
        <v>2657</v>
      </c>
      <c r="H216" s="10">
        <v>5</v>
      </c>
      <c r="I216" s="4">
        <v>1</v>
      </c>
      <c r="J216" s="4" t="s">
        <v>9</v>
      </c>
      <c r="K216" s="3" t="s">
        <v>9</v>
      </c>
      <c r="L216" s="3" t="str">
        <f>IF(Table1[[#This Row],[Monthly Income]]&lt;3000,"Low",IF(Table1[[#This Row],[Monthly Income]]&lt;7000,"Medium","High"))</f>
        <v>Low</v>
      </c>
      <c r="AK216" s="4"/>
      <c r="AL216" s="4"/>
      <c r="AM216" s="4"/>
      <c r="AN216" s="4"/>
      <c r="AO216" s="4"/>
      <c r="AP216" s="4"/>
      <c r="AQ216" s="4"/>
      <c r="AR216" s="4"/>
      <c r="AS216" s="4"/>
      <c r="AU216" s="4"/>
      <c r="AV216" s="4"/>
      <c r="AW216" s="4"/>
      <c r="AX216" s="4"/>
      <c r="AY216" s="4"/>
      <c r="AZ216" s="4"/>
      <c r="BA216" s="4"/>
      <c r="BB216" s="4"/>
      <c r="BC216" s="4"/>
      <c r="BD216" s="4"/>
      <c r="BE216" s="4"/>
    </row>
    <row r="217" spans="2:57" x14ac:dyDescent="0.3">
      <c r="B217" s="6" t="s">
        <v>240</v>
      </c>
      <c r="C217" s="6">
        <v>41</v>
      </c>
      <c r="D217" s="6" t="s">
        <v>12</v>
      </c>
      <c r="E217" s="6" t="s">
        <v>10</v>
      </c>
      <c r="F217" s="6" t="s">
        <v>39</v>
      </c>
      <c r="G217" s="19">
        <v>13591</v>
      </c>
      <c r="H217" s="11">
        <v>1</v>
      </c>
      <c r="I217" s="6">
        <v>4</v>
      </c>
      <c r="J217" s="6" t="s">
        <v>9</v>
      </c>
      <c r="K217" s="5" t="s">
        <v>14</v>
      </c>
      <c r="L217" s="3" t="str">
        <f>IF(Table1[[#This Row],[Monthly Income]]&lt;3000,"Low",IF(Table1[[#This Row],[Monthly Income]]&lt;7000,"Medium","High"))</f>
        <v>High</v>
      </c>
      <c r="AK217" s="6"/>
      <c r="AL217" s="6"/>
      <c r="AM217" s="6"/>
      <c r="AN217" s="6"/>
      <c r="AO217" s="6"/>
      <c r="AP217" s="6"/>
      <c r="AQ217" s="6"/>
      <c r="AR217" s="6"/>
      <c r="AS217" s="6"/>
      <c r="AU217" s="6"/>
      <c r="AV217" s="6"/>
      <c r="AW217" s="6"/>
      <c r="AX217" s="6"/>
      <c r="AY217" s="6"/>
      <c r="AZ217" s="6"/>
      <c r="BA217" s="6"/>
      <c r="BB217" s="6"/>
      <c r="BC217" s="6"/>
      <c r="BD217" s="6"/>
      <c r="BE217" s="6"/>
    </row>
    <row r="218" spans="2:57" x14ac:dyDescent="0.3">
      <c r="B218" s="4" t="s">
        <v>241</v>
      </c>
      <c r="C218" s="4">
        <v>30</v>
      </c>
      <c r="D218" s="4" t="s">
        <v>12</v>
      </c>
      <c r="E218" s="4" t="s">
        <v>10</v>
      </c>
      <c r="F218" s="4" t="s">
        <v>13</v>
      </c>
      <c r="G218" s="18">
        <v>6696</v>
      </c>
      <c r="H218" s="10">
        <v>6</v>
      </c>
      <c r="I218" s="4">
        <v>1</v>
      </c>
      <c r="J218" s="4" t="s">
        <v>14</v>
      </c>
      <c r="K218" s="3" t="s">
        <v>9</v>
      </c>
      <c r="L218" s="3" t="str">
        <f>IF(Table1[[#This Row],[Monthly Income]]&lt;3000,"Low",IF(Table1[[#This Row],[Monthly Income]]&lt;7000,"Medium","High"))</f>
        <v>Medium</v>
      </c>
      <c r="AK218" s="4"/>
      <c r="AL218" s="4"/>
      <c r="AM218" s="4"/>
      <c r="AN218" s="4"/>
      <c r="AO218" s="4"/>
      <c r="AP218" s="4"/>
      <c r="AQ218" s="4"/>
      <c r="AR218" s="4"/>
      <c r="AS218" s="4"/>
      <c r="AU218" s="4"/>
      <c r="AV218" s="4"/>
      <c r="AW218" s="4"/>
      <c r="AX218" s="4"/>
      <c r="AY218" s="4"/>
      <c r="AZ218" s="4"/>
      <c r="BA218" s="4"/>
      <c r="BB218" s="4"/>
      <c r="BC218" s="4"/>
      <c r="BD218" s="4"/>
      <c r="BE218" s="4"/>
    </row>
    <row r="219" spans="2:57" x14ac:dyDescent="0.3">
      <c r="B219" s="6" t="s">
        <v>242</v>
      </c>
      <c r="C219" s="6">
        <v>29</v>
      </c>
      <c r="D219" s="6" t="s">
        <v>17</v>
      </c>
      <c r="E219" s="6" t="s">
        <v>15</v>
      </c>
      <c r="F219" s="6" t="s">
        <v>18</v>
      </c>
      <c r="G219" s="19">
        <v>2058</v>
      </c>
      <c r="H219" s="11">
        <v>6</v>
      </c>
      <c r="I219" s="6">
        <v>3</v>
      </c>
      <c r="J219" s="6" t="s">
        <v>14</v>
      </c>
      <c r="K219" s="5" t="s">
        <v>9</v>
      </c>
      <c r="L219" s="3" t="str">
        <f>IF(Table1[[#This Row],[Monthly Income]]&lt;3000,"Low",IF(Table1[[#This Row],[Monthly Income]]&lt;7000,"Medium","High"))</f>
        <v>Low</v>
      </c>
      <c r="AK219" s="6"/>
      <c r="AL219" s="6"/>
      <c r="AM219" s="6"/>
      <c r="AN219" s="6"/>
      <c r="AO219" s="6"/>
      <c r="AP219" s="6"/>
      <c r="AQ219" s="6"/>
      <c r="AR219" s="6"/>
      <c r="AS219" s="6"/>
      <c r="AU219" s="6"/>
      <c r="AV219" s="6"/>
      <c r="AW219" s="6"/>
      <c r="AX219" s="6"/>
      <c r="AY219" s="6"/>
      <c r="AZ219" s="6"/>
      <c r="BA219" s="6"/>
      <c r="BB219" s="6"/>
      <c r="BC219" s="6"/>
      <c r="BD219" s="6"/>
      <c r="BE219" s="6"/>
    </row>
    <row r="220" spans="2:57" x14ac:dyDescent="0.3">
      <c r="B220" s="4" t="s">
        <v>243</v>
      </c>
      <c r="C220" s="4">
        <v>45</v>
      </c>
      <c r="D220" s="4" t="s">
        <v>12</v>
      </c>
      <c r="E220" s="4" t="s">
        <v>10</v>
      </c>
      <c r="F220" s="4" t="s">
        <v>13</v>
      </c>
      <c r="G220" s="18">
        <v>8865</v>
      </c>
      <c r="H220" s="10">
        <v>19</v>
      </c>
      <c r="I220" s="4">
        <v>4</v>
      </c>
      <c r="J220" s="4" t="s">
        <v>14</v>
      </c>
      <c r="K220" s="3" t="s">
        <v>14</v>
      </c>
      <c r="L220" s="3" t="str">
        <f>IF(Table1[[#This Row],[Monthly Income]]&lt;3000,"Low",IF(Table1[[#This Row],[Monthly Income]]&lt;7000,"Medium","High"))</f>
        <v>High</v>
      </c>
      <c r="AK220" s="4"/>
      <c r="AL220" s="4"/>
      <c r="AM220" s="4"/>
      <c r="AN220" s="4"/>
      <c r="AO220" s="4"/>
      <c r="AP220" s="4"/>
      <c r="AQ220" s="4"/>
      <c r="AR220" s="4"/>
      <c r="AS220" s="4"/>
      <c r="AU220" s="4"/>
      <c r="AV220" s="4"/>
      <c r="AW220" s="4"/>
      <c r="AX220" s="4"/>
      <c r="AY220" s="4"/>
      <c r="AZ220" s="4"/>
      <c r="BA220" s="4"/>
      <c r="BB220" s="4"/>
      <c r="BC220" s="4"/>
      <c r="BD220" s="4"/>
      <c r="BE220" s="4"/>
    </row>
    <row r="221" spans="2:57" x14ac:dyDescent="0.3">
      <c r="B221" s="6" t="s">
        <v>244</v>
      </c>
      <c r="C221" s="6">
        <v>54</v>
      </c>
      <c r="D221" s="6" t="s">
        <v>12</v>
      </c>
      <c r="E221" s="6" t="s">
        <v>10</v>
      </c>
      <c r="F221" s="6" t="s">
        <v>13</v>
      </c>
      <c r="G221" s="19">
        <v>5940</v>
      </c>
      <c r="H221" s="11">
        <v>6</v>
      </c>
      <c r="I221" s="6">
        <v>1</v>
      </c>
      <c r="J221" s="6" t="s">
        <v>14</v>
      </c>
      <c r="K221" s="5" t="s">
        <v>14</v>
      </c>
      <c r="L221" s="3" t="str">
        <f>IF(Table1[[#This Row],[Monthly Income]]&lt;3000,"Low",IF(Table1[[#This Row],[Monthly Income]]&lt;7000,"Medium","High"))</f>
        <v>Medium</v>
      </c>
      <c r="AK221" s="6"/>
      <c r="AL221" s="6"/>
      <c r="AM221" s="6"/>
      <c r="AN221" s="6"/>
      <c r="AO221" s="6"/>
      <c r="AP221" s="6"/>
      <c r="AQ221" s="6"/>
      <c r="AR221" s="6"/>
      <c r="AS221" s="6"/>
      <c r="AU221" s="6"/>
      <c r="AV221" s="6"/>
      <c r="AW221" s="6"/>
      <c r="AX221" s="6"/>
      <c r="AY221" s="6"/>
      <c r="AZ221" s="6"/>
      <c r="BA221" s="6"/>
      <c r="BB221" s="6"/>
      <c r="BC221" s="6"/>
      <c r="BD221" s="6"/>
      <c r="BE221" s="6"/>
    </row>
    <row r="222" spans="2:57" x14ac:dyDescent="0.3">
      <c r="B222" s="4" t="s">
        <v>245</v>
      </c>
      <c r="C222" s="4">
        <v>36</v>
      </c>
      <c r="D222" s="4" t="s">
        <v>17</v>
      </c>
      <c r="E222" s="4" t="s">
        <v>15</v>
      </c>
      <c r="F222" s="4" t="s">
        <v>20</v>
      </c>
      <c r="G222" s="18">
        <v>5914</v>
      </c>
      <c r="H222" s="10">
        <v>13</v>
      </c>
      <c r="I222" s="4">
        <v>2</v>
      </c>
      <c r="J222" s="4" t="s">
        <v>14</v>
      </c>
      <c r="K222" s="3" t="s">
        <v>14</v>
      </c>
      <c r="L222" s="3" t="str">
        <f>IF(Table1[[#This Row],[Monthly Income]]&lt;3000,"Low",IF(Table1[[#This Row],[Monthly Income]]&lt;7000,"Medium","High"))</f>
        <v>Medium</v>
      </c>
      <c r="AK222" s="4"/>
      <c r="AL222" s="4"/>
      <c r="AM222" s="4"/>
      <c r="AN222" s="4"/>
      <c r="AO222" s="4"/>
      <c r="AP222" s="4"/>
      <c r="AQ222" s="4"/>
      <c r="AR222" s="4"/>
      <c r="AS222" s="4"/>
      <c r="AU222" s="4"/>
      <c r="AV222" s="4"/>
      <c r="AW222" s="4"/>
      <c r="AX222" s="4"/>
      <c r="AY222" s="4"/>
      <c r="AZ222" s="4"/>
      <c r="BA222" s="4"/>
      <c r="BB222" s="4"/>
      <c r="BC222" s="4"/>
      <c r="BD222" s="4"/>
      <c r="BE222" s="4"/>
    </row>
    <row r="223" spans="2:57" x14ac:dyDescent="0.3">
      <c r="B223" s="6" t="s">
        <v>246</v>
      </c>
      <c r="C223" s="6">
        <v>33</v>
      </c>
      <c r="D223" s="6" t="s">
        <v>12</v>
      </c>
      <c r="E223" s="6" t="s">
        <v>15</v>
      </c>
      <c r="F223" s="6" t="s">
        <v>18</v>
      </c>
      <c r="G223" s="19">
        <v>2622</v>
      </c>
      <c r="H223" s="11">
        <v>3</v>
      </c>
      <c r="I223" s="6">
        <v>2</v>
      </c>
      <c r="J223" s="6" t="s">
        <v>14</v>
      </c>
      <c r="K223" s="5" t="s">
        <v>14</v>
      </c>
      <c r="L223" s="3" t="str">
        <f>IF(Table1[[#This Row],[Monthly Income]]&lt;3000,"Low",IF(Table1[[#This Row],[Monthly Income]]&lt;7000,"Medium","High"))</f>
        <v>Low</v>
      </c>
      <c r="AK223" s="6"/>
      <c r="AL223" s="6"/>
      <c r="AM223" s="6"/>
      <c r="AN223" s="6"/>
      <c r="AO223" s="6"/>
      <c r="AP223" s="6"/>
      <c r="AQ223" s="6"/>
      <c r="AR223" s="6"/>
      <c r="AS223" s="6"/>
      <c r="AU223" s="6"/>
      <c r="AV223" s="6"/>
      <c r="AW223" s="6"/>
      <c r="AX223" s="6"/>
      <c r="AY223" s="6"/>
      <c r="AZ223" s="6"/>
      <c r="BA223" s="6"/>
      <c r="BB223" s="6"/>
      <c r="BC223" s="6"/>
      <c r="BD223" s="6"/>
      <c r="BE223" s="6"/>
    </row>
    <row r="224" spans="2:57" x14ac:dyDescent="0.3">
      <c r="B224" s="4" t="s">
        <v>247</v>
      </c>
      <c r="C224" s="4">
        <v>37</v>
      </c>
      <c r="D224" s="4" t="s">
        <v>17</v>
      </c>
      <c r="E224" s="4" t="s">
        <v>15</v>
      </c>
      <c r="F224" s="4" t="s">
        <v>45</v>
      </c>
      <c r="G224" s="18">
        <v>12185</v>
      </c>
      <c r="H224" s="10">
        <v>10</v>
      </c>
      <c r="I224" s="4">
        <v>4</v>
      </c>
      <c r="J224" s="4" t="s">
        <v>9</v>
      </c>
      <c r="K224" s="3" t="s">
        <v>14</v>
      </c>
      <c r="L224" s="3" t="str">
        <f>IF(Table1[[#This Row],[Monthly Income]]&lt;3000,"Low",IF(Table1[[#This Row],[Monthly Income]]&lt;7000,"Medium","High"))</f>
        <v>High</v>
      </c>
      <c r="AK224" s="4"/>
      <c r="AL224" s="4"/>
      <c r="AM224" s="4"/>
      <c r="AN224" s="4"/>
      <c r="AO224" s="4"/>
      <c r="AP224" s="4"/>
      <c r="AQ224" s="4"/>
      <c r="AR224" s="4"/>
      <c r="AS224" s="4"/>
      <c r="AU224" s="4"/>
      <c r="AV224" s="4"/>
      <c r="AW224" s="4"/>
      <c r="AX224" s="4"/>
      <c r="AY224" s="4"/>
      <c r="AZ224" s="4"/>
      <c r="BA224" s="4"/>
      <c r="BB224" s="4"/>
      <c r="BC224" s="4"/>
      <c r="BD224" s="4"/>
      <c r="BE224" s="4"/>
    </row>
    <row r="225" spans="2:57" x14ac:dyDescent="0.3">
      <c r="B225" s="6" t="s">
        <v>248</v>
      </c>
      <c r="C225" s="6">
        <v>38</v>
      </c>
      <c r="D225" s="6" t="s">
        <v>17</v>
      </c>
      <c r="E225" s="6" t="s">
        <v>10</v>
      </c>
      <c r="F225" s="6" t="s">
        <v>13</v>
      </c>
      <c r="G225" s="19">
        <v>10609</v>
      </c>
      <c r="H225" s="11">
        <v>16</v>
      </c>
      <c r="I225" s="6">
        <v>3</v>
      </c>
      <c r="J225" s="6" t="s">
        <v>14</v>
      </c>
      <c r="K225" s="5" t="s">
        <v>14</v>
      </c>
      <c r="L225" s="3" t="str">
        <f>IF(Table1[[#This Row],[Monthly Income]]&lt;3000,"Low",IF(Table1[[#This Row],[Monthly Income]]&lt;7000,"Medium","High"))</f>
        <v>High</v>
      </c>
      <c r="AK225" s="6"/>
      <c r="AL225" s="6"/>
      <c r="AM225" s="6"/>
      <c r="AN225" s="6"/>
      <c r="AO225" s="6"/>
      <c r="AP225" s="6"/>
      <c r="AQ225" s="6"/>
      <c r="AR225" s="6"/>
      <c r="AS225" s="6"/>
      <c r="AU225" s="6"/>
      <c r="AV225" s="6"/>
      <c r="AW225" s="6"/>
      <c r="AX225" s="6"/>
      <c r="AY225" s="6"/>
      <c r="AZ225" s="6"/>
      <c r="BA225" s="6"/>
      <c r="BB225" s="6"/>
      <c r="BC225" s="6"/>
      <c r="BD225" s="6"/>
      <c r="BE225" s="6"/>
    </row>
    <row r="226" spans="2:57" x14ac:dyDescent="0.3">
      <c r="B226" s="4" t="s">
        <v>249</v>
      </c>
      <c r="C226" s="4">
        <v>31</v>
      </c>
      <c r="D226" s="4" t="s">
        <v>17</v>
      </c>
      <c r="E226" s="4" t="s">
        <v>15</v>
      </c>
      <c r="F226" s="4" t="s">
        <v>27</v>
      </c>
      <c r="G226" s="18">
        <v>4345</v>
      </c>
      <c r="H226" s="10">
        <v>5</v>
      </c>
      <c r="I226" s="4">
        <v>3</v>
      </c>
      <c r="J226" s="4" t="s">
        <v>14</v>
      </c>
      <c r="K226" s="3" t="s">
        <v>14</v>
      </c>
      <c r="L226" s="3" t="str">
        <f>IF(Table1[[#This Row],[Monthly Income]]&lt;3000,"Low",IF(Table1[[#This Row],[Monthly Income]]&lt;7000,"Medium","High"))</f>
        <v>Medium</v>
      </c>
      <c r="AK226" s="4"/>
      <c r="AL226" s="4"/>
      <c r="AM226" s="4"/>
      <c r="AN226" s="4"/>
      <c r="AO226" s="4"/>
      <c r="AP226" s="4"/>
      <c r="AQ226" s="4"/>
      <c r="AR226" s="4"/>
      <c r="AS226" s="4"/>
      <c r="AU226" s="4"/>
      <c r="AV226" s="4"/>
      <c r="AW226" s="4"/>
      <c r="AX226" s="4"/>
      <c r="AY226" s="4"/>
      <c r="AZ226" s="4"/>
      <c r="BA226" s="4"/>
      <c r="BB226" s="4"/>
      <c r="BC226" s="4"/>
      <c r="BD226" s="4"/>
      <c r="BE226" s="4"/>
    </row>
    <row r="227" spans="2:57" x14ac:dyDescent="0.3">
      <c r="B227" s="6" t="s">
        <v>250</v>
      </c>
      <c r="C227" s="6">
        <v>59</v>
      </c>
      <c r="D227" s="6" t="s">
        <v>17</v>
      </c>
      <c r="E227" s="6" t="s">
        <v>15</v>
      </c>
      <c r="F227" s="6" t="s">
        <v>18</v>
      </c>
      <c r="G227" s="19">
        <v>2177</v>
      </c>
      <c r="H227" s="11">
        <v>1</v>
      </c>
      <c r="I227" s="6">
        <v>4</v>
      </c>
      <c r="J227" s="6" t="s">
        <v>14</v>
      </c>
      <c r="K227" s="5" t="s">
        <v>14</v>
      </c>
      <c r="L227" s="3" t="str">
        <f>IF(Table1[[#This Row],[Monthly Income]]&lt;3000,"Low",IF(Table1[[#This Row],[Monthly Income]]&lt;7000,"Medium","High"))</f>
        <v>Low</v>
      </c>
      <c r="AK227" s="6"/>
      <c r="AL227" s="6"/>
      <c r="AM227" s="6"/>
      <c r="AN227" s="6"/>
      <c r="AO227" s="6"/>
      <c r="AP227" s="6"/>
      <c r="AQ227" s="6"/>
      <c r="AR227" s="6"/>
      <c r="AS227" s="6"/>
      <c r="AU227" s="6"/>
      <c r="AV227" s="6"/>
      <c r="AW227" s="6"/>
      <c r="AX227" s="6"/>
      <c r="AY227" s="6"/>
      <c r="AZ227" s="6"/>
      <c r="BA227" s="6"/>
      <c r="BB227" s="6"/>
      <c r="BC227" s="6"/>
      <c r="BD227" s="6"/>
      <c r="BE227" s="6"/>
    </row>
    <row r="228" spans="2:57" x14ac:dyDescent="0.3">
      <c r="B228" s="4" t="s">
        <v>251</v>
      </c>
      <c r="C228" s="4">
        <v>37</v>
      </c>
      <c r="D228" s="4" t="s">
        <v>17</v>
      </c>
      <c r="E228" s="4" t="s">
        <v>10</v>
      </c>
      <c r="F228" s="4" t="s">
        <v>43</v>
      </c>
      <c r="G228" s="18">
        <v>2793</v>
      </c>
      <c r="H228" s="10">
        <v>9</v>
      </c>
      <c r="I228" s="4">
        <v>4</v>
      </c>
      <c r="J228" s="4" t="s">
        <v>14</v>
      </c>
      <c r="K228" s="3" t="s">
        <v>14</v>
      </c>
      <c r="L228" s="3" t="str">
        <f>IF(Table1[[#This Row],[Monthly Income]]&lt;3000,"Low",IF(Table1[[#This Row],[Monthly Income]]&lt;7000,"Medium","High"))</f>
        <v>Low</v>
      </c>
      <c r="AK228" s="4"/>
      <c r="AL228" s="4"/>
      <c r="AM228" s="4"/>
      <c r="AN228" s="4"/>
      <c r="AO228" s="4"/>
      <c r="AP228" s="4"/>
      <c r="AQ228" s="4"/>
      <c r="AR228" s="4"/>
      <c r="AS228" s="4"/>
      <c r="AU228" s="4"/>
      <c r="AV228" s="4"/>
      <c r="AW228" s="4"/>
      <c r="AX228" s="4"/>
      <c r="AY228" s="4"/>
      <c r="AZ228" s="4"/>
      <c r="BA228" s="4"/>
      <c r="BB228" s="4"/>
      <c r="BC228" s="4"/>
      <c r="BD228" s="4"/>
      <c r="BE228" s="4"/>
    </row>
    <row r="229" spans="2:57" x14ac:dyDescent="0.3">
      <c r="B229" s="6" t="s">
        <v>252</v>
      </c>
      <c r="C229" s="6">
        <v>29</v>
      </c>
      <c r="D229" s="6" t="s">
        <v>12</v>
      </c>
      <c r="E229" s="6" t="s">
        <v>10</v>
      </c>
      <c r="F229" s="6" t="s">
        <v>13</v>
      </c>
      <c r="G229" s="19">
        <v>7918</v>
      </c>
      <c r="H229" s="11">
        <v>11</v>
      </c>
      <c r="I229" s="6">
        <v>4</v>
      </c>
      <c r="J229" s="6" t="s">
        <v>14</v>
      </c>
      <c r="K229" s="5" t="s">
        <v>14</v>
      </c>
      <c r="L229" s="3" t="str">
        <f>IF(Table1[[#This Row],[Monthly Income]]&lt;3000,"Low",IF(Table1[[#This Row],[Monthly Income]]&lt;7000,"Medium","High"))</f>
        <v>High</v>
      </c>
      <c r="AK229" s="6"/>
      <c r="AL229" s="6"/>
      <c r="AM229" s="6"/>
      <c r="AN229" s="6"/>
      <c r="AO229" s="6"/>
      <c r="AP229" s="6"/>
      <c r="AQ229" s="6"/>
      <c r="AR229" s="6"/>
      <c r="AS229" s="6"/>
      <c r="AU229" s="6"/>
      <c r="AV229" s="6"/>
      <c r="AW229" s="6"/>
      <c r="AX229" s="6"/>
      <c r="AY229" s="6"/>
      <c r="AZ229" s="6"/>
      <c r="BA229" s="6"/>
      <c r="BB229" s="6"/>
      <c r="BC229" s="6"/>
      <c r="BD229" s="6"/>
      <c r="BE229" s="6"/>
    </row>
    <row r="230" spans="2:57" x14ac:dyDescent="0.3">
      <c r="B230" s="4" t="s">
        <v>253</v>
      </c>
      <c r="C230" s="4">
        <v>35</v>
      </c>
      <c r="D230" s="4" t="s">
        <v>12</v>
      </c>
      <c r="E230" s="4" t="s">
        <v>10</v>
      </c>
      <c r="F230" s="4" t="s">
        <v>13</v>
      </c>
      <c r="G230" s="18">
        <v>8789</v>
      </c>
      <c r="H230" s="10">
        <v>10</v>
      </c>
      <c r="I230" s="4">
        <v>3</v>
      </c>
      <c r="J230" s="4" t="s">
        <v>14</v>
      </c>
      <c r="K230" s="3" t="s">
        <v>14</v>
      </c>
      <c r="L230" s="3" t="str">
        <f>IF(Table1[[#This Row],[Monthly Income]]&lt;3000,"Low",IF(Table1[[#This Row],[Monthly Income]]&lt;7000,"Medium","High"))</f>
        <v>High</v>
      </c>
      <c r="AK230" s="4"/>
      <c r="AL230" s="4"/>
      <c r="AM230" s="4"/>
      <c r="AN230" s="4"/>
      <c r="AO230" s="4"/>
      <c r="AP230" s="4"/>
      <c r="AQ230" s="4"/>
      <c r="AR230" s="4"/>
      <c r="AS230" s="4"/>
      <c r="AU230" s="4"/>
      <c r="AV230" s="4"/>
      <c r="AW230" s="4"/>
      <c r="AX230" s="4"/>
      <c r="AY230" s="4"/>
      <c r="AZ230" s="4"/>
      <c r="BA230" s="4"/>
      <c r="BB230" s="4"/>
      <c r="BC230" s="4"/>
      <c r="BD230" s="4"/>
      <c r="BE230" s="4"/>
    </row>
    <row r="231" spans="2:57" x14ac:dyDescent="0.3">
      <c r="B231" s="6" t="s">
        <v>254</v>
      </c>
      <c r="C231" s="6">
        <v>29</v>
      </c>
      <c r="D231" s="6" t="s">
        <v>17</v>
      </c>
      <c r="E231" s="6" t="s">
        <v>15</v>
      </c>
      <c r="F231" s="6" t="s">
        <v>18</v>
      </c>
      <c r="G231" s="19">
        <v>2389</v>
      </c>
      <c r="H231" s="11">
        <v>4</v>
      </c>
      <c r="I231" s="6">
        <v>4</v>
      </c>
      <c r="J231" s="6" t="s">
        <v>9</v>
      </c>
      <c r="K231" s="5" t="s">
        <v>9</v>
      </c>
      <c r="L231" s="3" t="str">
        <f>IF(Table1[[#This Row],[Monthly Income]]&lt;3000,"Low",IF(Table1[[#This Row],[Monthly Income]]&lt;7000,"Medium","High"))</f>
        <v>Low</v>
      </c>
      <c r="AK231" s="6"/>
      <c r="AL231" s="6"/>
      <c r="AM231" s="6"/>
      <c r="AN231" s="6"/>
      <c r="AO231" s="6"/>
      <c r="AP231" s="6"/>
      <c r="AQ231" s="6"/>
      <c r="AR231" s="6"/>
      <c r="AS231" s="6"/>
      <c r="AU231" s="6"/>
      <c r="AV231" s="6"/>
      <c r="AW231" s="6"/>
      <c r="AX231" s="6"/>
      <c r="AY231" s="6"/>
      <c r="AZ231" s="6"/>
      <c r="BA231" s="6"/>
      <c r="BB231" s="6"/>
      <c r="BC231" s="6"/>
      <c r="BD231" s="6"/>
      <c r="BE231" s="6"/>
    </row>
    <row r="232" spans="2:57" x14ac:dyDescent="0.3">
      <c r="B232" s="4" t="s">
        <v>255</v>
      </c>
      <c r="C232" s="4">
        <v>52</v>
      </c>
      <c r="D232" s="4" t="s">
        <v>12</v>
      </c>
      <c r="E232" s="4" t="s">
        <v>15</v>
      </c>
      <c r="F232" s="4" t="s">
        <v>20</v>
      </c>
      <c r="G232" s="18">
        <v>3212</v>
      </c>
      <c r="H232" s="10">
        <v>2</v>
      </c>
      <c r="I232" s="4">
        <v>4</v>
      </c>
      <c r="J232" s="4" t="s">
        <v>14</v>
      </c>
      <c r="K232" s="3" t="s">
        <v>14</v>
      </c>
      <c r="L232" s="3" t="str">
        <f>IF(Table1[[#This Row],[Monthly Income]]&lt;3000,"Low",IF(Table1[[#This Row],[Monthly Income]]&lt;7000,"Medium","High"))</f>
        <v>Medium</v>
      </c>
      <c r="AK232" s="4"/>
      <c r="AL232" s="4"/>
      <c r="AM232" s="4"/>
      <c r="AN232" s="4"/>
      <c r="AO232" s="4"/>
      <c r="AP232" s="4"/>
      <c r="AQ232" s="4"/>
      <c r="AR232" s="4"/>
      <c r="AS232" s="4"/>
      <c r="AU232" s="4"/>
      <c r="AV232" s="4"/>
      <c r="AW232" s="4"/>
      <c r="AX232" s="4"/>
      <c r="AY232" s="4"/>
      <c r="AZ232" s="4"/>
      <c r="BA232" s="4"/>
      <c r="BB232" s="4"/>
      <c r="BC232" s="4"/>
      <c r="BD232" s="4"/>
      <c r="BE232" s="4"/>
    </row>
    <row r="233" spans="2:57" x14ac:dyDescent="0.3">
      <c r="B233" s="6" t="s">
        <v>256</v>
      </c>
      <c r="C233" s="6">
        <v>42</v>
      </c>
      <c r="D233" s="6" t="s">
        <v>17</v>
      </c>
      <c r="E233" s="6" t="s">
        <v>15</v>
      </c>
      <c r="F233" s="6" t="s">
        <v>39</v>
      </c>
      <c r="G233" s="19">
        <v>19232</v>
      </c>
      <c r="H233" s="11">
        <v>22</v>
      </c>
      <c r="I233" s="6">
        <v>4</v>
      </c>
      <c r="J233" s="6" t="s">
        <v>14</v>
      </c>
      <c r="K233" s="5" t="s">
        <v>14</v>
      </c>
      <c r="L233" s="3" t="str">
        <f>IF(Table1[[#This Row],[Monthly Income]]&lt;3000,"Low",IF(Table1[[#This Row],[Monthly Income]]&lt;7000,"Medium","High"))</f>
        <v>High</v>
      </c>
      <c r="AK233" s="6"/>
      <c r="AL233" s="6"/>
      <c r="AM233" s="6"/>
      <c r="AN233" s="6"/>
      <c r="AO233" s="6"/>
      <c r="AP233" s="6"/>
      <c r="AQ233" s="6"/>
      <c r="AR233" s="6"/>
      <c r="AS233" s="6"/>
      <c r="AU233" s="6"/>
      <c r="AV233" s="6"/>
      <c r="AW233" s="6"/>
      <c r="AX233" s="6"/>
      <c r="AY233" s="6"/>
      <c r="AZ233" s="6"/>
      <c r="BA233" s="6"/>
      <c r="BB233" s="6"/>
      <c r="BC233" s="6"/>
      <c r="BD233" s="6"/>
      <c r="BE233" s="6"/>
    </row>
    <row r="234" spans="2:57" x14ac:dyDescent="0.3">
      <c r="B234" s="4" t="s">
        <v>257</v>
      </c>
      <c r="C234" s="4">
        <v>59</v>
      </c>
      <c r="D234" s="4" t="s">
        <v>17</v>
      </c>
      <c r="E234" s="4" t="s">
        <v>102</v>
      </c>
      <c r="F234" s="4" t="s">
        <v>104</v>
      </c>
      <c r="G234" s="18">
        <v>2267</v>
      </c>
      <c r="H234" s="10">
        <v>2</v>
      </c>
      <c r="I234" s="4">
        <v>3</v>
      </c>
      <c r="J234" s="4" t="s">
        <v>14</v>
      </c>
      <c r="K234" s="3" t="s">
        <v>14</v>
      </c>
      <c r="L234" s="3" t="str">
        <f>IF(Table1[[#This Row],[Monthly Income]]&lt;3000,"Low",IF(Table1[[#This Row],[Monthly Income]]&lt;7000,"Medium","High"))</f>
        <v>Low</v>
      </c>
      <c r="AK234" s="4"/>
      <c r="AL234" s="4"/>
      <c r="AM234" s="4"/>
      <c r="AN234" s="4"/>
      <c r="AO234" s="4"/>
      <c r="AP234" s="4"/>
      <c r="AQ234" s="4"/>
      <c r="AR234" s="4"/>
      <c r="AS234" s="4"/>
      <c r="AU234" s="4"/>
      <c r="AV234" s="4"/>
      <c r="AW234" s="4"/>
      <c r="AX234" s="4"/>
      <c r="AY234" s="4"/>
      <c r="AZ234" s="4"/>
      <c r="BA234" s="4"/>
      <c r="BB234" s="4"/>
      <c r="BC234" s="4"/>
      <c r="BD234" s="4"/>
      <c r="BE234" s="4"/>
    </row>
    <row r="235" spans="2:57" x14ac:dyDescent="0.3">
      <c r="B235" s="6" t="s">
        <v>258</v>
      </c>
      <c r="C235" s="6">
        <v>50</v>
      </c>
      <c r="D235" s="6" t="s">
        <v>12</v>
      </c>
      <c r="E235" s="6" t="s">
        <v>10</v>
      </c>
      <c r="F235" s="6" t="s">
        <v>39</v>
      </c>
      <c r="G235" s="19">
        <v>19517</v>
      </c>
      <c r="H235" s="11">
        <v>7</v>
      </c>
      <c r="I235" s="6">
        <v>4</v>
      </c>
      <c r="J235" s="6" t="s">
        <v>14</v>
      </c>
      <c r="K235" s="5" t="s">
        <v>14</v>
      </c>
      <c r="L235" s="3" t="str">
        <f>IF(Table1[[#This Row],[Monthly Income]]&lt;3000,"Low",IF(Table1[[#This Row],[Monthly Income]]&lt;7000,"Medium","High"))</f>
        <v>High</v>
      </c>
      <c r="AK235" s="6"/>
      <c r="AL235" s="6"/>
      <c r="AM235" s="6"/>
      <c r="AN235" s="6"/>
      <c r="AO235" s="6"/>
      <c r="AP235" s="6"/>
      <c r="AQ235" s="6"/>
      <c r="AR235" s="6"/>
      <c r="AS235" s="6"/>
      <c r="AU235" s="6"/>
      <c r="AV235" s="6"/>
      <c r="AW235" s="6"/>
      <c r="AX235" s="6"/>
      <c r="AY235" s="6"/>
      <c r="AZ235" s="6"/>
      <c r="BA235" s="6"/>
      <c r="BB235" s="6"/>
      <c r="BC235" s="6"/>
      <c r="BD235" s="6"/>
      <c r="BE235" s="6"/>
    </row>
    <row r="236" spans="2:57" x14ac:dyDescent="0.3">
      <c r="B236" s="4" t="s">
        <v>259</v>
      </c>
      <c r="C236" s="4">
        <v>33</v>
      </c>
      <c r="D236" s="4" t="s">
        <v>17</v>
      </c>
      <c r="E236" s="4" t="s">
        <v>15</v>
      </c>
      <c r="F236" s="4" t="s">
        <v>20</v>
      </c>
      <c r="G236" s="18">
        <v>2436</v>
      </c>
      <c r="H236" s="10">
        <v>5</v>
      </c>
      <c r="I236" s="4">
        <v>4</v>
      </c>
      <c r="J236" s="4" t="s">
        <v>9</v>
      </c>
      <c r="K236" s="3" t="s">
        <v>9</v>
      </c>
      <c r="L236" s="3" t="str">
        <f>IF(Table1[[#This Row],[Monthly Income]]&lt;3000,"Low",IF(Table1[[#This Row],[Monthly Income]]&lt;7000,"Medium","High"))</f>
        <v>Low</v>
      </c>
      <c r="AK236" s="4"/>
      <c r="AL236" s="4"/>
      <c r="AM236" s="4"/>
      <c r="AN236" s="4"/>
      <c r="AO236" s="4"/>
      <c r="AP236" s="4"/>
      <c r="AQ236" s="4"/>
      <c r="AR236" s="4"/>
      <c r="AS236" s="4"/>
      <c r="AU236" s="4"/>
      <c r="AV236" s="4"/>
      <c r="AW236" s="4"/>
      <c r="AX236" s="4"/>
      <c r="AY236" s="4"/>
      <c r="AZ236" s="4"/>
      <c r="BA236" s="4"/>
      <c r="BB236" s="4"/>
      <c r="BC236" s="4"/>
      <c r="BD236" s="4"/>
      <c r="BE236" s="4"/>
    </row>
    <row r="237" spans="2:57" x14ac:dyDescent="0.3">
      <c r="B237" s="6" t="s">
        <v>260</v>
      </c>
      <c r="C237" s="6">
        <v>43</v>
      </c>
      <c r="D237" s="6" t="s">
        <v>12</v>
      </c>
      <c r="E237" s="6" t="s">
        <v>10</v>
      </c>
      <c r="F237" s="6" t="s">
        <v>39</v>
      </c>
      <c r="G237" s="19">
        <v>16064</v>
      </c>
      <c r="H237" s="11">
        <v>17</v>
      </c>
      <c r="I237" s="6">
        <v>4</v>
      </c>
      <c r="J237" s="6" t="s">
        <v>9</v>
      </c>
      <c r="K237" s="5" t="s">
        <v>14</v>
      </c>
      <c r="L237" s="3" t="str">
        <f>IF(Table1[[#This Row],[Monthly Income]]&lt;3000,"Low",IF(Table1[[#This Row],[Monthly Income]]&lt;7000,"Medium","High"))</f>
        <v>High</v>
      </c>
      <c r="AK237" s="6"/>
      <c r="AL237" s="6"/>
      <c r="AM237" s="6"/>
      <c r="AN237" s="6"/>
      <c r="AO237" s="6"/>
      <c r="AP237" s="6"/>
      <c r="AQ237" s="6"/>
      <c r="AR237" s="6"/>
      <c r="AS237" s="6"/>
      <c r="AU237" s="6"/>
      <c r="AV237" s="6"/>
      <c r="AW237" s="6"/>
      <c r="AX237" s="6"/>
      <c r="AY237" s="6"/>
      <c r="AZ237" s="6"/>
      <c r="BA237" s="6"/>
      <c r="BB237" s="6"/>
      <c r="BC237" s="6"/>
      <c r="BD237" s="6"/>
      <c r="BE237" s="6"/>
    </row>
    <row r="238" spans="2:57" x14ac:dyDescent="0.3">
      <c r="B238" s="4" t="s">
        <v>261</v>
      </c>
      <c r="C238" s="4">
        <v>33</v>
      </c>
      <c r="D238" s="4" t="s">
        <v>12</v>
      </c>
      <c r="E238" s="4" t="s">
        <v>15</v>
      </c>
      <c r="F238" s="4" t="s">
        <v>20</v>
      </c>
      <c r="G238" s="18">
        <v>2707</v>
      </c>
      <c r="H238" s="10">
        <v>9</v>
      </c>
      <c r="I238" s="4">
        <v>1</v>
      </c>
      <c r="J238" s="4" t="s">
        <v>14</v>
      </c>
      <c r="K238" s="3" t="s">
        <v>9</v>
      </c>
      <c r="L238" s="3" t="str">
        <f>IF(Table1[[#This Row],[Monthly Income]]&lt;3000,"Low",IF(Table1[[#This Row],[Monthly Income]]&lt;7000,"Medium","High"))</f>
        <v>Low</v>
      </c>
      <c r="AK238" s="4"/>
      <c r="AL238" s="4"/>
      <c r="AM238" s="4"/>
      <c r="AN238" s="4"/>
      <c r="AO238" s="4"/>
      <c r="AP238" s="4"/>
      <c r="AQ238" s="4"/>
      <c r="AR238" s="4"/>
      <c r="AS238" s="4"/>
      <c r="AU238" s="4"/>
      <c r="AV238" s="4"/>
      <c r="AW238" s="4"/>
      <c r="AX238" s="4"/>
      <c r="AY238" s="4"/>
      <c r="AZ238" s="4"/>
      <c r="BA238" s="4"/>
      <c r="BB238" s="4"/>
      <c r="BC238" s="4"/>
      <c r="BD238" s="4"/>
      <c r="BE238" s="4"/>
    </row>
    <row r="239" spans="2:57" x14ac:dyDescent="0.3">
      <c r="B239" s="6" t="s">
        <v>262</v>
      </c>
      <c r="C239" s="6">
        <v>52</v>
      </c>
      <c r="D239" s="6" t="s">
        <v>17</v>
      </c>
      <c r="E239" s="6" t="s">
        <v>10</v>
      </c>
      <c r="F239" s="6" t="s">
        <v>39</v>
      </c>
      <c r="G239" s="19">
        <v>19068</v>
      </c>
      <c r="H239" s="11">
        <v>33</v>
      </c>
      <c r="I239" s="6">
        <v>3</v>
      </c>
      <c r="J239" s="6" t="s">
        <v>9</v>
      </c>
      <c r="K239" s="5" t="s">
        <v>14</v>
      </c>
      <c r="L239" s="3" t="str">
        <f>IF(Table1[[#This Row],[Monthly Income]]&lt;3000,"Low",IF(Table1[[#This Row],[Monthly Income]]&lt;7000,"Medium","High"))</f>
        <v>High</v>
      </c>
      <c r="AK239" s="6"/>
      <c r="AL239" s="6"/>
      <c r="AM239" s="6"/>
      <c r="AN239" s="6"/>
      <c r="AO239" s="6"/>
      <c r="AP239" s="6"/>
      <c r="AQ239" s="6"/>
      <c r="AR239" s="6"/>
      <c r="AS239" s="6"/>
      <c r="AU239" s="6"/>
      <c r="AV239" s="6"/>
      <c r="AW239" s="6"/>
      <c r="AX239" s="6"/>
      <c r="AY239" s="6"/>
      <c r="AZ239" s="6"/>
      <c r="BA239" s="6"/>
      <c r="BB239" s="6"/>
      <c r="BC239" s="6"/>
      <c r="BD239" s="6"/>
      <c r="BE239" s="6"/>
    </row>
    <row r="240" spans="2:57" x14ac:dyDescent="0.3">
      <c r="B240" s="4" t="s">
        <v>263</v>
      </c>
      <c r="C240" s="4">
        <v>32</v>
      </c>
      <c r="D240" s="4" t="s">
        <v>12</v>
      </c>
      <c r="E240" s="4" t="s">
        <v>10</v>
      </c>
      <c r="F240" s="4" t="s">
        <v>43</v>
      </c>
      <c r="G240" s="18">
        <v>3931</v>
      </c>
      <c r="H240" s="10">
        <v>4</v>
      </c>
      <c r="I240" s="4">
        <v>2</v>
      </c>
      <c r="J240" s="4" t="s">
        <v>14</v>
      </c>
      <c r="K240" s="3" t="s">
        <v>14</v>
      </c>
      <c r="L240" s="3" t="str">
        <f>IF(Table1[[#This Row],[Monthly Income]]&lt;3000,"Low",IF(Table1[[#This Row],[Monthly Income]]&lt;7000,"Medium","High"))</f>
        <v>Medium</v>
      </c>
      <c r="AK240" s="4"/>
      <c r="AL240" s="4"/>
      <c r="AM240" s="4"/>
      <c r="AN240" s="4"/>
      <c r="AO240" s="4"/>
      <c r="AP240" s="4"/>
      <c r="AQ240" s="4"/>
      <c r="AR240" s="4"/>
      <c r="AS240" s="4"/>
      <c r="AU240" s="4"/>
      <c r="AV240" s="4"/>
      <c r="AW240" s="4"/>
      <c r="AX240" s="4"/>
      <c r="AY240" s="4"/>
      <c r="AZ240" s="4"/>
      <c r="BA240" s="4"/>
      <c r="BB240" s="4"/>
      <c r="BC240" s="4"/>
      <c r="BD240" s="4"/>
      <c r="BE240" s="4"/>
    </row>
    <row r="241" spans="2:57" x14ac:dyDescent="0.3">
      <c r="B241" s="6" t="s">
        <v>264</v>
      </c>
      <c r="C241" s="6">
        <v>32</v>
      </c>
      <c r="D241" s="6" t="s">
        <v>17</v>
      </c>
      <c r="E241" s="6" t="s">
        <v>15</v>
      </c>
      <c r="F241" s="6" t="s">
        <v>20</v>
      </c>
      <c r="G241" s="19">
        <v>3730</v>
      </c>
      <c r="H241" s="11">
        <v>3</v>
      </c>
      <c r="I241" s="6">
        <v>3</v>
      </c>
      <c r="J241" s="6" t="s">
        <v>9</v>
      </c>
      <c r="K241" s="5" t="s">
        <v>9</v>
      </c>
      <c r="L241" s="3" t="str">
        <f>IF(Table1[[#This Row],[Monthly Income]]&lt;3000,"Low",IF(Table1[[#This Row],[Monthly Income]]&lt;7000,"Medium","High"))</f>
        <v>Medium</v>
      </c>
      <c r="AK241" s="6"/>
      <c r="AL241" s="6"/>
      <c r="AM241" s="6"/>
      <c r="AN241" s="6"/>
      <c r="AO241" s="6"/>
      <c r="AP241" s="6"/>
      <c r="AQ241" s="6"/>
      <c r="AR241" s="6"/>
      <c r="AS241" s="6"/>
      <c r="AU241" s="6"/>
      <c r="AV241" s="6"/>
      <c r="AW241" s="6"/>
      <c r="AX241" s="6"/>
      <c r="AY241" s="6"/>
      <c r="AZ241" s="6"/>
      <c r="BA241" s="6"/>
      <c r="BB241" s="6"/>
      <c r="BC241" s="6"/>
      <c r="BD241" s="6"/>
      <c r="BE241" s="6"/>
    </row>
    <row r="242" spans="2:57" x14ac:dyDescent="0.3">
      <c r="B242" s="4" t="s">
        <v>265</v>
      </c>
      <c r="C242" s="4">
        <v>39</v>
      </c>
      <c r="D242" s="4" t="s">
        <v>12</v>
      </c>
      <c r="E242" s="4" t="s">
        <v>15</v>
      </c>
      <c r="F242" s="4" t="s">
        <v>20</v>
      </c>
      <c r="G242" s="18">
        <v>2232</v>
      </c>
      <c r="H242" s="10">
        <v>3</v>
      </c>
      <c r="I242" s="4">
        <v>3</v>
      </c>
      <c r="J242" s="4" t="s">
        <v>14</v>
      </c>
      <c r="K242" s="3" t="s">
        <v>14</v>
      </c>
      <c r="L242" s="3" t="str">
        <f>IF(Table1[[#This Row],[Monthly Income]]&lt;3000,"Low",IF(Table1[[#This Row],[Monthly Income]]&lt;7000,"Medium","High"))</f>
        <v>Low</v>
      </c>
      <c r="AK242" s="4"/>
      <c r="AL242" s="4"/>
      <c r="AM242" s="4"/>
      <c r="AN242" s="4"/>
      <c r="AO242" s="4"/>
      <c r="AP242" s="4"/>
      <c r="AQ242" s="4"/>
      <c r="AR242" s="4"/>
      <c r="AS242" s="4"/>
      <c r="AU242" s="4"/>
      <c r="AV242" s="4"/>
      <c r="AW242" s="4"/>
      <c r="AX242" s="4"/>
      <c r="AY242" s="4"/>
      <c r="AZ242" s="4"/>
      <c r="BA242" s="4"/>
      <c r="BB242" s="4"/>
      <c r="BC242" s="4"/>
      <c r="BD242" s="4"/>
      <c r="BE242" s="4"/>
    </row>
    <row r="243" spans="2:57" x14ac:dyDescent="0.3">
      <c r="B243" s="6" t="s">
        <v>266</v>
      </c>
      <c r="C243" s="6">
        <v>32</v>
      </c>
      <c r="D243" s="6" t="s">
        <v>17</v>
      </c>
      <c r="E243" s="6" t="s">
        <v>10</v>
      </c>
      <c r="F243" s="6" t="s">
        <v>13</v>
      </c>
      <c r="G243" s="19">
        <v>4465</v>
      </c>
      <c r="H243" s="11">
        <v>3</v>
      </c>
      <c r="I243" s="6">
        <v>4</v>
      </c>
      <c r="J243" s="6" t="s">
        <v>14</v>
      </c>
      <c r="K243" s="5" t="s">
        <v>14</v>
      </c>
      <c r="L243" s="3" t="str">
        <f>IF(Table1[[#This Row],[Monthly Income]]&lt;3000,"Low",IF(Table1[[#This Row],[Monthly Income]]&lt;7000,"Medium","High"))</f>
        <v>Medium</v>
      </c>
      <c r="AK243" s="6"/>
      <c r="AL243" s="6"/>
      <c r="AM243" s="6"/>
      <c r="AN243" s="6"/>
      <c r="AO243" s="6"/>
      <c r="AP243" s="6"/>
      <c r="AQ243" s="6"/>
      <c r="AR243" s="6"/>
      <c r="AS243" s="6"/>
      <c r="AU243" s="6"/>
      <c r="AV243" s="6"/>
      <c r="AW243" s="6"/>
      <c r="AX243" s="6"/>
      <c r="AY243" s="6"/>
      <c r="AZ243" s="6"/>
      <c r="BA243" s="6"/>
      <c r="BB243" s="6"/>
      <c r="BC243" s="6"/>
      <c r="BD243" s="6"/>
      <c r="BE243" s="6"/>
    </row>
    <row r="244" spans="2:57" x14ac:dyDescent="0.3">
      <c r="B244" s="4" t="s">
        <v>267</v>
      </c>
      <c r="C244" s="4">
        <v>41</v>
      </c>
      <c r="D244" s="4" t="s">
        <v>17</v>
      </c>
      <c r="E244" s="4" t="s">
        <v>15</v>
      </c>
      <c r="F244" s="4" t="s">
        <v>18</v>
      </c>
      <c r="G244" s="18">
        <v>3072</v>
      </c>
      <c r="H244" s="10">
        <v>1</v>
      </c>
      <c r="I244" s="4">
        <v>1</v>
      </c>
      <c r="J244" s="4" t="s">
        <v>14</v>
      </c>
      <c r="K244" s="3" t="s">
        <v>14</v>
      </c>
      <c r="L244" s="3" t="str">
        <f>IF(Table1[[#This Row],[Monthly Income]]&lt;3000,"Low",IF(Table1[[#This Row],[Monthly Income]]&lt;7000,"Medium","High"))</f>
        <v>Medium</v>
      </c>
      <c r="AK244" s="4"/>
      <c r="AL244" s="4"/>
      <c r="AM244" s="4"/>
      <c r="AN244" s="4"/>
      <c r="AO244" s="4"/>
      <c r="AP244" s="4"/>
      <c r="AQ244" s="4"/>
      <c r="AR244" s="4"/>
      <c r="AS244" s="4"/>
      <c r="AU244" s="4"/>
      <c r="AV244" s="4"/>
      <c r="AW244" s="4"/>
      <c r="AX244" s="4"/>
      <c r="AY244" s="4"/>
      <c r="AZ244" s="4"/>
      <c r="BA244" s="4"/>
      <c r="BB244" s="4"/>
      <c r="BC244" s="4"/>
      <c r="BD244" s="4"/>
      <c r="BE244" s="4"/>
    </row>
    <row r="245" spans="2:57" x14ac:dyDescent="0.3">
      <c r="B245" s="6" t="s">
        <v>268</v>
      </c>
      <c r="C245" s="6">
        <v>40</v>
      </c>
      <c r="D245" s="6" t="s">
        <v>17</v>
      </c>
      <c r="E245" s="6" t="s">
        <v>15</v>
      </c>
      <c r="F245" s="6" t="s">
        <v>18</v>
      </c>
      <c r="G245" s="19">
        <v>3319</v>
      </c>
      <c r="H245" s="11">
        <v>9</v>
      </c>
      <c r="I245" s="6">
        <v>4</v>
      </c>
      <c r="J245" s="6" t="s">
        <v>14</v>
      </c>
      <c r="K245" s="5" t="s">
        <v>14</v>
      </c>
      <c r="L245" s="3" t="str">
        <f>IF(Table1[[#This Row],[Monthly Income]]&lt;3000,"Low",IF(Table1[[#This Row],[Monthly Income]]&lt;7000,"Medium","High"))</f>
        <v>Medium</v>
      </c>
      <c r="AK245" s="6"/>
      <c r="AL245" s="6"/>
      <c r="AM245" s="6"/>
      <c r="AN245" s="6"/>
      <c r="AO245" s="6"/>
      <c r="AP245" s="6"/>
      <c r="AQ245" s="6"/>
      <c r="AR245" s="6"/>
      <c r="AS245" s="6"/>
      <c r="AU245" s="6"/>
      <c r="AV245" s="6"/>
      <c r="AW245" s="6"/>
      <c r="AX245" s="6"/>
      <c r="AY245" s="6"/>
      <c r="AZ245" s="6"/>
      <c r="BA245" s="6"/>
      <c r="BB245" s="6"/>
      <c r="BC245" s="6"/>
      <c r="BD245" s="6"/>
      <c r="BE245" s="6"/>
    </row>
    <row r="246" spans="2:57" x14ac:dyDescent="0.3">
      <c r="B246" s="4" t="s">
        <v>269</v>
      </c>
      <c r="C246" s="4">
        <v>45</v>
      </c>
      <c r="D246" s="4" t="s">
        <v>17</v>
      </c>
      <c r="E246" s="4" t="s">
        <v>15</v>
      </c>
      <c r="F246" s="4" t="s">
        <v>39</v>
      </c>
      <c r="G246" s="18">
        <v>19202</v>
      </c>
      <c r="H246" s="10">
        <v>24</v>
      </c>
      <c r="I246" s="4">
        <v>4</v>
      </c>
      <c r="J246" s="4" t="s">
        <v>14</v>
      </c>
      <c r="K246" s="3" t="s">
        <v>14</v>
      </c>
      <c r="L246" s="3" t="str">
        <f>IF(Table1[[#This Row],[Monthly Income]]&lt;3000,"Low",IF(Table1[[#This Row],[Monthly Income]]&lt;7000,"Medium","High"))</f>
        <v>High</v>
      </c>
      <c r="AK246" s="4"/>
      <c r="AL246" s="4"/>
      <c r="AM246" s="4"/>
      <c r="AN246" s="4"/>
      <c r="AO246" s="4"/>
      <c r="AP246" s="4"/>
      <c r="AQ246" s="4"/>
      <c r="AR246" s="4"/>
      <c r="AS246" s="4"/>
      <c r="AU246" s="4"/>
      <c r="AV246" s="4"/>
      <c r="AW246" s="4"/>
      <c r="AX246" s="4"/>
      <c r="AY246" s="4"/>
      <c r="AZ246" s="4"/>
      <c r="BA246" s="4"/>
      <c r="BB246" s="4"/>
      <c r="BC246" s="4"/>
      <c r="BD246" s="4"/>
      <c r="BE246" s="4"/>
    </row>
    <row r="247" spans="2:57" x14ac:dyDescent="0.3">
      <c r="B247" s="6" t="s">
        <v>270</v>
      </c>
      <c r="C247" s="6">
        <v>31</v>
      </c>
      <c r="D247" s="6" t="s">
        <v>17</v>
      </c>
      <c r="E247" s="6" t="s">
        <v>15</v>
      </c>
      <c r="F247" s="6" t="s">
        <v>45</v>
      </c>
      <c r="G247" s="19">
        <v>13675</v>
      </c>
      <c r="H247" s="11">
        <v>2</v>
      </c>
      <c r="I247" s="6">
        <v>3</v>
      </c>
      <c r="J247" s="6" t="s">
        <v>14</v>
      </c>
      <c r="K247" s="5" t="s">
        <v>14</v>
      </c>
      <c r="L247" s="3" t="str">
        <f>IF(Table1[[#This Row],[Monthly Income]]&lt;3000,"Low",IF(Table1[[#This Row],[Monthly Income]]&lt;7000,"Medium","High"))</f>
        <v>High</v>
      </c>
      <c r="AK247" s="6"/>
      <c r="AL247" s="6"/>
      <c r="AM247" s="6"/>
      <c r="AN247" s="6"/>
      <c r="AO247" s="6"/>
      <c r="AP247" s="6"/>
      <c r="AQ247" s="6"/>
      <c r="AR247" s="6"/>
      <c r="AS247" s="6"/>
      <c r="AU247" s="6"/>
      <c r="AV247" s="6"/>
      <c r="AW247" s="6"/>
      <c r="AX247" s="6"/>
      <c r="AY247" s="6"/>
      <c r="AZ247" s="6"/>
      <c r="BA247" s="6"/>
      <c r="BB247" s="6"/>
      <c r="BC247" s="6"/>
      <c r="BD247" s="6"/>
      <c r="BE247" s="6"/>
    </row>
    <row r="248" spans="2:57" x14ac:dyDescent="0.3">
      <c r="B248" s="4" t="s">
        <v>271</v>
      </c>
      <c r="C248" s="4">
        <v>33</v>
      </c>
      <c r="D248" s="4" t="s">
        <v>12</v>
      </c>
      <c r="E248" s="4" t="s">
        <v>15</v>
      </c>
      <c r="F248" s="4" t="s">
        <v>18</v>
      </c>
      <c r="G248" s="18">
        <v>2911</v>
      </c>
      <c r="H248" s="10">
        <v>2</v>
      </c>
      <c r="I248" s="4">
        <v>4</v>
      </c>
      <c r="J248" s="4" t="s">
        <v>14</v>
      </c>
      <c r="K248" s="3" t="s">
        <v>14</v>
      </c>
      <c r="L248" s="3" t="str">
        <f>IF(Table1[[#This Row],[Monthly Income]]&lt;3000,"Low",IF(Table1[[#This Row],[Monthly Income]]&lt;7000,"Medium","High"))</f>
        <v>Low</v>
      </c>
      <c r="AK248" s="4"/>
      <c r="AL248" s="4"/>
      <c r="AM248" s="4"/>
      <c r="AN248" s="4"/>
      <c r="AO248" s="4"/>
      <c r="AP248" s="4"/>
      <c r="AQ248" s="4"/>
      <c r="AR248" s="4"/>
      <c r="AS248" s="4"/>
      <c r="AU248" s="4"/>
      <c r="AV248" s="4"/>
      <c r="AW248" s="4"/>
      <c r="AX248" s="4"/>
      <c r="AY248" s="4"/>
      <c r="AZ248" s="4"/>
      <c r="BA248" s="4"/>
      <c r="BB248" s="4"/>
      <c r="BC248" s="4"/>
      <c r="BD248" s="4"/>
      <c r="BE248" s="4"/>
    </row>
    <row r="249" spans="2:57" x14ac:dyDescent="0.3">
      <c r="B249" s="6" t="s">
        <v>272</v>
      </c>
      <c r="C249" s="6">
        <v>34</v>
      </c>
      <c r="D249" s="6" t="s">
        <v>17</v>
      </c>
      <c r="E249" s="6" t="s">
        <v>15</v>
      </c>
      <c r="F249" s="6" t="s">
        <v>27</v>
      </c>
      <c r="G249" s="19">
        <v>5957</v>
      </c>
      <c r="H249" s="11">
        <v>11</v>
      </c>
      <c r="I249" s="6">
        <v>1</v>
      </c>
      <c r="J249" s="6" t="s">
        <v>14</v>
      </c>
      <c r="K249" s="5" t="s">
        <v>14</v>
      </c>
      <c r="L249" s="3" t="str">
        <f>IF(Table1[[#This Row],[Monthly Income]]&lt;3000,"Low",IF(Table1[[#This Row],[Monthly Income]]&lt;7000,"Medium","High"))</f>
        <v>Medium</v>
      </c>
      <c r="AK249" s="6"/>
      <c r="AL249" s="6"/>
      <c r="AM249" s="6"/>
      <c r="AN249" s="6"/>
      <c r="AO249" s="6"/>
      <c r="AP249" s="6"/>
      <c r="AQ249" s="6"/>
      <c r="AR249" s="6"/>
      <c r="AS249" s="6"/>
      <c r="AU249" s="6"/>
      <c r="AV249" s="6"/>
      <c r="AW249" s="6"/>
      <c r="AX249" s="6"/>
      <c r="AY249" s="6"/>
      <c r="AZ249" s="6"/>
      <c r="BA249" s="6"/>
      <c r="BB249" s="6"/>
      <c r="BC249" s="6"/>
      <c r="BD249" s="6"/>
      <c r="BE249" s="6"/>
    </row>
    <row r="250" spans="2:57" x14ac:dyDescent="0.3">
      <c r="B250" s="4" t="s">
        <v>273</v>
      </c>
      <c r="C250" s="4">
        <v>37</v>
      </c>
      <c r="D250" s="4" t="s">
        <v>12</v>
      </c>
      <c r="E250" s="4" t="s">
        <v>15</v>
      </c>
      <c r="F250" s="4" t="s">
        <v>18</v>
      </c>
      <c r="G250" s="18">
        <v>3920</v>
      </c>
      <c r="H250" s="10">
        <v>3</v>
      </c>
      <c r="I250" s="4">
        <v>1</v>
      </c>
      <c r="J250" s="4" t="s">
        <v>14</v>
      </c>
      <c r="K250" s="3" t="s">
        <v>14</v>
      </c>
      <c r="L250" s="3" t="str">
        <f>IF(Table1[[#This Row],[Monthly Income]]&lt;3000,"Low",IF(Table1[[#This Row],[Monthly Income]]&lt;7000,"Medium","High"))</f>
        <v>Medium</v>
      </c>
      <c r="AK250" s="4"/>
      <c r="AL250" s="4"/>
      <c r="AM250" s="4"/>
      <c r="AN250" s="4"/>
      <c r="AO250" s="4"/>
      <c r="AP250" s="4"/>
      <c r="AQ250" s="4"/>
      <c r="AR250" s="4"/>
      <c r="AS250" s="4"/>
      <c r="AU250" s="4"/>
      <c r="AV250" s="4"/>
      <c r="AW250" s="4"/>
      <c r="AX250" s="4"/>
      <c r="AY250" s="4"/>
      <c r="AZ250" s="4"/>
      <c r="BA250" s="4"/>
      <c r="BB250" s="4"/>
      <c r="BC250" s="4"/>
      <c r="BD250" s="4"/>
      <c r="BE250" s="4"/>
    </row>
    <row r="251" spans="2:57" x14ac:dyDescent="0.3">
      <c r="B251" s="6" t="s">
        <v>274</v>
      </c>
      <c r="C251" s="6">
        <v>45</v>
      </c>
      <c r="D251" s="6" t="s">
        <v>17</v>
      </c>
      <c r="E251" s="6" t="s">
        <v>15</v>
      </c>
      <c r="F251" s="6" t="s">
        <v>27</v>
      </c>
      <c r="G251" s="19">
        <v>6434</v>
      </c>
      <c r="H251" s="11">
        <v>3</v>
      </c>
      <c r="I251" s="6">
        <v>3</v>
      </c>
      <c r="J251" s="6" t="s">
        <v>14</v>
      </c>
      <c r="K251" s="5" t="s">
        <v>14</v>
      </c>
      <c r="L251" s="3" t="str">
        <f>IF(Table1[[#This Row],[Monthly Income]]&lt;3000,"Low",IF(Table1[[#This Row],[Monthly Income]]&lt;7000,"Medium","High"))</f>
        <v>Medium</v>
      </c>
      <c r="AK251" s="6"/>
      <c r="AL251" s="6"/>
      <c r="AM251" s="6"/>
      <c r="AN251" s="6"/>
      <c r="AO251" s="6"/>
      <c r="AP251" s="6"/>
      <c r="AQ251" s="6"/>
      <c r="AR251" s="6"/>
      <c r="AS251" s="6"/>
      <c r="AU251" s="6"/>
      <c r="AV251" s="6"/>
      <c r="AW251" s="6"/>
      <c r="AX251" s="6"/>
      <c r="AY251" s="6"/>
      <c r="AZ251" s="6"/>
      <c r="BA251" s="6"/>
      <c r="BB251" s="6"/>
      <c r="BC251" s="6"/>
      <c r="BD251" s="6"/>
      <c r="BE251" s="6"/>
    </row>
    <row r="252" spans="2:57" x14ac:dyDescent="0.3">
      <c r="B252" s="4" t="s">
        <v>275</v>
      </c>
      <c r="C252" s="4">
        <v>37</v>
      </c>
      <c r="D252" s="4" t="s">
        <v>17</v>
      </c>
      <c r="E252" s="4" t="s">
        <v>15</v>
      </c>
      <c r="F252" s="4" t="s">
        <v>27</v>
      </c>
      <c r="G252" s="18">
        <v>10048</v>
      </c>
      <c r="H252" s="10">
        <v>1</v>
      </c>
      <c r="I252" s="4">
        <v>3</v>
      </c>
      <c r="J252" s="4" t="s">
        <v>14</v>
      </c>
      <c r="K252" s="3" t="s">
        <v>9</v>
      </c>
      <c r="L252" s="3" t="str">
        <f>IF(Table1[[#This Row],[Monthly Income]]&lt;3000,"Low",IF(Table1[[#This Row],[Monthly Income]]&lt;7000,"Medium","High"))</f>
        <v>High</v>
      </c>
      <c r="AK252" s="4"/>
      <c r="AL252" s="4"/>
      <c r="AM252" s="4"/>
      <c r="AN252" s="4"/>
      <c r="AO252" s="4"/>
      <c r="AP252" s="4"/>
      <c r="AQ252" s="4"/>
      <c r="AR252" s="4"/>
      <c r="AS252" s="4"/>
      <c r="AU252" s="4"/>
      <c r="AV252" s="4"/>
      <c r="AW252" s="4"/>
      <c r="AX252" s="4"/>
      <c r="AY252" s="4"/>
      <c r="AZ252" s="4"/>
      <c r="BA252" s="4"/>
      <c r="BB252" s="4"/>
      <c r="BC252" s="4"/>
      <c r="BD252" s="4"/>
      <c r="BE252" s="4"/>
    </row>
    <row r="253" spans="2:57" x14ac:dyDescent="0.3">
      <c r="B253" s="6" t="s">
        <v>276</v>
      </c>
      <c r="C253" s="6">
        <v>39</v>
      </c>
      <c r="D253" s="6" t="s">
        <v>12</v>
      </c>
      <c r="E253" s="6" t="s">
        <v>15</v>
      </c>
      <c r="F253" s="6" t="s">
        <v>29</v>
      </c>
      <c r="G253" s="19">
        <v>10938</v>
      </c>
      <c r="H253" s="11">
        <v>19</v>
      </c>
      <c r="I253" s="6">
        <v>3</v>
      </c>
      <c r="J253" s="6" t="s">
        <v>14</v>
      </c>
      <c r="K253" s="5" t="s">
        <v>14</v>
      </c>
      <c r="L253" s="3" t="str">
        <f>IF(Table1[[#This Row],[Monthly Income]]&lt;3000,"Low",IF(Table1[[#This Row],[Monthly Income]]&lt;7000,"Medium","High"))</f>
        <v>High</v>
      </c>
      <c r="AK253" s="6"/>
      <c r="AL253" s="6"/>
      <c r="AM253" s="6"/>
      <c r="AN253" s="6"/>
      <c r="AO253" s="6"/>
      <c r="AP253" s="6"/>
      <c r="AQ253" s="6"/>
      <c r="AR253" s="6"/>
      <c r="AS253" s="6"/>
      <c r="AU253" s="6"/>
      <c r="AV253" s="6"/>
      <c r="AW253" s="6"/>
      <c r="AX253" s="6"/>
      <c r="AY253" s="6"/>
      <c r="AZ253" s="6"/>
      <c r="BA253" s="6"/>
      <c r="BB253" s="6"/>
      <c r="BC253" s="6"/>
      <c r="BD253" s="6"/>
      <c r="BE253" s="6"/>
    </row>
    <row r="254" spans="2:57" x14ac:dyDescent="0.3">
      <c r="B254" s="4" t="s">
        <v>277</v>
      </c>
      <c r="C254" s="4">
        <v>29</v>
      </c>
      <c r="D254" s="4" t="s">
        <v>17</v>
      </c>
      <c r="E254" s="4" t="s">
        <v>15</v>
      </c>
      <c r="F254" s="4" t="s">
        <v>18</v>
      </c>
      <c r="G254" s="18">
        <v>2340</v>
      </c>
      <c r="H254" s="10">
        <v>6</v>
      </c>
      <c r="I254" s="4">
        <v>4</v>
      </c>
      <c r="J254" s="4" t="s">
        <v>14</v>
      </c>
      <c r="K254" s="3" t="s">
        <v>14</v>
      </c>
      <c r="L254" s="3" t="str">
        <f>IF(Table1[[#This Row],[Monthly Income]]&lt;3000,"Low",IF(Table1[[#This Row],[Monthly Income]]&lt;7000,"Medium","High"))</f>
        <v>Low</v>
      </c>
      <c r="AK254" s="4"/>
      <c r="AL254" s="4"/>
      <c r="AM254" s="4"/>
      <c r="AN254" s="4"/>
      <c r="AO254" s="4"/>
      <c r="AP254" s="4"/>
      <c r="AQ254" s="4"/>
      <c r="AR254" s="4"/>
      <c r="AS254" s="4"/>
      <c r="AU254" s="4"/>
      <c r="AV254" s="4"/>
      <c r="AW254" s="4"/>
      <c r="AX254" s="4"/>
      <c r="AY254" s="4"/>
      <c r="AZ254" s="4"/>
      <c r="BA254" s="4"/>
      <c r="BB254" s="4"/>
      <c r="BC254" s="4"/>
      <c r="BD254" s="4"/>
      <c r="BE254" s="4"/>
    </row>
    <row r="255" spans="2:57" x14ac:dyDescent="0.3">
      <c r="B255" s="6" t="s">
        <v>278</v>
      </c>
      <c r="C255" s="6">
        <v>42</v>
      </c>
      <c r="D255" s="6" t="s">
        <v>12</v>
      </c>
      <c r="E255" s="6" t="s">
        <v>15</v>
      </c>
      <c r="F255" s="6" t="s">
        <v>18</v>
      </c>
      <c r="G255" s="19">
        <v>6545</v>
      </c>
      <c r="H255" s="11">
        <v>3</v>
      </c>
      <c r="I255" s="6">
        <v>1</v>
      </c>
      <c r="J255" s="6" t="s">
        <v>9</v>
      </c>
      <c r="K255" s="5" t="s">
        <v>14</v>
      </c>
      <c r="L255" s="3" t="str">
        <f>IF(Table1[[#This Row],[Monthly Income]]&lt;3000,"Low",IF(Table1[[#This Row],[Monthly Income]]&lt;7000,"Medium","High"))</f>
        <v>Medium</v>
      </c>
      <c r="AK255" s="6"/>
      <c r="AL255" s="6"/>
      <c r="AM255" s="6"/>
      <c r="AN255" s="6"/>
      <c r="AO255" s="6"/>
      <c r="AP255" s="6"/>
      <c r="AQ255" s="6"/>
      <c r="AR255" s="6"/>
      <c r="AS255" s="6"/>
      <c r="AU255" s="6"/>
      <c r="AV255" s="6"/>
      <c r="AW255" s="6"/>
      <c r="AX255" s="6"/>
      <c r="AY255" s="6"/>
      <c r="AZ255" s="6"/>
      <c r="BA255" s="6"/>
      <c r="BB255" s="6"/>
      <c r="BC255" s="6"/>
      <c r="BD255" s="6"/>
      <c r="BE255" s="6"/>
    </row>
    <row r="256" spans="2:57" x14ac:dyDescent="0.3">
      <c r="B256" s="4" t="s">
        <v>279</v>
      </c>
      <c r="C256" s="4">
        <v>29</v>
      </c>
      <c r="D256" s="4" t="s">
        <v>17</v>
      </c>
      <c r="E256" s="4" t="s">
        <v>10</v>
      </c>
      <c r="F256" s="4" t="s">
        <v>13</v>
      </c>
      <c r="G256" s="18">
        <v>6931</v>
      </c>
      <c r="H256" s="10">
        <v>3</v>
      </c>
      <c r="I256" s="4">
        <v>4</v>
      </c>
      <c r="J256" s="4" t="s">
        <v>14</v>
      </c>
      <c r="K256" s="3" t="s">
        <v>14</v>
      </c>
      <c r="L256" s="3" t="str">
        <f>IF(Table1[[#This Row],[Monthly Income]]&lt;3000,"Low",IF(Table1[[#This Row],[Monthly Income]]&lt;7000,"Medium","High"))</f>
        <v>Medium</v>
      </c>
      <c r="AK256" s="4"/>
      <c r="AL256" s="4"/>
      <c r="AM256" s="4"/>
      <c r="AN256" s="4"/>
      <c r="AO256" s="4"/>
      <c r="AP256" s="4"/>
      <c r="AQ256" s="4"/>
      <c r="AR256" s="4"/>
      <c r="AS256" s="4"/>
      <c r="AU256" s="4"/>
      <c r="AV256" s="4"/>
      <c r="AW256" s="4"/>
      <c r="AX256" s="4"/>
      <c r="AY256" s="4"/>
      <c r="AZ256" s="4"/>
      <c r="BA256" s="4"/>
      <c r="BB256" s="4"/>
      <c r="BC256" s="4"/>
      <c r="BD256" s="4"/>
      <c r="BE256" s="4"/>
    </row>
    <row r="257" spans="2:57" x14ac:dyDescent="0.3">
      <c r="B257" s="6" t="s">
        <v>280</v>
      </c>
      <c r="C257" s="6">
        <v>25</v>
      </c>
      <c r="D257" s="6" t="s">
        <v>12</v>
      </c>
      <c r="E257" s="6" t="s">
        <v>15</v>
      </c>
      <c r="F257" s="6" t="s">
        <v>27</v>
      </c>
      <c r="G257" s="19">
        <v>4898</v>
      </c>
      <c r="H257" s="11">
        <v>4</v>
      </c>
      <c r="I257" s="6">
        <v>3</v>
      </c>
      <c r="J257" s="6" t="s">
        <v>14</v>
      </c>
      <c r="K257" s="5" t="s">
        <v>14</v>
      </c>
      <c r="L257" s="3" t="str">
        <f>IF(Table1[[#This Row],[Monthly Income]]&lt;3000,"Low",IF(Table1[[#This Row],[Monthly Income]]&lt;7000,"Medium","High"))</f>
        <v>Medium</v>
      </c>
      <c r="AK257" s="6"/>
      <c r="AL257" s="6"/>
      <c r="AM257" s="6"/>
      <c r="AN257" s="6"/>
      <c r="AO257" s="6"/>
      <c r="AP257" s="6"/>
      <c r="AQ257" s="6"/>
      <c r="AR257" s="6"/>
      <c r="AS257" s="6"/>
      <c r="AU257" s="6"/>
      <c r="AV257" s="6"/>
      <c r="AW257" s="6"/>
      <c r="AX257" s="6"/>
      <c r="AY257" s="6"/>
      <c r="AZ257" s="6"/>
      <c r="BA257" s="6"/>
      <c r="BB257" s="6"/>
      <c r="BC257" s="6"/>
      <c r="BD257" s="6"/>
      <c r="BE257" s="6"/>
    </row>
    <row r="258" spans="2:57" x14ac:dyDescent="0.3">
      <c r="B258" s="4" t="s">
        <v>281</v>
      </c>
      <c r="C258" s="4">
        <v>42</v>
      </c>
      <c r="D258" s="4" t="s">
        <v>12</v>
      </c>
      <c r="E258" s="4" t="s">
        <v>15</v>
      </c>
      <c r="F258" s="4" t="s">
        <v>20</v>
      </c>
      <c r="G258" s="18">
        <v>2593</v>
      </c>
      <c r="H258" s="10">
        <v>9</v>
      </c>
      <c r="I258" s="4">
        <v>1</v>
      </c>
      <c r="J258" s="4" t="s">
        <v>9</v>
      </c>
      <c r="K258" s="3" t="s">
        <v>14</v>
      </c>
      <c r="L258" s="3" t="str">
        <f>IF(Table1[[#This Row],[Monthly Income]]&lt;3000,"Low",IF(Table1[[#This Row],[Monthly Income]]&lt;7000,"Medium","High"))</f>
        <v>Low</v>
      </c>
      <c r="AK258" s="4"/>
      <c r="AL258" s="4"/>
      <c r="AM258" s="4"/>
      <c r="AN258" s="4"/>
      <c r="AO258" s="4"/>
      <c r="AP258" s="4"/>
      <c r="AQ258" s="4"/>
      <c r="AR258" s="4"/>
      <c r="AS258" s="4"/>
      <c r="AU258" s="4"/>
      <c r="AV258" s="4"/>
      <c r="AW258" s="4"/>
      <c r="AX258" s="4"/>
      <c r="AY258" s="4"/>
      <c r="AZ258" s="4"/>
      <c r="BA258" s="4"/>
      <c r="BB258" s="4"/>
      <c r="BC258" s="4"/>
      <c r="BD258" s="4"/>
      <c r="BE258" s="4"/>
    </row>
    <row r="259" spans="2:57" x14ac:dyDescent="0.3">
      <c r="B259" s="6" t="s">
        <v>282</v>
      </c>
      <c r="C259" s="6">
        <v>40</v>
      </c>
      <c r="D259" s="6" t="s">
        <v>17</v>
      </c>
      <c r="E259" s="6" t="s">
        <v>15</v>
      </c>
      <c r="F259" s="6" t="s">
        <v>45</v>
      </c>
      <c r="G259" s="19">
        <v>19436</v>
      </c>
      <c r="H259" s="11">
        <v>21</v>
      </c>
      <c r="I259" s="6">
        <v>3</v>
      </c>
      <c r="J259" s="6" t="s">
        <v>14</v>
      </c>
      <c r="K259" s="5" t="s">
        <v>14</v>
      </c>
      <c r="L259" s="3" t="str">
        <f>IF(Table1[[#This Row],[Monthly Income]]&lt;3000,"Low",IF(Table1[[#This Row],[Monthly Income]]&lt;7000,"Medium","High"))</f>
        <v>High</v>
      </c>
      <c r="AK259" s="6"/>
      <c r="AL259" s="6"/>
      <c r="AM259" s="6"/>
      <c r="AN259" s="6"/>
      <c r="AO259" s="6"/>
      <c r="AP259" s="6"/>
      <c r="AQ259" s="6"/>
      <c r="AR259" s="6"/>
      <c r="AS259" s="6"/>
      <c r="AU259" s="6"/>
      <c r="AV259" s="6"/>
      <c r="AW259" s="6"/>
      <c r="AX259" s="6"/>
      <c r="AY259" s="6"/>
      <c r="AZ259" s="6"/>
      <c r="BA259" s="6"/>
      <c r="BB259" s="6"/>
      <c r="BC259" s="6"/>
      <c r="BD259" s="6"/>
      <c r="BE259" s="6"/>
    </row>
    <row r="260" spans="2:57" x14ac:dyDescent="0.3">
      <c r="B260" s="4" t="s">
        <v>283</v>
      </c>
      <c r="C260" s="4">
        <v>51</v>
      </c>
      <c r="D260" s="4" t="s">
        <v>17</v>
      </c>
      <c r="E260" s="4" t="s">
        <v>15</v>
      </c>
      <c r="F260" s="4" t="s">
        <v>18</v>
      </c>
      <c r="G260" s="18">
        <v>2723</v>
      </c>
      <c r="H260" s="10">
        <v>1</v>
      </c>
      <c r="I260" s="4">
        <v>4</v>
      </c>
      <c r="J260" s="4" t="s">
        <v>14</v>
      </c>
      <c r="K260" s="3" t="s">
        <v>14</v>
      </c>
      <c r="L260" s="3" t="str">
        <f>IF(Table1[[#This Row],[Monthly Income]]&lt;3000,"Low",IF(Table1[[#This Row],[Monthly Income]]&lt;7000,"Medium","High"))</f>
        <v>Low</v>
      </c>
      <c r="AK260" s="4"/>
      <c r="AL260" s="4"/>
      <c r="AM260" s="4"/>
      <c r="AN260" s="4"/>
      <c r="AO260" s="4"/>
      <c r="AP260" s="4"/>
      <c r="AQ260" s="4"/>
      <c r="AR260" s="4"/>
      <c r="AS260" s="4"/>
      <c r="AU260" s="4"/>
      <c r="AV260" s="4"/>
      <c r="AW260" s="4"/>
      <c r="AX260" s="4"/>
      <c r="AY260" s="4"/>
      <c r="AZ260" s="4"/>
      <c r="BA260" s="4"/>
      <c r="BB260" s="4"/>
      <c r="BC260" s="4"/>
      <c r="BD260" s="4"/>
      <c r="BE260" s="4"/>
    </row>
    <row r="261" spans="2:57" x14ac:dyDescent="0.3">
      <c r="B261" s="6" t="s">
        <v>284</v>
      </c>
      <c r="C261" s="6">
        <v>31</v>
      </c>
      <c r="D261" s="6" t="s">
        <v>17</v>
      </c>
      <c r="E261" s="6" t="s">
        <v>15</v>
      </c>
      <c r="F261" s="6" t="s">
        <v>20</v>
      </c>
      <c r="G261" s="19">
        <v>3479</v>
      </c>
      <c r="H261" s="11">
        <v>5</v>
      </c>
      <c r="I261" s="6">
        <v>2</v>
      </c>
      <c r="J261" s="6" t="s">
        <v>14</v>
      </c>
      <c r="K261" s="5" t="s">
        <v>9</v>
      </c>
      <c r="L261" s="3" t="str">
        <f>IF(Table1[[#This Row],[Monthly Income]]&lt;3000,"Low",IF(Table1[[#This Row],[Monthly Income]]&lt;7000,"Medium","High"))</f>
        <v>Medium</v>
      </c>
      <c r="AK261" s="6"/>
      <c r="AL261" s="6"/>
      <c r="AM261" s="6"/>
      <c r="AN261" s="6"/>
      <c r="AO261" s="6"/>
      <c r="AP261" s="6"/>
      <c r="AQ261" s="6"/>
      <c r="AR261" s="6"/>
      <c r="AS261" s="6"/>
      <c r="AU261" s="6"/>
      <c r="AV261" s="6"/>
      <c r="AW261" s="6"/>
      <c r="AX261" s="6"/>
      <c r="AY261" s="6"/>
      <c r="AZ261" s="6"/>
      <c r="BA261" s="6"/>
      <c r="BB261" s="6"/>
      <c r="BC261" s="6"/>
      <c r="BD261" s="6"/>
      <c r="BE261" s="6"/>
    </row>
    <row r="262" spans="2:57" x14ac:dyDescent="0.3">
      <c r="B262" s="4" t="s">
        <v>285</v>
      </c>
      <c r="C262" s="4">
        <v>32</v>
      </c>
      <c r="D262" s="4" t="s">
        <v>17</v>
      </c>
      <c r="E262" s="4" t="s">
        <v>15</v>
      </c>
      <c r="F262" s="4" t="s">
        <v>20</v>
      </c>
      <c r="G262" s="18">
        <v>2794</v>
      </c>
      <c r="H262" s="10">
        <v>5</v>
      </c>
      <c r="I262" s="4">
        <v>2</v>
      </c>
      <c r="J262" s="4" t="s">
        <v>14</v>
      </c>
      <c r="K262" s="3" t="s">
        <v>14</v>
      </c>
      <c r="L262" s="3" t="str">
        <f>IF(Table1[[#This Row],[Monthly Income]]&lt;3000,"Low",IF(Table1[[#This Row],[Monthly Income]]&lt;7000,"Medium","High"))</f>
        <v>Low</v>
      </c>
      <c r="AK262" s="4"/>
      <c r="AL262" s="4"/>
      <c r="AM262" s="4"/>
      <c r="AN262" s="4"/>
      <c r="AO262" s="4"/>
      <c r="AP262" s="4"/>
      <c r="AQ262" s="4"/>
      <c r="AR262" s="4"/>
      <c r="AS262" s="4"/>
      <c r="AU262" s="4"/>
      <c r="AV262" s="4"/>
      <c r="AW262" s="4"/>
      <c r="AX262" s="4"/>
      <c r="AY262" s="4"/>
      <c r="AZ262" s="4"/>
      <c r="BA262" s="4"/>
      <c r="BB262" s="4"/>
      <c r="BC262" s="4"/>
      <c r="BD262" s="4"/>
      <c r="BE262" s="4"/>
    </row>
    <row r="263" spans="2:57" x14ac:dyDescent="0.3">
      <c r="B263" s="6" t="s">
        <v>286</v>
      </c>
      <c r="C263" s="6">
        <v>38</v>
      </c>
      <c r="D263" s="6" t="s">
        <v>17</v>
      </c>
      <c r="E263" s="6" t="s">
        <v>10</v>
      </c>
      <c r="F263" s="6" t="s">
        <v>13</v>
      </c>
      <c r="G263" s="19">
        <v>5249</v>
      </c>
      <c r="H263" s="11">
        <v>8</v>
      </c>
      <c r="I263" s="6">
        <v>4</v>
      </c>
      <c r="J263" s="6" t="s">
        <v>14</v>
      </c>
      <c r="K263" s="5" t="s">
        <v>14</v>
      </c>
      <c r="L263" s="3" t="str">
        <f>IF(Table1[[#This Row],[Monthly Income]]&lt;3000,"Low",IF(Table1[[#This Row],[Monthly Income]]&lt;7000,"Medium","High"))</f>
        <v>Medium</v>
      </c>
      <c r="AK263" s="6"/>
      <c r="AL263" s="6"/>
      <c r="AM263" s="6"/>
      <c r="AN263" s="6"/>
      <c r="AO263" s="6"/>
      <c r="AP263" s="6"/>
      <c r="AQ263" s="6"/>
      <c r="AR263" s="6"/>
      <c r="AS263" s="6"/>
      <c r="AU263" s="6"/>
      <c r="AV263" s="6"/>
      <c r="AW263" s="6"/>
      <c r="AX263" s="6"/>
      <c r="AY263" s="6"/>
      <c r="AZ263" s="6"/>
      <c r="BA263" s="6"/>
      <c r="BB263" s="6"/>
      <c r="BC263" s="6"/>
      <c r="BD263" s="6"/>
      <c r="BE263" s="6"/>
    </row>
    <row r="264" spans="2:57" x14ac:dyDescent="0.3">
      <c r="B264" s="4" t="s">
        <v>287</v>
      </c>
      <c r="C264" s="4">
        <v>32</v>
      </c>
      <c r="D264" s="4" t="s">
        <v>17</v>
      </c>
      <c r="E264" s="4" t="s">
        <v>15</v>
      </c>
      <c r="F264" s="4" t="s">
        <v>20</v>
      </c>
      <c r="G264" s="18">
        <v>2176</v>
      </c>
      <c r="H264" s="10">
        <v>6</v>
      </c>
      <c r="I264" s="4">
        <v>1</v>
      </c>
      <c r="J264" s="4" t="s">
        <v>14</v>
      </c>
      <c r="K264" s="3" t="s">
        <v>14</v>
      </c>
      <c r="L264" s="3" t="str">
        <f>IF(Table1[[#This Row],[Monthly Income]]&lt;3000,"Low",IF(Table1[[#This Row],[Monthly Income]]&lt;7000,"Medium","High"))</f>
        <v>Low</v>
      </c>
      <c r="AK264" s="4"/>
      <c r="AL264" s="4"/>
      <c r="AM264" s="4"/>
      <c r="AN264" s="4"/>
      <c r="AO264" s="4"/>
      <c r="AP264" s="4"/>
      <c r="AQ264" s="4"/>
      <c r="AR264" s="4"/>
      <c r="AS264" s="4"/>
      <c r="AU264" s="4"/>
      <c r="AV264" s="4"/>
      <c r="AW264" s="4"/>
      <c r="AX264" s="4"/>
      <c r="AY264" s="4"/>
      <c r="AZ264" s="4"/>
      <c r="BA264" s="4"/>
      <c r="BB264" s="4"/>
      <c r="BC264" s="4"/>
      <c r="BD264" s="4"/>
      <c r="BE264" s="4"/>
    </row>
    <row r="265" spans="2:57" x14ac:dyDescent="0.3">
      <c r="B265" s="6" t="s">
        <v>288</v>
      </c>
      <c r="C265" s="6">
        <v>46</v>
      </c>
      <c r="D265" s="6" t="s">
        <v>12</v>
      </c>
      <c r="E265" s="6" t="s">
        <v>10</v>
      </c>
      <c r="F265" s="6" t="s">
        <v>39</v>
      </c>
      <c r="G265" s="19">
        <v>16872</v>
      </c>
      <c r="H265" s="11">
        <v>7</v>
      </c>
      <c r="I265" s="6">
        <v>2</v>
      </c>
      <c r="J265" s="6" t="s">
        <v>9</v>
      </c>
      <c r="K265" s="5" t="s">
        <v>14</v>
      </c>
      <c r="L265" s="3" t="str">
        <f>IF(Table1[[#This Row],[Monthly Income]]&lt;3000,"Low",IF(Table1[[#This Row],[Monthly Income]]&lt;7000,"Medium","High"))</f>
        <v>High</v>
      </c>
      <c r="AK265" s="6"/>
      <c r="AL265" s="6"/>
      <c r="AM265" s="6"/>
      <c r="AN265" s="6"/>
      <c r="AO265" s="6"/>
      <c r="AP265" s="6"/>
      <c r="AQ265" s="6"/>
      <c r="AR265" s="6"/>
      <c r="AS265" s="6"/>
      <c r="AU265" s="6"/>
      <c r="AV265" s="6"/>
      <c r="AW265" s="6"/>
      <c r="AX265" s="6"/>
      <c r="AY265" s="6"/>
      <c r="AZ265" s="6"/>
      <c r="BA265" s="6"/>
      <c r="BB265" s="6"/>
      <c r="BC265" s="6"/>
      <c r="BD265" s="6"/>
      <c r="BE265" s="6"/>
    </row>
    <row r="266" spans="2:57" x14ac:dyDescent="0.3">
      <c r="B266" s="4" t="s">
        <v>289</v>
      </c>
      <c r="C266" s="4">
        <v>28</v>
      </c>
      <c r="D266" s="4" t="s">
        <v>17</v>
      </c>
      <c r="E266" s="4" t="s">
        <v>15</v>
      </c>
      <c r="F266" s="4" t="s">
        <v>20</v>
      </c>
      <c r="G266" s="18">
        <v>3485</v>
      </c>
      <c r="H266" s="10">
        <v>0</v>
      </c>
      <c r="I266" s="4">
        <v>3</v>
      </c>
      <c r="J266" s="4" t="s">
        <v>14</v>
      </c>
      <c r="K266" s="3" t="s">
        <v>9</v>
      </c>
      <c r="L266" s="3" t="str">
        <f>IF(Table1[[#This Row],[Monthly Income]]&lt;3000,"Low",IF(Table1[[#This Row],[Monthly Income]]&lt;7000,"Medium","High"))</f>
        <v>Medium</v>
      </c>
      <c r="AK266" s="4"/>
      <c r="AL266" s="4"/>
      <c r="AM266" s="4"/>
      <c r="AN266" s="4"/>
      <c r="AO266" s="4"/>
      <c r="AP266" s="4"/>
      <c r="AQ266" s="4"/>
      <c r="AR266" s="4"/>
      <c r="AS266" s="4"/>
      <c r="AU266" s="4"/>
      <c r="AV266" s="4"/>
      <c r="AW266" s="4"/>
      <c r="AX266" s="4"/>
      <c r="AY266" s="4"/>
      <c r="AZ266" s="4"/>
      <c r="BA266" s="4"/>
      <c r="BB266" s="4"/>
      <c r="BC266" s="4"/>
      <c r="BD266" s="4"/>
      <c r="BE266" s="4"/>
    </row>
    <row r="267" spans="2:57" x14ac:dyDescent="0.3">
      <c r="B267" s="6" t="s">
        <v>290</v>
      </c>
      <c r="C267" s="6">
        <v>29</v>
      </c>
      <c r="D267" s="6" t="s">
        <v>17</v>
      </c>
      <c r="E267" s="6" t="s">
        <v>10</v>
      </c>
      <c r="F267" s="6" t="s">
        <v>13</v>
      </c>
      <c r="G267" s="19">
        <v>6644</v>
      </c>
      <c r="H267" s="11">
        <v>0</v>
      </c>
      <c r="I267" s="6">
        <v>2</v>
      </c>
      <c r="J267" s="6" t="s">
        <v>14</v>
      </c>
      <c r="K267" s="5" t="s">
        <v>14</v>
      </c>
      <c r="L267" s="3" t="str">
        <f>IF(Table1[[#This Row],[Monthly Income]]&lt;3000,"Low",IF(Table1[[#This Row],[Monthly Income]]&lt;7000,"Medium","High"))</f>
        <v>Medium</v>
      </c>
      <c r="AK267" s="6"/>
      <c r="AL267" s="6"/>
      <c r="AM267" s="6"/>
      <c r="AN267" s="6"/>
      <c r="AO267" s="6"/>
      <c r="AP267" s="6"/>
      <c r="AQ267" s="6"/>
      <c r="AR267" s="6"/>
      <c r="AS267" s="6"/>
      <c r="AU267" s="6"/>
      <c r="AV267" s="6"/>
      <c r="AW267" s="6"/>
      <c r="AX267" s="6"/>
      <c r="AY267" s="6"/>
      <c r="AZ267" s="6"/>
      <c r="BA267" s="6"/>
      <c r="BB267" s="6"/>
      <c r="BC267" s="6"/>
      <c r="BD267" s="6"/>
      <c r="BE267" s="6"/>
    </row>
    <row r="268" spans="2:57" x14ac:dyDescent="0.3">
      <c r="B268" s="4" t="s">
        <v>291</v>
      </c>
      <c r="C268" s="4">
        <v>31</v>
      </c>
      <c r="D268" s="4" t="s">
        <v>17</v>
      </c>
      <c r="E268" s="4" t="s">
        <v>15</v>
      </c>
      <c r="F268" s="4" t="s">
        <v>29</v>
      </c>
      <c r="G268" s="18">
        <v>5582</v>
      </c>
      <c r="H268" s="10">
        <v>9</v>
      </c>
      <c r="I268" s="4">
        <v>4</v>
      </c>
      <c r="J268" s="4" t="s">
        <v>14</v>
      </c>
      <c r="K268" s="3" t="s">
        <v>14</v>
      </c>
      <c r="L268" s="3" t="str">
        <f>IF(Table1[[#This Row],[Monthly Income]]&lt;3000,"Low",IF(Table1[[#This Row],[Monthly Income]]&lt;7000,"Medium","High"))</f>
        <v>Medium</v>
      </c>
      <c r="AK268" s="4"/>
      <c r="AL268" s="4"/>
      <c r="AM268" s="4"/>
      <c r="AN268" s="4"/>
      <c r="AO268" s="4"/>
      <c r="AP268" s="4"/>
      <c r="AQ268" s="4"/>
      <c r="AR268" s="4"/>
      <c r="AS268" s="4"/>
      <c r="AU268" s="4"/>
      <c r="AV268" s="4"/>
      <c r="AW268" s="4"/>
      <c r="AX268" s="4"/>
      <c r="AY268" s="4"/>
      <c r="AZ268" s="4"/>
      <c r="BA268" s="4"/>
      <c r="BB268" s="4"/>
      <c r="BC268" s="4"/>
      <c r="BD268" s="4"/>
      <c r="BE268" s="4"/>
    </row>
    <row r="269" spans="2:57" x14ac:dyDescent="0.3">
      <c r="B269" s="6" t="s">
        <v>292</v>
      </c>
      <c r="C269" s="6">
        <v>25</v>
      </c>
      <c r="D269" s="6" t="s">
        <v>17</v>
      </c>
      <c r="E269" s="6" t="s">
        <v>15</v>
      </c>
      <c r="F269" s="6" t="s">
        <v>29</v>
      </c>
      <c r="G269" s="19">
        <v>4000</v>
      </c>
      <c r="H269" s="11">
        <v>6</v>
      </c>
      <c r="I269" s="6">
        <v>1</v>
      </c>
      <c r="J269" s="6" t="s">
        <v>14</v>
      </c>
      <c r="K269" s="5" t="s">
        <v>14</v>
      </c>
      <c r="L269" s="3" t="str">
        <f>IF(Table1[[#This Row],[Monthly Income]]&lt;3000,"Low",IF(Table1[[#This Row],[Monthly Income]]&lt;7000,"Medium","High"))</f>
        <v>Medium</v>
      </c>
      <c r="AK269" s="6"/>
      <c r="AL269" s="6"/>
      <c r="AM269" s="6"/>
      <c r="AN269" s="6"/>
      <c r="AO269" s="6"/>
      <c r="AP269" s="6"/>
      <c r="AQ269" s="6"/>
      <c r="AR269" s="6"/>
      <c r="AS269" s="6"/>
      <c r="AU269" s="6"/>
      <c r="AV269" s="6"/>
      <c r="AW269" s="6"/>
      <c r="AX269" s="6"/>
      <c r="AY269" s="6"/>
      <c r="AZ269" s="6"/>
      <c r="BA269" s="6"/>
      <c r="BB269" s="6"/>
      <c r="BC269" s="6"/>
      <c r="BD269" s="6"/>
      <c r="BE269" s="6"/>
    </row>
    <row r="270" spans="2:57" x14ac:dyDescent="0.3">
      <c r="B270" s="4" t="s">
        <v>293</v>
      </c>
      <c r="C270" s="4">
        <v>45</v>
      </c>
      <c r="D270" s="4" t="s">
        <v>17</v>
      </c>
      <c r="E270" s="4" t="s">
        <v>15</v>
      </c>
      <c r="F270" s="4" t="s">
        <v>29</v>
      </c>
      <c r="G270" s="18">
        <v>13496</v>
      </c>
      <c r="H270" s="10">
        <v>20</v>
      </c>
      <c r="I270" s="4">
        <v>4</v>
      </c>
      <c r="J270" s="4" t="s">
        <v>9</v>
      </c>
      <c r="K270" s="3" t="s">
        <v>14</v>
      </c>
      <c r="L270" s="3" t="str">
        <f>IF(Table1[[#This Row],[Monthly Income]]&lt;3000,"Low",IF(Table1[[#This Row],[Monthly Income]]&lt;7000,"Medium","High"))</f>
        <v>High</v>
      </c>
      <c r="AK270" s="4"/>
      <c r="AL270" s="4"/>
      <c r="AM270" s="4"/>
      <c r="AN270" s="4"/>
      <c r="AO270" s="4"/>
      <c r="AP270" s="4"/>
      <c r="AQ270" s="4"/>
      <c r="AR270" s="4"/>
      <c r="AS270" s="4"/>
      <c r="AU270" s="4"/>
      <c r="AV270" s="4"/>
      <c r="AW270" s="4"/>
      <c r="AX270" s="4"/>
      <c r="AY270" s="4"/>
      <c r="AZ270" s="4"/>
      <c r="BA270" s="4"/>
      <c r="BB270" s="4"/>
      <c r="BC270" s="4"/>
      <c r="BD270" s="4"/>
      <c r="BE270" s="4"/>
    </row>
    <row r="271" spans="2:57" x14ac:dyDescent="0.3">
      <c r="B271" s="6" t="s">
        <v>294</v>
      </c>
      <c r="C271" s="6">
        <v>36</v>
      </c>
      <c r="D271" s="6" t="s">
        <v>17</v>
      </c>
      <c r="E271" s="6" t="s">
        <v>15</v>
      </c>
      <c r="F271" s="6" t="s">
        <v>20</v>
      </c>
      <c r="G271" s="19">
        <v>3210</v>
      </c>
      <c r="H271" s="11">
        <v>15</v>
      </c>
      <c r="I271" s="6">
        <v>4</v>
      </c>
      <c r="J271" s="6" t="s">
        <v>14</v>
      </c>
      <c r="K271" s="5" t="s">
        <v>14</v>
      </c>
      <c r="L271" s="3" t="str">
        <f>IF(Table1[[#This Row],[Monthly Income]]&lt;3000,"Low",IF(Table1[[#This Row],[Monthly Income]]&lt;7000,"Medium","High"))</f>
        <v>Medium</v>
      </c>
      <c r="AK271" s="6"/>
      <c r="AL271" s="6"/>
      <c r="AM271" s="6"/>
      <c r="AN271" s="6"/>
      <c r="AO271" s="6"/>
      <c r="AP271" s="6"/>
      <c r="AQ271" s="6"/>
      <c r="AR271" s="6"/>
      <c r="AS271" s="6"/>
      <c r="AU271" s="6"/>
      <c r="AV271" s="6"/>
      <c r="AW271" s="6"/>
      <c r="AX271" s="6"/>
      <c r="AY271" s="6"/>
      <c r="AZ271" s="6"/>
      <c r="BA271" s="6"/>
      <c r="BB271" s="6"/>
      <c r="BC271" s="6"/>
      <c r="BD271" s="6"/>
      <c r="BE271" s="6"/>
    </row>
    <row r="272" spans="2:57" x14ac:dyDescent="0.3">
      <c r="B272" s="4" t="s">
        <v>295</v>
      </c>
      <c r="C272" s="4">
        <v>55</v>
      </c>
      <c r="D272" s="4" t="s">
        <v>17</v>
      </c>
      <c r="E272" s="4" t="s">
        <v>15</v>
      </c>
      <c r="F272" s="4" t="s">
        <v>39</v>
      </c>
      <c r="G272" s="18">
        <v>19045</v>
      </c>
      <c r="H272" s="10">
        <v>36</v>
      </c>
      <c r="I272" s="4">
        <v>1</v>
      </c>
      <c r="J272" s="4" t="s">
        <v>9</v>
      </c>
      <c r="K272" s="3" t="s">
        <v>14</v>
      </c>
      <c r="L272" s="3" t="str">
        <f>IF(Table1[[#This Row],[Monthly Income]]&lt;3000,"Low",IF(Table1[[#This Row],[Monthly Income]]&lt;7000,"Medium","High"))</f>
        <v>High</v>
      </c>
      <c r="AK272" s="4"/>
      <c r="AL272" s="4"/>
      <c r="AM272" s="4"/>
      <c r="AN272" s="4"/>
      <c r="AO272" s="4"/>
      <c r="AP272" s="4"/>
      <c r="AQ272" s="4"/>
      <c r="AR272" s="4"/>
      <c r="AS272" s="4"/>
      <c r="AU272" s="4"/>
      <c r="AV272" s="4"/>
      <c r="AW272" s="4"/>
      <c r="AX272" s="4"/>
      <c r="AY272" s="4"/>
      <c r="AZ272" s="4"/>
      <c r="BA272" s="4"/>
      <c r="BB272" s="4"/>
      <c r="BC272" s="4"/>
      <c r="BD272" s="4"/>
      <c r="BE272" s="4"/>
    </row>
    <row r="273" spans="2:57" x14ac:dyDescent="0.3">
      <c r="B273" s="6" t="s">
        <v>296</v>
      </c>
      <c r="C273" s="6">
        <v>47</v>
      </c>
      <c r="D273" s="6" t="s">
        <v>17</v>
      </c>
      <c r="E273" s="6" t="s">
        <v>15</v>
      </c>
      <c r="F273" s="6" t="s">
        <v>39</v>
      </c>
      <c r="G273" s="19">
        <v>11849</v>
      </c>
      <c r="H273" s="11">
        <v>10</v>
      </c>
      <c r="I273" s="6">
        <v>2</v>
      </c>
      <c r="J273" s="6" t="s">
        <v>9</v>
      </c>
      <c r="K273" s="5" t="s">
        <v>9</v>
      </c>
      <c r="L273" s="3" t="str">
        <f>IF(Table1[[#This Row],[Monthly Income]]&lt;3000,"Low",IF(Table1[[#This Row],[Monthly Income]]&lt;7000,"Medium","High"))</f>
        <v>High</v>
      </c>
      <c r="AK273" s="6"/>
      <c r="AL273" s="6"/>
      <c r="AM273" s="6"/>
      <c r="AN273" s="6"/>
      <c r="AO273" s="6"/>
      <c r="AP273" s="6"/>
      <c r="AQ273" s="6"/>
      <c r="AR273" s="6"/>
      <c r="AS273" s="6"/>
      <c r="AU273" s="6"/>
      <c r="AV273" s="6"/>
      <c r="AW273" s="6"/>
      <c r="AX273" s="6"/>
      <c r="AY273" s="6"/>
      <c r="AZ273" s="6"/>
      <c r="BA273" s="6"/>
      <c r="BB273" s="6"/>
      <c r="BC273" s="6"/>
      <c r="BD273" s="6"/>
      <c r="BE273" s="6"/>
    </row>
    <row r="274" spans="2:57" x14ac:dyDescent="0.3">
      <c r="B274" s="4" t="s">
        <v>297</v>
      </c>
      <c r="C274" s="4">
        <v>28</v>
      </c>
      <c r="D274" s="4" t="s">
        <v>17</v>
      </c>
      <c r="E274" s="4" t="s">
        <v>15</v>
      </c>
      <c r="F274" s="4" t="s">
        <v>18</v>
      </c>
      <c r="G274" s="18">
        <v>2070</v>
      </c>
      <c r="H274" s="10">
        <v>5</v>
      </c>
      <c r="I274" s="4">
        <v>4</v>
      </c>
      <c r="J274" s="4" t="s">
        <v>14</v>
      </c>
      <c r="K274" s="3" t="s">
        <v>14</v>
      </c>
      <c r="L274" s="3" t="str">
        <f>IF(Table1[[#This Row],[Monthly Income]]&lt;3000,"Low",IF(Table1[[#This Row],[Monthly Income]]&lt;7000,"Medium","High"))</f>
        <v>Low</v>
      </c>
      <c r="AK274" s="4"/>
      <c r="AL274" s="4"/>
      <c r="AM274" s="4"/>
      <c r="AN274" s="4"/>
      <c r="AO274" s="4"/>
      <c r="AP274" s="4"/>
      <c r="AQ274" s="4"/>
      <c r="AR274" s="4"/>
      <c r="AS274" s="4"/>
      <c r="AU274" s="4"/>
      <c r="AV274" s="4"/>
      <c r="AW274" s="4"/>
      <c r="AX274" s="4"/>
      <c r="AY274" s="4"/>
      <c r="AZ274" s="4"/>
      <c r="BA274" s="4"/>
      <c r="BB274" s="4"/>
      <c r="BC274" s="4"/>
      <c r="BD274" s="4"/>
      <c r="BE274" s="4"/>
    </row>
    <row r="275" spans="2:57" x14ac:dyDescent="0.3">
      <c r="B275" s="6" t="s">
        <v>298</v>
      </c>
      <c r="C275" s="6">
        <v>37</v>
      </c>
      <c r="D275" s="6" t="s">
        <v>17</v>
      </c>
      <c r="E275" s="6" t="s">
        <v>10</v>
      </c>
      <c r="F275" s="6" t="s">
        <v>13</v>
      </c>
      <c r="G275" s="19">
        <v>6502</v>
      </c>
      <c r="H275" s="11">
        <v>5</v>
      </c>
      <c r="I275" s="6">
        <v>4</v>
      </c>
      <c r="J275" s="6" t="s">
        <v>14</v>
      </c>
      <c r="K275" s="5" t="s">
        <v>14</v>
      </c>
      <c r="L275" s="3" t="str">
        <f>IF(Table1[[#This Row],[Monthly Income]]&lt;3000,"Low",IF(Table1[[#This Row],[Monthly Income]]&lt;7000,"Medium","High"))</f>
        <v>Medium</v>
      </c>
      <c r="AK275" s="6"/>
      <c r="AL275" s="6"/>
      <c r="AM275" s="6"/>
      <c r="AN275" s="6"/>
      <c r="AO275" s="6"/>
      <c r="AP275" s="6"/>
      <c r="AQ275" s="6"/>
      <c r="AR275" s="6"/>
      <c r="AS275" s="6"/>
      <c r="AU275" s="6"/>
      <c r="AV275" s="6"/>
      <c r="AW275" s="6"/>
      <c r="AX275" s="6"/>
      <c r="AY275" s="6"/>
      <c r="AZ275" s="6"/>
      <c r="BA275" s="6"/>
      <c r="BB275" s="6"/>
      <c r="BC275" s="6"/>
      <c r="BD275" s="6"/>
      <c r="BE275" s="6"/>
    </row>
    <row r="276" spans="2:57" x14ac:dyDescent="0.3">
      <c r="B276" s="4" t="s">
        <v>299</v>
      </c>
      <c r="C276" s="4">
        <v>21</v>
      </c>
      <c r="D276" s="4" t="s">
        <v>17</v>
      </c>
      <c r="E276" s="4" t="s">
        <v>15</v>
      </c>
      <c r="F276" s="4" t="s">
        <v>18</v>
      </c>
      <c r="G276" s="18">
        <v>3230</v>
      </c>
      <c r="H276" s="10">
        <v>3</v>
      </c>
      <c r="I276" s="4">
        <v>3</v>
      </c>
      <c r="J276" s="4" t="s">
        <v>14</v>
      </c>
      <c r="K276" s="3" t="s">
        <v>14</v>
      </c>
      <c r="L276" s="3" t="str">
        <f>IF(Table1[[#This Row],[Monthly Income]]&lt;3000,"Low",IF(Table1[[#This Row],[Monthly Income]]&lt;7000,"Medium","High"))</f>
        <v>Medium</v>
      </c>
      <c r="AK276" s="4"/>
      <c r="AL276" s="4"/>
      <c r="AM276" s="4"/>
      <c r="AN276" s="4"/>
      <c r="AO276" s="4"/>
      <c r="AP276" s="4"/>
      <c r="AQ276" s="4"/>
      <c r="AR276" s="4"/>
      <c r="AS276" s="4"/>
      <c r="AU276" s="4"/>
      <c r="AV276" s="4"/>
      <c r="AW276" s="4"/>
      <c r="AX276" s="4"/>
      <c r="AY276" s="4"/>
      <c r="AZ276" s="4"/>
      <c r="BA276" s="4"/>
      <c r="BB276" s="4"/>
      <c r="BC276" s="4"/>
      <c r="BD276" s="4"/>
      <c r="BE276" s="4"/>
    </row>
    <row r="277" spans="2:57" x14ac:dyDescent="0.3">
      <c r="B277" s="6" t="s">
        <v>300</v>
      </c>
      <c r="C277" s="6">
        <v>37</v>
      </c>
      <c r="D277" s="6" t="s">
        <v>12</v>
      </c>
      <c r="E277" s="6" t="s">
        <v>15</v>
      </c>
      <c r="F277" s="6" t="s">
        <v>45</v>
      </c>
      <c r="G277" s="19">
        <v>13603</v>
      </c>
      <c r="H277" s="11">
        <v>5</v>
      </c>
      <c r="I277" s="6">
        <v>4</v>
      </c>
      <c r="J277" s="6" t="s">
        <v>9</v>
      </c>
      <c r="K277" s="5" t="s">
        <v>14</v>
      </c>
      <c r="L277" s="3" t="str">
        <f>IF(Table1[[#This Row],[Monthly Income]]&lt;3000,"Low",IF(Table1[[#This Row],[Monthly Income]]&lt;7000,"Medium","High"))</f>
        <v>High</v>
      </c>
      <c r="AK277" s="6"/>
      <c r="AL277" s="6"/>
      <c r="AM277" s="6"/>
      <c r="AN277" s="6"/>
      <c r="AO277" s="6"/>
      <c r="AP277" s="6"/>
      <c r="AQ277" s="6"/>
      <c r="AR277" s="6"/>
      <c r="AS277" s="6"/>
      <c r="AU277" s="6"/>
      <c r="AV277" s="6"/>
      <c r="AW277" s="6"/>
      <c r="AX277" s="6"/>
      <c r="AY277" s="6"/>
      <c r="AZ277" s="6"/>
      <c r="BA277" s="6"/>
      <c r="BB277" s="6"/>
      <c r="BC277" s="6"/>
      <c r="BD277" s="6"/>
      <c r="BE277" s="6"/>
    </row>
    <row r="278" spans="2:57" x14ac:dyDescent="0.3">
      <c r="B278" s="4" t="s">
        <v>301</v>
      </c>
      <c r="C278" s="4">
        <v>35</v>
      </c>
      <c r="D278" s="4" t="s">
        <v>12</v>
      </c>
      <c r="E278" s="4" t="s">
        <v>15</v>
      </c>
      <c r="F278" s="4" t="s">
        <v>39</v>
      </c>
      <c r="G278" s="18">
        <v>11996</v>
      </c>
      <c r="H278" s="10">
        <v>7</v>
      </c>
      <c r="I278" s="4">
        <v>2</v>
      </c>
      <c r="J278" s="4" t="s">
        <v>14</v>
      </c>
      <c r="K278" s="3" t="s">
        <v>14</v>
      </c>
      <c r="L278" s="3" t="str">
        <f>IF(Table1[[#This Row],[Monthly Income]]&lt;3000,"Low",IF(Table1[[#This Row],[Monthly Income]]&lt;7000,"Medium","High"))</f>
        <v>High</v>
      </c>
      <c r="AK278" s="4"/>
      <c r="AL278" s="4"/>
      <c r="AM278" s="4"/>
      <c r="AN278" s="4"/>
      <c r="AO278" s="4"/>
      <c r="AP278" s="4"/>
      <c r="AQ278" s="4"/>
      <c r="AR278" s="4"/>
      <c r="AS278" s="4"/>
      <c r="AU278" s="4"/>
      <c r="AV278" s="4"/>
      <c r="AW278" s="4"/>
      <c r="AX278" s="4"/>
      <c r="AY278" s="4"/>
      <c r="AZ278" s="4"/>
      <c r="BA278" s="4"/>
      <c r="BB278" s="4"/>
      <c r="BC278" s="4"/>
      <c r="BD278" s="4"/>
      <c r="BE278" s="4"/>
    </row>
    <row r="279" spans="2:57" x14ac:dyDescent="0.3">
      <c r="B279" s="6" t="s">
        <v>302</v>
      </c>
      <c r="C279" s="6">
        <v>38</v>
      </c>
      <c r="D279" s="6" t="s">
        <v>12</v>
      </c>
      <c r="E279" s="6" t="s">
        <v>10</v>
      </c>
      <c r="F279" s="6" t="s">
        <v>13</v>
      </c>
      <c r="G279" s="19">
        <v>5605</v>
      </c>
      <c r="H279" s="11">
        <v>8</v>
      </c>
      <c r="I279" s="6">
        <v>1</v>
      </c>
      <c r="J279" s="6" t="s">
        <v>9</v>
      </c>
      <c r="K279" s="5" t="s">
        <v>14</v>
      </c>
      <c r="L279" s="3" t="str">
        <f>IF(Table1[[#This Row],[Monthly Income]]&lt;3000,"Low",IF(Table1[[#This Row],[Monthly Income]]&lt;7000,"Medium","High"))</f>
        <v>Medium</v>
      </c>
      <c r="AK279" s="6"/>
      <c r="AL279" s="6"/>
      <c r="AM279" s="6"/>
      <c r="AN279" s="6"/>
      <c r="AO279" s="6"/>
      <c r="AP279" s="6"/>
      <c r="AQ279" s="6"/>
      <c r="AR279" s="6"/>
      <c r="AS279" s="6"/>
      <c r="AU279" s="6"/>
      <c r="AV279" s="6"/>
      <c r="AW279" s="6"/>
      <c r="AX279" s="6"/>
      <c r="AY279" s="6"/>
      <c r="AZ279" s="6"/>
      <c r="BA279" s="6"/>
      <c r="BB279" s="6"/>
      <c r="BC279" s="6"/>
      <c r="BD279" s="6"/>
      <c r="BE279" s="6"/>
    </row>
    <row r="280" spans="2:57" x14ac:dyDescent="0.3">
      <c r="B280" s="4" t="s">
        <v>303</v>
      </c>
      <c r="C280" s="4">
        <v>26</v>
      </c>
      <c r="D280" s="4" t="s">
        <v>12</v>
      </c>
      <c r="E280" s="4" t="s">
        <v>15</v>
      </c>
      <c r="F280" s="4" t="s">
        <v>27</v>
      </c>
      <c r="G280" s="18">
        <v>6397</v>
      </c>
      <c r="H280" s="10">
        <v>6</v>
      </c>
      <c r="I280" s="4">
        <v>2</v>
      </c>
      <c r="J280" s="4" t="s">
        <v>14</v>
      </c>
      <c r="K280" s="3" t="s">
        <v>14</v>
      </c>
      <c r="L280" s="3" t="str">
        <f>IF(Table1[[#This Row],[Monthly Income]]&lt;3000,"Low",IF(Table1[[#This Row],[Monthly Income]]&lt;7000,"Medium","High"))</f>
        <v>Medium</v>
      </c>
      <c r="AK280" s="4"/>
      <c r="AL280" s="4"/>
      <c r="AM280" s="4"/>
      <c r="AN280" s="4"/>
      <c r="AO280" s="4"/>
      <c r="AP280" s="4"/>
      <c r="AQ280" s="4"/>
      <c r="AR280" s="4"/>
      <c r="AS280" s="4"/>
      <c r="AU280" s="4"/>
      <c r="AV280" s="4"/>
      <c r="AW280" s="4"/>
      <c r="AX280" s="4"/>
      <c r="AY280" s="4"/>
      <c r="AZ280" s="4"/>
      <c r="BA280" s="4"/>
      <c r="BB280" s="4"/>
      <c r="BC280" s="4"/>
      <c r="BD280" s="4"/>
      <c r="BE280" s="4"/>
    </row>
    <row r="281" spans="2:57" x14ac:dyDescent="0.3">
      <c r="B281" s="6" t="s">
        <v>304</v>
      </c>
      <c r="C281" s="6">
        <v>50</v>
      </c>
      <c r="D281" s="6" t="s">
        <v>17</v>
      </c>
      <c r="E281" s="6" t="s">
        <v>15</v>
      </c>
      <c r="F281" s="6" t="s">
        <v>45</v>
      </c>
      <c r="G281" s="19">
        <v>19144</v>
      </c>
      <c r="H281" s="11">
        <v>10</v>
      </c>
      <c r="I281" s="6">
        <v>2</v>
      </c>
      <c r="J281" s="6" t="s">
        <v>14</v>
      </c>
      <c r="K281" s="5" t="s">
        <v>14</v>
      </c>
      <c r="L281" s="3" t="str">
        <f>IF(Table1[[#This Row],[Monthly Income]]&lt;3000,"Low",IF(Table1[[#This Row],[Monthly Income]]&lt;7000,"Medium","High"))</f>
        <v>High</v>
      </c>
      <c r="AK281" s="6"/>
      <c r="AL281" s="6"/>
      <c r="AM281" s="6"/>
      <c r="AN281" s="6"/>
      <c r="AO281" s="6"/>
      <c r="AP281" s="6"/>
      <c r="AQ281" s="6"/>
      <c r="AR281" s="6"/>
      <c r="AS281" s="6"/>
      <c r="AU281" s="6"/>
      <c r="AV281" s="6"/>
      <c r="AW281" s="6"/>
      <c r="AX281" s="6"/>
      <c r="AY281" s="6"/>
      <c r="AZ281" s="6"/>
      <c r="BA281" s="6"/>
      <c r="BB281" s="6"/>
      <c r="BC281" s="6"/>
      <c r="BD281" s="6"/>
      <c r="BE281" s="6"/>
    </row>
    <row r="282" spans="2:57" x14ac:dyDescent="0.3">
      <c r="B282" s="4" t="s">
        <v>305</v>
      </c>
      <c r="C282" s="4">
        <v>53</v>
      </c>
      <c r="D282" s="4" t="s">
        <v>17</v>
      </c>
      <c r="E282" s="4" t="s">
        <v>15</v>
      </c>
      <c r="F282" s="4" t="s">
        <v>45</v>
      </c>
      <c r="G282" s="18">
        <v>17584</v>
      </c>
      <c r="H282" s="10">
        <v>5</v>
      </c>
      <c r="I282" s="4">
        <v>3</v>
      </c>
      <c r="J282" s="4" t="s">
        <v>9</v>
      </c>
      <c r="K282" s="3" t="s">
        <v>14</v>
      </c>
      <c r="L282" s="3" t="str">
        <f>IF(Table1[[#This Row],[Monthly Income]]&lt;3000,"Low",IF(Table1[[#This Row],[Monthly Income]]&lt;7000,"Medium","High"))</f>
        <v>High</v>
      </c>
      <c r="AK282" s="4"/>
      <c r="AL282" s="4"/>
      <c r="AM282" s="4"/>
      <c r="AN282" s="4"/>
      <c r="AO282" s="4"/>
      <c r="AP282" s="4"/>
      <c r="AQ282" s="4"/>
      <c r="AR282" s="4"/>
      <c r="AS282" s="4"/>
      <c r="AU282" s="4"/>
      <c r="AV282" s="4"/>
      <c r="AW282" s="4"/>
      <c r="AX282" s="4"/>
      <c r="AY282" s="4"/>
      <c r="AZ282" s="4"/>
      <c r="BA282" s="4"/>
      <c r="BB282" s="4"/>
      <c r="BC282" s="4"/>
      <c r="BD282" s="4"/>
      <c r="BE282" s="4"/>
    </row>
    <row r="283" spans="2:57" x14ac:dyDescent="0.3">
      <c r="B283" s="6" t="s">
        <v>306</v>
      </c>
      <c r="C283" s="6">
        <v>42</v>
      </c>
      <c r="D283" s="6" t="s">
        <v>17</v>
      </c>
      <c r="E283" s="6" t="s">
        <v>10</v>
      </c>
      <c r="F283" s="6" t="s">
        <v>13</v>
      </c>
      <c r="G283" s="19">
        <v>4907</v>
      </c>
      <c r="H283" s="11">
        <v>20</v>
      </c>
      <c r="I283" s="6">
        <v>3</v>
      </c>
      <c r="J283" s="6" t="s">
        <v>14</v>
      </c>
      <c r="K283" s="5" t="s">
        <v>14</v>
      </c>
      <c r="L283" s="3" t="str">
        <f>IF(Table1[[#This Row],[Monthly Income]]&lt;3000,"Low",IF(Table1[[#This Row],[Monthly Income]]&lt;7000,"Medium","High"))</f>
        <v>Medium</v>
      </c>
      <c r="AK283" s="6"/>
      <c r="AL283" s="6"/>
      <c r="AM283" s="6"/>
      <c r="AN283" s="6"/>
      <c r="AO283" s="6"/>
      <c r="AP283" s="6"/>
      <c r="AQ283" s="6"/>
      <c r="AR283" s="6"/>
      <c r="AS283" s="6"/>
      <c r="AU283" s="6"/>
      <c r="AV283" s="6"/>
      <c r="AW283" s="6"/>
      <c r="AX283" s="6"/>
      <c r="AY283" s="6"/>
      <c r="AZ283" s="6"/>
      <c r="BA283" s="6"/>
      <c r="BB283" s="6"/>
      <c r="BC283" s="6"/>
      <c r="BD283" s="6"/>
      <c r="BE283" s="6"/>
    </row>
    <row r="284" spans="2:57" x14ac:dyDescent="0.3">
      <c r="B284" s="4" t="s">
        <v>307</v>
      </c>
      <c r="C284" s="4">
        <v>29</v>
      </c>
      <c r="D284" s="4" t="s">
        <v>17</v>
      </c>
      <c r="E284" s="4" t="s">
        <v>10</v>
      </c>
      <c r="F284" s="4" t="s">
        <v>13</v>
      </c>
      <c r="G284" s="18">
        <v>4554</v>
      </c>
      <c r="H284" s="10">
        <v>10</v>
      </c>
      <c r="I284" s="4">
        <v>4</v>
      </c>
      <c r="J284" s="4" t="s">
        <v>14</v>
      </c>
      <c r="K284" s="3" t="s">
        <v>14</v>
      </c>
      <c r="L284" s="3" t="str">
        <f>IF(Table1[[#This Row],[Monthly Income]]&lt;3000,"Low",IF(Table1[[#This Row],[Monthly Income]]&lt;7000,"Medium","High"))</f>
        <v>Medium</v>
      </c>
      <c r="AK284" s="4"/>
      <c r="AL284" s="4"/>
      <c r="AM284" s="4"/>
      <c r="AN284" s="4"/>
      <c r="AO284" s="4"/>
      <c r="AP284" s="4"/>
      <c r="AQ284" s="4"/>
      <c r="AR284" s="4"/>
      <c r="AS284" s="4"/>
      <c r="AU284" s="4"/>
      <c r="AV284" s="4"/>
      <c r="AW284" s="4"/>
      <c r="AX284" s="4"/>
      <c r="AY284" s="4"/>
      <c r="AZ284" s="4"/>
      <c r="BA284" s="4"/>
      <c r="BB284" s="4"/>
      <c r="BC284" s="4"/>
      <c r="BD284" s="4"/>
      <c r="BE284" s="4"/>
    </row>
    <row r="285" spans="2:57" x14ac:dyDescent="0.3">
      <c r="B285" s="6" t="s">
        <v>308</v>
      </c>
      <c r="C285" s="6">
        <v>55</v>
      </c>
      <c r="D285" s="6" t="s">
        <v>17</v>
      </c>
      <c r="E285" s="6" t="s">
        <v>15</v>
      </c>
      <c r="F285" s="6" t="s">
        <v>20</v>
      </c>
      <c r="G285" s="19">
        <v>5415</v>
      </c>
      <c r="H285" s="11">
        <v>10</v>
      </c>
      <c r="I285" s="6">
        <v>4</v>
      </c>
      <c r="J285" s="6" t="s">
        <v>9</v>
      </c>
      <c r="K285" s="5" t="s">
        <v>14</v>
      </c>
      <c r="L285" s="3" t="str">
        <f>IF(Table1[[#This Row],[Monthly Income]]&lt;3000,"Low",IF(Table1[[#This Row],[Monthly Income]]&lt;7000,"Medium","High"))</f>
        <v>Medium</v>
      </c>
      <c r="AK285" s="6"/>
      <c r="AL285" s="6"/>
      <c r="AM285" s="6"/>
      <c r="AN285" s="6"/>
      <c r="AO285" s="6"/>
      <c r="AP285" s="6"/>
      <c r="AQ285" s="6"/>
      <c r="AR285" s="6"/>
      <c r="AS285" s="6"/>
      <c r="AU285" s="6"/>
      <c r="AV285" s="6"/>
      <c r="AW285" s="6"/>
      <c r="AX285" s="6"/>
      <c r="AY285" s="6"/>
      <c r="AZ285" s="6"/>
      <c r="BA285" s="6"/>
      <c r="BB285" s="6"/>
      <c r="BC285" s="6"/>
      <c r="BD285" s="6"/>
      <c r="BE285" s="6"/>
    </row>
    <row r="286" spans="2:57" x14ac:dyDescent="0.3">
      <c r="B286" s="4" t="s">
        <v>309</v>
      </c>
      <c r="C286" s="4">
        <v>26</v>
      </c>
      <c r="D286" s="4" t="s">
        <v>17</v>
      </c>
      <c r="E286" s="4" t="s">
        <v>15</v>
      </c>
      <c r="F286" s="4" t="s">
        <v>29</v>
      </c>
      <c r="G286" s="18">
        <v>4741</v>
      </c>
      <c r="H286" s="10">
        <v>5</v>
      </c>
      <c r="I286" s="4">
        <v>1</v>
      </c>
      <c r="J286" s="4" t="s">
        <v>9</v>
      </c>
      <c r="K286" s="3" t="s">
        <v>14</v>
      </c>
      <c r="L286" s="3" t="str">
        <f>IF(Table1[[#This Row],[Monthly Income]]&lt;3000,"Low",IF(Table1[[#This Row],[Monthly Income]]&lt;7000,"Medium","High"))</f>
        <v>Medium</v>
      </c>
      <c r="AK286" s="4"/>
      <c r="AL286" s="4"/>
      <c r="AM286" s="4"/>
      <c r="AN286" s="4"/>
      <c r="AO286" s="4"/>
      <c r="AP286" s="4"/>
      <c r="AQ286" s="4"/>
      <c r="AR286" s="4"/>
      <c r="AS286" s="4"/>
      <c r="AU286" s="4"/>
      <c r="AV286" s="4"/>
      <c r="AW286" s="4"/>
      <c r="AX286" s="4"/>
      <c r="AY286" s="4"/>
      <c r="AZ286" s="4"/>
      <c r="BA286" s="4"/>
      <c r="BB286" s="4"/>
      <c r="BC286" s="4"/>
      <c r="BD286" s="4"/>
      <c r="BE286" s="4"/>
    </row>
    <row r="287" spans="2:57" x14ac:dyDescent="0.3">
      <c r="B287" s="6" t="s">
        <v>310</v>
      </c>
      <c r="C287" s="6">
        <v>37</v>
      </c>
      <c r="D287" s="6" t="s">
        <v>12</v>
      </c>
      <c r="E287" s="6" t="s">
        <v>15</v>
      </c>
      <c r="F287" s="6" t="s">
        <v>18</v>
      </c>
      <c r="G287" s="19">
        <v>2115</v>
      </c>
      <c r="H287" s="11">
        <v>17</v>
      </c>
      <c r="I287" s="6">
        <v>4</v>
      </c>
      <c r="J287" s="6" t="s">
        <v>14</v>
      </c>
      <c r="K287" s="5" t="s">
        <v>14</v>
      </c>
      <c r="L287" s="3" t="str">
        <f>IF(Table1[[#This Row],[Monthly Income]]&lt;3000,"Low",IF(Table1[[#This Row],[Monthly Income]]&lt;7000,"Medium","High"))</f>
        <v>Low</v>
      </c>
      <c r="AK287" s="6"/>
      <c r="AL287" s="6"/>
      <c r="AM287" s="6"/>
      <c r="AN287" s="6"/>
      <c r="AO287" s="6"/>
      <c r="AP287" s="6"/>
      <c r="AQ287" s="6"/>
      <c r="AR287" s="6"/>
      <c r="AS287" s="6"/>
      <c r="AU287" s="6"/>
      <c r="AV287" s="6"/>
      <c r="AW287" s="6"/>
      <c r="AX287" s="6"/>
      <c r="AY287" s="6"/>
      <c r="AZ287" s="6"/>
      <c r="BA287" s="6"/>
      <c r="BB287" s="6"/>
      <c r="BC287" s="6"/>
      <c r="BD287" s="6"/>
      <c r="BE287" s="6"/>
    </row>
    <row r="288" spans="2:57" x14ac:dyDescent="0.3">
      <c r="B288" s="4" t="s">
        <v>311</v>
      </c>
      <c r="C288" s="4">
        <v>44</v>
      </c>
      <c r="D288" s="4" t="s">
        <v>17</v>
      </c>
      <c r="E288" s="4" t="s">
        <v>15</v>
      </c>
      <c r="F288" s="4" t="s">
        <v>20</v>
      </c>
      <c r="G288" s="18">
        <v>3161</v>
      </c>
      <c r="H288" s="10">
        <v>1</v>
      </c>
      <c r="I288" s="4">
        <v>3</v>
      </c>
      <c r="J288" s="4" t="s">
        <v>9</v>
      </c>
      <c r="K288" s="3" t="s">
        <v>9</v>
      </c>
      <c r="L288" s="3" t="str">
        <f>IF(Table1[[#This Row],[Monthly Income]]&lt;3000,"Low",IF(Table1[[#This Row],[Monthly Income]]&lt;7000,"Medium","High"))</f>
        <v>Medium</v>
      </c>
      <c r="AK288" s="4"/>
      <c r="AL288" s="4"/>
      <c r="AM288" s="4"/>
      <c r="AN288" s="4"/>
      <c r="AO288" s="4"/>
      <c r="AP288" s="4"/>
      <c r="AQ288" s="4"/>
      <c r="AR288" s="4"/>
      <c r="AS288" s="4"/>
      <c r="AU288" s="4"/>
      <c r="AV288" s="4"/>
      <c r="AW288" s="4"/>
      <c r="AX288" s="4"/>
      <c r="AY288" s="4"/>
      <c r="AZ288" s="4"/>
      <c r="BA288" s="4"/>
      <c r="BB288" s="4"/>
      <c r="BC288" s="4"/>
      <c r="BD288" s="4"/>
      <c r="BE288" s="4"/>
    </row>
    <row r="289" spans="2:57" x14ac:dyDescent="0.3">
      <c r="B289" s="6" t="s">
        <v>312</v>
      </c>
      <c r="C289" s="6">
        <v>38</v>
      </c>
      <c r="D289" s="6" t="s">
        <v>17</v>
      </c>
      <c r="E289" s="6" t="s">
        <v>15</v>
      </c>
      <c r="F289" s="6" t="s">
        <v>29</v>
      </c>
      <c r="G289" s="19">
        <v>5745</v>
      </c>
      <c r="H289" s="11">
        <v>2</v>
      </c>
      <c r="I289" s="6">
        <v>4</v>
      </c>
      <c r="J289" s="6" t="s">
        <v>14</v>
      </c>
      <c r="K289" s="5" t="s">
        <v>14</v>
      </c>
      <c r="L289" s="3" t="str">
        <f>IF(Table1[[#This Row],[Monthly Income]]&lt;3000,"Low",IF(Table1[[#This Row],[Monthly Income]]&lt;7000,"Medium","High"))</f>
        <v>Medium</v>
      </c>
      <c r="AK289" s="6"/>
      <c r="AL289" s="6"/>
      <c r="AM289" s="6"/>
      <c r="AN289" s="6"/>
      <c r="AO289" s="6"/>
      <c r="AP289" s="6"/>
      <c r="AQ289" s="6"/>
      <c r="AR289" s="6"/>
      <c r="AS289" s="6"/>
      <c r="AU289" s="6"/>
      <c r="AV289" s="6"/>
      <c r="AW289" s="6"/>
      <c r="AX289" s="6"/>
      <c r="AY289" s="6"/>
      <c r="AZ289" s="6"/>
      <c r="BA289" s="6"/>
      <c r="BB289" s="6"/>
      <c r="BC289" s="6"/>
      <c r="BD289" s="6"/>
      <c r="BE289" s="6"/>
    </row>
    <row r="290" spans="2:57" x14ac:dyDescent="0.3">
      <c r="B290" s="4" t="s">
        <v>313</v>
      </c>
      <c r="C290" s="4">
        <v>26</v>
      </c>
      <c r="D290" s="4" t="s">
        <v>17</v>
      </c>
      <c r="E290" s="4" t="s">
        <v>15</v>
      </c>
      <c r="F290" s="4" t="s">
        <v>20</v>
      </c>
      <c r="G290" s="18">
        <v>2373</v>
      </c>
      <c r="H290" s="10">
        <v>3</v>
      </c>
      <c r="I290" s="4">
        <v>2</v>
      </c>
      <c r="J290" s="4" t="s">
        <v>9</v>
      </c>
      <c r="K290" s="3" t="s">
        <v>9</v>
      </c>
      <c r="L290" s="3" t="str">
        <f>IF(Table1[[#This Row],[Monthly Income]]&lt;3000,"Low",IF(Table1[[#This Row],[Monthly Income]]&lt;7000,"Medium","High"))</f>
        <v>Low</v>
      </c>
      <c r="AK290" s="4"/>
      <c r="AL290" s="4"/>
      <c r="AM290" s="4"/>
      <c r="AN290" s="4"/>
      <c r="AO290" s="4"/>
      <c r="AP290" s="4"/>
      <c r="AQ290" s="4"/>
      <c r="AR290" s="4"/>
      <c r="AS290" s="4"/>
      <c r="AU290" s="4"/>
      <c r="AV290" s="4"/>
      <c r="AW290" s="4"/>
      <c r="AX290" s="4"/>
      <c r="AY290" s="4"/>
      <c r="AZ290" s="4"/>
      <c r="BA290" s="4"/>
      <c r="BB290" s="4"/>
      <c r="BC290" s="4"/>
      <c r="BD290" s="4"/>
      <c r="BE290" s="4"/>
    </row>
    <row r="291" spans="2:57" x14ac:dyDescent="0.3">
      <c r="B291" s="6" t="s">
        <v>314</v>
      </c>
      <c r="C291" s="6">
        <v>28</v>
      </c>
      <c r="D291" s="6" t="s">
        <v>12</v>
      </c>
      <c r="E291" s="6" t="s">
        <v>15</v>
      </c>
      <c r="F291" s="6" t="s">
        <v>18</v>
      </c>
      <c r="G291" s="19">
        <v>3310</v>
      </c>
      <c r="H291" s="11">
        <v>5</v>
      </c>
      <c r="I291" s="6">
        <v>4</v>
      </c>
      <c r="J291" s="6" t="s">
        <v>14</v>
      </c>
      <c r="K291" s="5" t="s">
        <v>14</v>
      </c>
      <c r="L291" s="3" t="str">
        <f>IF(Table1[[#This Row],[Monthly Income]]&lt;3000,"Low",IF(Table1[[#This Row],[Monthly Income]]&lt;7000,"Medium","High"))</f>
        <v>Medium</v>
      </c>
      <c r="AK291" s="6"/>
      <c r="AL291" s="6"/>
      <c r="AM291" s="6"/>
      <c r="AN291" s="6"/>
      <c r="AO291" s="6"/>
      <c r="AP291" s="6"/>
      <c r="AQ291" s="6"/>
      <c r="AR291" s="6"/>
      <c r="AS291" s="6"/>
      <c r="AU291" s="6"/>
      <c r="AV291" s="6"/>
      <c r="AW291" s="6"/>
      <c r="AX291" s="6"/>
      <c r="AY291" s="6"/>
      <c r="AZ291" s="6"/>
      <c r="BA291" s="6"/>
      <c r="BB291" s="6"/>
      <c r="BC291" s="6"/>
      <c r="BD291" s="6"/>
      <c r="BE291" s="6"/>
    </row>
    <row r="292" spans="2:57" x14ac:dyDescent="0.3">
      <c r="B292" s="4" t="s">
        <v>315</v>
      </c>
      <c r="C292" s="4">
        <v>49</v>
      </c>
      <c r="D292" s="4" t="s">
        <v>12</v>
      </c>
      <c r="E292" s="4" t="s">
        <v>15</v>
      </c>
      <c r="F292" s="4" t="s">
        <v>45</v>
      </c>
      <c r="G292" s="18">
        <v>18665</v>
      </c>
      <c r="H292" s="10">
        <v>3</v>
      </c>
      <c r="I292" s="4">
        <v>1</v>
      </c>
      <c r="J292" s="4" t="s">
        <v>9</v>
      </c>
      <c r="K292" s="3" t="s">
        <v>14</v>
      </c>
      <c r="L292" s="3" t="str">
        <f>IF(Table1[[#This Row],[Monthly Income]]&lt;3000,"Low",IF(Table1[[#This Row],[Monthly Income]]&lt;7000,"Medium","High"))</f>
        <v>High</v>
      </c>
      <c r="AK292" s="4"/>
      <c r="AL292" s="4"/>
      <c r="AM292" s="4"/>
      <c r="AN292" s="4"/>
      <c r="AO292" s="4"/>
      <c r="AP292" s="4"/>
      <c r="AQ292" s="4"/>
      <c r="AR292" s="4"/>
      <c r="AS292" s="4"/>
      <c r="AU292" s="4"/>
      <c r="AV292" s="4"/>
      <c r="AW292" s="4"/>
      <c r="AX292" s="4"/>
      <c r="AY292" s="4"/>
      <c r="AZ292" s="4"/>
      <c r="BA292" s="4"/>
      <c r="BB292" s="4"/>
      <c r="BC292" s="4"/>
      <c r="BD292" s="4"/>
      <c r="BE292" s="4"/>
    </row>
    <row r="293" spans="2:57" x14ac:dyDescent="0.3">
      <c r="B293" s="6" t="s">
        <v>316</v>
      </c>
      <c r="C293" s="6">
        <v>36</v>
      </c>
      <c r="D293" s="6" t="s">
        <v>17</v>
      </c>
      <c r="E293" s="6" t="s">
        <v>15</v>
      </c>
      <c r="F293" s="6" t="s">
        <v>18</v>
      </c>
      <c r="G293" s="19">
        <v>4485</v>
      </c>
      <c r="H293" s="11">
        <v>8</v>
      </c>
      <c r="I293" s="6">
        <v>2</v>
      </c>
      <c r="J293" s="6" t="s">
        <v>14</v>
      </c>
      <c r="K293" s="5" t="s">
        <v>14</v>
      </c>
      <c r="L293" s="3" t="str">
        <f>IF(Table1[[#This Row],[Monthly Income]]&lt;3000,"Low",IF(Table1[[#This Row],[Monthly Income]]&lt;7000,"Medium","High"))</f>
        <v>Medium</v>
      </c>
      <c r="AK293" s="6"/>
      <c r="AL293" s="6"/>
      <c r="AM293" s="6"/>
      <c r="AN293" s="6"/>
      <c r="AO293" s="6"/>
      <c r="AP293" s="6"/>
      <c r="AQ293" s="6"/>
      <c r="AR293" s="6"/>
      <c r="AS293" s="6"/>
      <c r="AU293" s="6"/>
      <c r="AV293" s="6"/>
      <c r="AW293" s="6"/>
      <c r="AX293" s="6"/>
      <c r="AY293" s="6"/>
      <c r="AZ293" s="6"/>
      <c r="BA293" s="6"/>
      <c r="BB293" s="6"/>
      <c r="BC293" s="6"/>
      <c r="BD293" s="6"/>
      <c r="BE293" s="6"/>
    </row>
    <row r="294" spans="2:57" x14ac:dyDescent="0.3">
      <c r="B294" s="4" t="s">
        <v>317</v>
      </c>
      <c r="C294" s="4">
        <v>31</v>
      </c>
      <c r="D294" s="4" t="s">
        <v>12</v>
      </c>
      <c r="E294" s="4" t="s">
        <v>10</v>
      </c>
      <c r="F294" s="4" t="s">
        <v>43</v>
      </c>
      <c r="G294" s="18">
        <v>2789</v>
      </c>
      <c r="H294" s="10">
        <v>2</v>
      </c>
      <c r="I294" s="4">
        <v>2</v>
      </c>
      <c r="J294" s="4" t="s">
        <v>14</v>
      </c>
      <c r="K294" s="3" t="s">
        <v>14</v>
      </c>
      <c r="L294" s="3" t="str">
        <f>IF(Table1[[#This Row],[Monthly Income]]&lt;3000,"Low",IF(Table1[[#This Row],[Monthly Income]]&lt;7000,"Medium","High"))</f>
        <v>Low</v>
      </c>
      <c r="AK294" s="4"/>
      <c r="AL294" s="4"/>
      <c r="AM294" s="4"/>
      <c r="AN294" s="4"/>
      <c r="AO294" s="4"/>
      <c r="AP294" s="4"/>
      <c r="AQ294" s="4"/>
      <c r="AR294" s="4"/>
      <c r="AS294" s="4"/>
      <c r="AU294" s="4"/>
      <c r="AV294" s="4"/>
      <c r="AW294" s="4"/>
      <c r="AX294" s="4"/>
      <c r="AY294" s="4"/>
      <c r="AZ294" s="4"/>
      <c r="BA294" s="4"/>
      <c r="BB294" s="4"/>
      <c r="BC294" s="4"/>
      <c r="BD294" s="4"/>
      <c r="BE294" s="4"/>
    </row>
    <row r="295" spans="2:57" x14ac:dyDescent="0.3">
      <c r="B295" s="6" t="s">
        <v>318</v>
      </c>
      <c r="C295" s="6">
        <v>26</v>
      </c>
      <c r="D295" s="6" t="s">
        <v>17</v>
      </c>
      <c r="E295" s="6" t="s">
        <v>10</v>
      </c>
      <c r="F295" s="6" t="s">
        <v>13</v>
      </c>
      <c r="G295" s="19">
        <v>5828</v>
      </c>
      <c r="H295" s="11">
        <v>8</v>
      </c>
      <c r="I295" s="6">
        <v>4</v>
      </c>
      <c r="J295" s="6" t="s">
        <v>9</v>
      </c>
      <c r="K295" s="5" t="s">
        <v>9</v>
      </c>
      <c r="L295" s="3" t="str">
        <f>IF(Table1[[#This Row],[Monthly Income]]&lt;3000,"Low",IF(Table1[[#This Row],[Monthly Income]]&lt;7000,"Medium","High"))</f>
        <v>Medium</v>
      </c>
      <c r="AK295" s="6"/>
      <c r="AL295" s="6"/>
      <c r="AM295" s="6"/>
      <c r="AN295" s="6"/>
      <c r="AO295" s="6"/>
      <c r="AP295" s="6"/>
      <c r="AQ295" s="6"/>
      <c r="AR295" s="6"/>
      <c r="AS295" s="6"/>
      <c r="AU295" s="6"/>
      <c r="AV295" s="6"/>
      <c r="AW295" s="6"/>
      <c r="AX295" s="6"/>
      <c r="AY295" s="6"/>
      <c r="AZ295" s="6"/>
      <c r="BA295" s="6"/>
      <c r="BB295" s="6"/>
      <c r="BC295" s="6"/>
      <c r="BD295" s="6"/>
      <c r="BE295" s="6"/>
    </row>
    <row r="296" spans="2:57" x14ac:dyDescent="0.3">
      <c r="B296" s="4" t="s">
        <v>319</v>
      </c>
      <c r="C296" s="4">
        <v>37</v>
      </c>
      <c r="D296" s="4" t="s">
        <v>17</v>
      </c>
      <c r="E296" s="4" t="s">
        <v>15</v>
      </c>
      <c r="F296" s="4" t="s">
        <v>18</v>
      </c>
      <c r="G296" s="18">
        <v>2326</v>
      </c>
      <c r="H296" s="10">
        <v>4</v>
      </c>
      <c r="I296" s="4">
        <v>4</v>
      </c>
      <c r="J296" s="4" t="s">
        <v>9</v>
      </c>
      <c r="K296" s="3" t="s">
        <v>14</v>
      </c>
      <c r="L296" s="3" t="str">
        <f>IF(Table1[[#This Row],[Monthly Income]]&lt;3000,"Low",IF(Table1[[#This Row],[Monthly Income]]&lt;7000,"Medium","High"))</f>
        <v>Low</v>
      </c>
      <c r="AK296" s="4"/>
      <c r="AL296" s="4"/>
      <c r="AM296" s="4"/>
      <c r="AN296" s="4"/>
      <c r="AO296" s="4"/>
      <c r="AP296" s="4"/>
      <c r="AQ296" s="4"/>
      <c r="AR296" s="4"/>
      <c r="AS296" s="4"/>
      <c r="AU296" s="4"/>
      <c r="AV296" s="4"/>
      <c r="AW296" s="4"/>
      <c r="AX296" s="4"/>
      <c r="AY296" s="4"/>
      <c r="AZ296" s="4"/>
      <c r="BA296" s="4"/>
      <c r="BB296" s="4"/>
      <c r="BC296" s="4"/>
      <c r="BD296" s="4"/>
      <c r="BE296" s="4"/>
    </row>
    <row r="297" spans="2:57" x14ac:dyDescent="0.3">
      <c r="B297" s="6" t="s">
        <v>320</v>
      </c>
      <c r="C297" s="6">
        <v>42</v>
      </c>
      <c r="D297" s="6" t="s">
        <v>12</v>
      </c>
      <c r="E297" s="6" t="s">
        <v>10</v>
      </c>
      <c r="F297" s="6" t="s">
        <v>13</v>
      </c>
      <c r="G297" s="19">
        <v>13525</v>
      </c>
      <c r="H297" s="11">
        <v>20</v>
      </c>
      <c r="I297" s="6">
        <v>2</v>
      </c>
      <c r="J297" s="6" t="s">
        <v>14</v>
      </c>
      <c r="K297" s="5" t="s">
        <v>14</v>
      </c>
      <c r="L297" s="3" t="str">
        <f>IF(Table1[[#This Row],[Monthly Income]]&lt;3000,"Low",IF(Table1[[#This Row],[Monthly Income]]&lt;7000,"Medium","High"))</f>
        <v>High</v>
      </c>
      <c r="AK297" s="6"/>
      <c r="AL297" s="6"/>
      <c r="AM297" s="6"/>
      <c r="AN297" s="6"/>
      <c r="AO297" s="6"/>
      <c r="AP297" s="6"/>
      <c r="AQ297" s="6"/>
      <c r="AR297" s="6"/>
      <c r="AS297" s="6"/>
      <c r="AU297" s="6"/>
      <c r="AV297" s="6"/>
      <c r="AW297" s="6"/>
      <c r="AX297" s="6"/>
      <c r="AY297" s="6"/>
      <c r="AZ297" s="6"/>
      <c r="BA297" s="6"/>
      <c r="BB297" s="6"/>
      <c r="BC297" s="6"/>
      <c r="BD297" s="6"/>
      <c r="BE297" s="6"/>
    </row>
    <row r="298" spans="2:57" x14ac:dyDescent="0.3">
      <c r="B298" s="4" t="s">
        <v>321</v>
      </c>
      <c r="C298" s="4">
        <v>18</v>
      </c>
      <c r="D298" s="4" t="s">
        <v>17</v>
      </c>
      <c r="E298" s="4" t="s">
        <v>15</v>
      </c>
      <c r="F298" s="4" t="s">
        <v>20</v>
      </c>
      <c r="G298" s="18">
        <v>1420</v>
      </c>
      <c r="H298" s="10">
        <v>0</v>
      </c>
      <c r="I298" s="4">
        <v>3</v>
      </c>
      <c r="J298" s="4" t="s">
        <v>14</v>
      </c>
      <c r="K298" s="3" t="s">
        <v>9</v>
      </c>
      <c r="L298" s="3" t="str">
        <f>IF(Table1[[#This Row],[Monthly Income]]&lt;3000,"Low",IF(Table1[[#This Row],[Monthly Income]]&lt;7000,"Medium","High"))</f>
        <v>Low</v>
      </c>
      <c r="AK298" s="4"/>
      <c r="AL298" s="4"/>
      <c r="AM298" s="4"/>
      <c r="AN298" s="4"/>
      <c r="AO298" s="4"/>
      <c r="AP298" s="4"/>
      <c r="AQ298" s="4"/>
      <c r="AR298" s="4"/>
      <c r="AS298" s="4"/>
      <c r="AU298" s="4"/>
      <c r="AV298" s="4"/>
      <c r="AW298" s="4"/>
      <c r="AX298" s="4"/>
      <c r="AY298" s="4"/>
      <c r="AZ298" s="4"/>
      <c r="BA298" s="4"/>
      <c r="BB298" s="4"/>
      <c r="BC298" s="4"/>
      <c r="BD298" s="4"/>
      <c r="BE298" s="4"/>
    </row>
    <row r="299" spans="2:57" x14ac:dyDescent="0.3">
      <c r="B299" s="6" t="s">
        <v>322</v>
      </c>
      <c r="C299" s="6">
        <v>35</v>
      </c>
      <c r="D299" s="6" t="s">
        <v>17</v>
      </c>
      <c r="E299" s="6" t="s">
        <v>10</v>
      </c>
      <c r="F299" s="6" t="s">
        <v>13</v>
      </c>
      <c r="G299" s="19">
        <v>8020</v>
      </c>
      <c r="H299" s="11">
        <v>11</v>
      </c>
      <c r="I299" s="6">
        <v>2</v>
      </c>
      <c r="J299" s="6" t="s">
        <v>14</v>
      </c>
      <c r="K299" s="5" t="s">
        <v>14</v>
      </c>
      <c r="L299" s="3" t="str">
        <f>IF(Table1[[#This Row],[Monthly Income]]&lt;3000,"Low",IF(Table1[[#This Row],[Monthly Income]]&lt;7000,"Medium","High"))</f>
        <v>High</v>
      </c>
      <c r="AK299" s="6"/>
      <c r="AL299" s="6"/>
      <c r="AM299" s="6"/>
      <c r="AN299" s="6"/>
      <c r="AO299" s="6"/>
      <c r="AP299" s="6"/>
      <c r="AQ299" s="6"/>
      <c r="AR299" s="6"/>
      <c r="AS299" s="6"/>
      <c r="AU299" s="6"/>
      <c r="AV299" s="6"/>
      <c r="AW299" s="6"/>
      <c r="AX299" s="6"/>
      <c r="AY299" s="6"/>
      <c r="AZ299" s="6"/>
      <c r="BA299" s="6"/>
      <c r="BB299" s="6"/>
      <c r="BC299" s="6"/>
      <c r="BD299" s="6"/>
      <c r="BE299" s="6"/>
    </row>
    <row r="300" spans="2:57" x14ac:dyDescent="0.3">
      <c r="B300" s="4" t="s">
        <v>323</v>
      </c>
      <c r="C300" s="4">
        <v>36</v>
      </c>
      <c r="D300" s="4" t="s">
        <v>17</v>
      </c>
      <c r="E300" s="4" t="s">
        <v>15</v>
      </c>
      <c r="F300" s="4" t="s">
        <v>20</v>
      </c>
      <c r="G300" s="18">
        <v>3688</v>
      </c>
      <c r="H300" s="10">
        <v>1</v>
      </c>
      <c r="I300" s="4">
        <v>4</v>
      </c>
      <c r="J300" s="4" t="s">
        <v>14</v>
      </c>
      <c r="K300" s="3" t="s">
        <v>14</v>
      </c>
      <c r="L300" s="3" t="str">
        <f>IF(Table1[[#This Row],[Monthly Income]]&lt;3000,"Low",IF(Table1[[#This Row],[Monthly Income]]&lt;7000,"Medium","High"))</f>
        <v>Medium</v>
      </c>
      <c r="AK300" s="4"/>
      <c r="AL300" s="4"/>
      <c r="AM300" s="4"/>
      <c r="AN300" s="4"/>
      <c r="AO300" s="4"/>
      <c r="AP300" s="4"/>
      <c r="AQ300" s="4"/>
      <c r="AR300" s="4"/>
      <c r="AS300" s="4"/>
      <c r="AU300" s="4"/>
      <c r="AV300" s="4"/>
      <c r="AW300" s="4"/>
      <c r="AX300" s="4"/>
      <c r="AY300" s="4"/>
      <c r="AZ300" s="4"/>
      <c r="BA300" s="4"/>
      <c r="BB300" s="4"/>
      <c r="BC300" s="4"/>
      <c r="BD300" s="4"/>
      <c r="BE300" s="4"/>
    </row>
    <row r="301" spans="2:57" x14ac:dyDescent="0.3">
      <c r="B301" s="6" t="s">
        <v>324</v>
      </c>
      <c r="C301" s="6">
        <v>51</v>
      </c>
      <c r="D301" s="6" t="s">
        <v>17</v>
      </c>
      <c r="E301" s="6" t="s">
        <v>15</v>
      </c>
      <c r="F301" s="6" t="s">
        <v>27</v>
      </c>
      <c r="G301" s="19">
        <v>5482</v>
      </c>
      <c r="H301" s="11">
        <v>4</v>
      </c>
      <c r="I301" s="6">
        <v>2</v>
      </c>
      <c r="J301" s="6" t="s">
        <v>14</v>
      </c>
      <c r="K301" s="5" t="s">
        <v>14</v>
      </c>
      <c r="L301" s="3" t="str">
        <f>IF(Table1[[#This Row],[Monthly Income]]&lt;3000,"Low",IF(Table1[[#This Row],[Monthly Income]]&lt;7000,"Medium","High"))</f>
        <v>Medium</v>
      </c>
      <c r="AK301" s="6"/>
      <c r="AL301" s="6"/>
      <c r="AM301" s="6"/>
      <c r="AN301" s="6"/>
      <c r="AO301" s="6"/>
      <c r="AP301" s="6"/>
      <c r="AQ301" s="6"/>
      <c r="AR301" s="6"/>
      <c r="AS301" s="6"/>
      <c r="AU301" s="6"/>
      <c r="AV301" s="6"/>
      <c r="AW301" s="6"/>
      <c r="AX301" s="6"/>
      <c r="AY301" s="6"/>
      <c r="AZ301" s="6"/>
      <c r="BA301" s="6"/>
      <c r="BB301" s="6"/>
      <c r="BC301" s="6"/>
      <c r="BD301" s="6"/>
      <c r="BE301" s="6"/>
    </row>
    <row r="302" spans="2:57" x14ac:dyDescent="0.3">
      <c r="B302" s="4" t="s">
        <v>325</v>
      </c>
      <c r="C302" s="4">
        <v>41</v>
      </c>
      <c r="D302" s="4" t="s">
        <v>17</v>
      </c>
      <c r="E302" s="4" t="s">
        <v>10</v>
      </c>
      <c r="F302" s="4" t="s">
        <v>39</v>
      </c>
      <c r="G302" s="18">
        <v>16015</v>
      </c>
      <c r="H302" s="10">
        <v>22</v>
      </c>
      <c r="I302" s="4">
        <v>2</v>
      </c>
      <c r="J302" s="4" t="s">
        <v>14</v>
      </c>
      <c r="K302" s="3" t="s">
        <v>14</v>
      </c>
      <c r="L302" s="3" t="str">
        <f>IF(Table1[[#This Row],[Monthly Income]]&lt;3000,"Low",IF(Table1[[#This Row],[Monthly Income]]&lt;7000,"Medium","High"))</f>
        <v>High</v>
      </c>
      <c r="AK302" s="4"/>
      <c r="AL302" s="4"/>
      <c r="AM302" s="4"/>
      <c r="AN302" s="4"/>
      <c r="AO302" s="4"/>
      <c r="AP302" s="4"/>
      <c r="AQ302" s="4"/>
      <c r="AR302" s="4"/>
      <c r="AS302" s="4"/>
      <c r="AU302" s="4"/>
      <c r="AV302" s="4"/>
      <c r="AW302" s="4"/>
      <c r="AX302" s="4"/>
      <c r="AY302" s="4"/>
      <c r="AZ302" s="4"/>
      <c r="BA302" s="4"/>
      <c r="BB302" s="4"/>
      <c r="BC302" s="4"/>
      <c r="BD302" s="4"/>
      <c r="BE302" s="4"/>
    </row>
    <row r="303" spans="2:57" x14ac:dyDescent="0.3">
      <c r="B303" s="6" t="s">
        <v>326</v>
      </c>
      <c r="C303" s="6">
        <v>18</v>
      </c>
      <c r="D303" s="6" t="s">
        <v>12</v>
      </c>
      <c r="E303" s="6" t="s">
        <v>10</v>
      </c>
      <c r="F303" s="6" t="s">
        <v>43</v>
      </c>
      <c r="G303" s="19">
        <v>1200</v>
      </c>
      <c r="H303" s="11">
        <v>0</v>
      </c>
      <c r="I303" s="6">
        <v>3</v>
      </c>
      <c r="J303" s="6" t="s">
        <v>14</v>
      </c>
      <c r="K303" s="5" t="s">
        <v>14</v>
      </c>
      <c r="L303" s="3" t="str">
        <f>IF(Table1[[#This Row],[Monthly Income]]&lt;3000,"Low",IF(Table1[[#This Row],[Monthly Income]]&lt;7000,"Medium","High"))</f>
        <v>Low</v>
      </c>
      <c r="AK303" s="6"/>
      <c r="AL303" s="6"/>
      <c r="AM303" s="6"/>
      <c r="AN303" s="6"/>
      <c r="AO303" s="6"/>
      <c r="AP303" s="6"/>
      <c r="AQ303" s="6"/>
      <c r="AR303" s="6"/>
      <c r="AS303" s="6"/>
      <c r="AU303" s="6"/>
      <c r="AV303" s="6"/>
      <c r="AW303" s="6"/>
      <c r="AX303" s="6"/>
      <c r="AY303" s="6"/>
      <c r="AZ303" s="6"/>
      <c r="BA303" s="6"/>
      <c r="BB303" s="6"/>
      <c r="BC303" s="6"/>
      <c r="BD303" s="6"/>
      <c r="BE303" s="6"/>
    </row>
    <row r="304" spans="2:57" x14ac:dyDescent="0.3">
      <c r="B304" s="4" t="s">
        <v>327</v>
      </c>
      <c r="C304" s="4">
        <v>28</v>
      </c>
      <c r="D304" s="4" t="s">
        <v>17</v>
      </c>
      <c r="E304" s="4" t="s">
        <v>15</v>
      </c>
      <c r="F304" s="4" t="s">
        <v>29</v>
      </c>
      <c r="G304" s="18">
        <v>5661</v>
      </c>
      <c r="H304" s="10">
        <v>8</v>
      </c>
      <c r="I304" s="4">
        <v>1</v>
      </c>
      <c r="J304" s="4" t="s">
        <v>14</v>
      </c>
      <c r="K304" s="3" t="s">
        <v>14</v>
      </c>
      <c r="L304" s="3" t="str">
        <f>IF(Table1[[#This Row],[Monthly Income]]&lt;3000,"Low",IF(Table1[[#This Row],[Monthly Income]]&lt;7000,"Medium","High"))</f>
        <v>Medium</v>
      </c>
      <c r="AK304" s="4"/>
      <c r="AL304" s="4"/>
      <c r="AM304" s="4"/>
      <c r="AN304" s="4"/>
      <c r="AO304" s="4"/>
      <c r="AP304" s="4"/>
      <c r="AQ304" s="4"/>
      <c r="AR304" s="4"/>
      <c r="AS304" s="4"/>
      <c r="AU304" s="4"/>
      <c r="AV304" s="4"/>
      <c r="AW304" s="4"/>
      <c r="AX304" s="4"/>
      <c r="AY304" s="4"/>
      <c r="AZ304" s="4"/>
      <c r="BA304" s="4"/>
      <c r="BB304" s="4"/>
      <c r="BC304" s="4"/>
      <c r="BD304" s="4"/>
      <c r="BE304" s="4"/>
    </row>
    <row r="305" spans="2:57" x14ac:dyDescent="0.3">
      <c r="B305" s="6" t="s">
        <v>328</v>
      </c>
      <c r="C305" s="6">
        <v>31</v>
      </c>
      <c r="D305" s="6" t="s">
        <v>17</v>
      </c>
      <c r="E305" s="6" t="s">
        <v>10</v>
      </c>
      <c r="F305" s="6" t="s">
        <v>13</v>
      </c>
      <c r="G305" s="19">
        <v>6929</v>
      </c>
      <c r="H305" s="11">
        <v>8</v>
      </c>
      <c r="I305" s="6">
        <v>4</v>
      </c>
      <c r="J305" s="6" t="s">
        <v>14</v>
      </c>
      <c r="K305" s="5" t="s">
        <v>14</v>
      </c>
      <c r="L305" s="3" t="str">
        <f>IF(Table1[[#This Row],[Monthly Income]]&lt;3000,"Low",IF(Table1[[#This Row],[Monthly Income]]&lt;7000,"Medium","High"))</f>
        <v>Medium</v>
      </c>
      <c r="AK305" s="6"/>
      <c r="AL305" s="6"/>
      <c r="AM305" s="6"/>
      <c r="AN305" s="6"/>
      <c r="AO305" s="6"/>
      <c r="AP305" s="6"/>
      <c r="AQ305" s="6"/>
      <c r="AR305" s="6"/>
      <c r="AS305" s="6"/>
      <c r="AU305" s="6"/>
      <c r="AV305" s="6"/>
      <c r="AW305" s="6"/>
      <c r="AX305" s="6"/>
      <c r="AY305" s="6"/>
      <c r="AZ305" s="6"/>
      <c r="BA305" s="6"/>
      <c r="BB305" s="6"/>
      <c r="BC305" s="6"/>
      <c r="BD305" s="6"/>
      <c r="BE305" s="6"/>
    </row>
    <row r="306" spans="2:57" x14ac:dyDescent="0.3">
      <c r="B306" s="4" t="s">
        <v>329</v>
      </c>
      <c r="C306" s="4">
        <v>39</v>
      </c>
      <c r="D306" s="4" t="s">
        <v>17</v>
      </c>
      <c r="E306" s="4" t="s">
        <v>15</v>
      </c>
      <c r="F306" s="4" t="s">
        <v>29</v>
      </c>
      <c r="G306" s="18">
        <v>9613</v>
      </c>
      <c r="H306" s="10">
        <v>18</v>
      </c>
      <c r="I306" s="4">
        <v>4</v>
      </c>
      <c r="J306" s="4" t="s">
        <v>14</v>
      </c>
      <c r="K306" s="3" t="s">
        <v>14</v>
      </c>
      <c r="L306" s="3" t="str">
        <f>IF(Table1[[#This Row],[Monthly Income]]&lt;3000,"Low",IF(Table1[[#This Row],[Monthly Income]]&lt;7000,"Medium","High"))</f>
        <v>High</v>
      </c>
      <c r="AK306" s="4"/>
      <c r="AL306" s="4"/>
      <c r="AM306" s="4"/>
      <c r="AN306" s="4"/>
      <c r="AO306" s="4"/>
      <c r="AP306" s="4"/>
      <c r="AQ306" s="4"/>
      <c r="AR306" s="4"/>
      <c r="AS306" s="4"/>
      <c r="AU306" s="4"/>
      <c r="AV306" s="4"/>
      <c r="AW306" s="4"/>
      <c r="AX306" s="4"/>
      <c r="AY306" s="4"/>
      <c r="AZ306" s="4"/>
      <c r="BA306" s="4"/>
      <c r="BB306" s="4"/>
      <c r="BC306" s="4"/>
      <c r="BD306" s="4"/>
      <c r="BE306" s="4"/>
    </row>
    <row r="307" spans="2:57" x14ac:dyDescent="0.3">
      <c r="B307" s="6" t="s">
        <v>330</v>
      </c>
      <c r="C307" s="6">
        <v>36</v>
      </c>
      <c r="D307" s="6" t="s">
        <v>12</v>
      </c>
      <c r="E307" s="6" t="s">
        <v>15</v>
      </c>
      <c r="F307" s="6" t="s">
        <v>20</v>
      </c>
      <c r="G307" s="19">
        <v>5674</v>
      </c>
      <c r="H307" s="11">
        <v>9</v>
      </c>
      <c r="I307" s="6">
        <v>2</v>
      </c>
      <c r="J307" s="6" t="s">
        <v>14</v>
      </c>
      <c r="K307" s="5" t="s">
        <v>14</v>
      </c>
      <c r="L307" s="3" t="str">
        <f>IF(Table1[[#This Row],[Monthly Income]]&lt;3000,"Low",IF(Table1[[#This Row],[Monthly Income]]&lt;7000,"Medium","High"))</f>
        <v>Medium</v>
      </c>
      <c r="AK307" s="6"/>
      <c r="AL307" s="6"/>
      <c r="AM307" s="6"/>
      <c r="AN307" s="6"/>
      <c r="AO307" s="6"/>
      <c r="AP307" s="6"/>
      <c r="AQ307" s="6"/>
      <c r="AR307" s="6"/>
      <c r="AS307" s="6"/>
      <c r="AU307" s="6"/>
      <c r="AV307" s="6"/>
      <c r="AW307" s="6"/>
      <c r="AX307" s="6"/>
      <c r="AY307" s="6"/>
      <c r="AZ307" s="6"/>
      <c r="BA307" s="6"/>
      <c r="BB307" s="6"/>
      <c r="BC307" s="6"/>
      <c r="BD307" s="6"/>
      <c r="BE307" s="6"/>
    </row>
    <row r="308" spans="2:57" x14ac:dyDescent="0.3">
      <c r="B308" s="4" t="s">
        <v>331</v>
      </c>
      <c r="C308" s="4">
        <v>32</v>
      </c>
      <c r="D308" s="4" t="s">
        <v>17</v>
      </c>
      <c r="E308" s="4" t="s">
        <v>10</v>
      </c>
      <c r="F308" s="4" t="s">
        <v>13</v>
      </c>
      <c r="G308" s="18">
        <v>5484</v>
      </c>
      <c r="H308" s="10">
        <v>13</v>
      </c>
      <c r="I308" s="4">
        <v>3</v>
      </c>
      <c r="J308" s="4" t="s">
        <v>14</v>
      </c>
      <c r="K308" s="3" t="s">
        <v>14</v>
      </c>
      <c r="L308" s="3" t="str">
        <f>IF(Table1[[#This Row],[Monthly Income]]&lt;3000,"Low",IF(Table1[[#This Row],[Monthly Income]]&lt;7000,"Medium","High"))</f>
        <v>Medium</v>
      </c>
      <c r="AK308" s="4"/>
      <c r="AL308" s="4"/>
      <c r="AM308" s="4"/>
      <c r="AN308" s="4"/>
      <c r="AO308" s="4"/>
      <c r="AP308" s="4"/>
      <c r="AQ308" s="4"/>
      <c r="AR308" s="4"/>
      <c r="AS308" s="4"/>
      <c r="AU308" s="4"/>
      <c r="AV308" s="4"/>
      <c r="AW308" s="4"/>
      <c r="AX308" s="4"/>
      <c r="AY308" s="4"/>
      <c r="AZ308" s="4"/>
      <c r="BA308" s="4"/>
      <c r="BB308" s="4"/>
      <c r="BC308" s="4"/>
      <c r="BD308" s="4"/>
      <c r="BE308" s="4"/>
    </row>
    <row r="309" spans="2:57" x14ac:dyDescent="0.3">
      <c r="B309" s="6" t="s">
        <v>332</v>
      </c>
      <c r="C309" s="6">
        <v>38</v>
      </c>
      <c r="D309" s="6" t="s">
        <v>12</v>
      </c>
      <c r="E309" s="6" t="s">
        <v>15</v>
      </c>
      <c r="F309" s="6" t="s">
        <v>45</v>
      </c>
      <c r="G309" s="19">
        <v>12061</v>
      </c>
      <c r="H309" s="11">
        <v>10</v>
      </c>
      <c r="I309" s="6">
        <v>2</v>
      </c>
      <c r="J309" s="6" t="s">
        <v>14</v>
      </c>
      <c r="K309" s="5" t="s">
        <v>14</v>
      </c>
      <c r="L309" s="3" t="str">
        <f>IF(Table1[[#This Row],[Monthly Income]]&lt;3000,"Low",IF(Table1[[#This Row],[Monthly Income]]&lt;7000,"Medium","High"))</f>
        <v>High</v>
      </c>
      <c r="AK309" s="6"/>
      <c r="AL309" s="6"/>
      <c r="AM309" s="6"/>
      <c r="AN309" s="6"/>
      <c r="AO309" s="6"/>
      <c r="AP309" s="6"/>
      <c r="AQ309" s="6"/>
      <c r="AR309" s="6"/>
      <c r="AS309" s="6"/>
      <c r="AU309" s="6"/>
      <c r="AV309" s="6"/>
      <c r="AW309" s="6"/>
      <c r="AX309" s="6"/>
      <c r="AY309" s="6"/>
      <c r="AZ309" s="6"/>
      <c r="BA309" s="6"/>
      <c r="BB309" s="6"/>
      <c r="BC309" s="6"/>
      <c r="BD309" s="6"/>
      <c r="BE309" s="6"/>
    </row>
    <row r="310" spans="2:57" x14ac:dyDescent="0.3">
      <c r="B310" s="4" t="s">
        <v>333</v>
      </c>
      <c r="C310" s="4">
        <v>58</v>
      </c>
      <c r="D310" s="4" t="s">
        <v>17</v>
      </c>
      <c r="E310" s="4" t="s">
        <v>15</v>
      </c>
      <c r="F310" s="4" t="s">
        <v>29</v>
      </c>
      <c r="G310" s="18">
        <v>5660</v>
      </c>
      <c r="H310" s="10">
        <v>5</v>
      </c>
      <c r="I310" s="4">
        <v>3</v>
      </c>
      <c r="J310" s="4" t="s">
        <v>9</v>
      </c>
      <c r="K310" s="3" t="s">
        <v>14</v>
      </c>
      <c r="L310" s="3" t="str">
        <f>IF(Table1[[#This Row],[Monthly Income]]&lt;3000,"Low",IF(Table1[[#This Row],[Monthly Income]]&lt;7000,"Medium","High"))</f>
        <v>Medium</v>
      </c>
      <c r="AK310" s="4"/>
      <c r="AL310" s="4"/>
      <c r="AM310" s="4"/>
      <c r="AN310" s="4"/>
      <c r="AO310" s="4"/>
      <c r="AP310" s="4"/>
      <c r="AQ310" s="4"/>
      <c r="AR310" s="4"/>
      <c r="AS310" s="4"/>
      <c r="AU310" s="4"/>
      <c r="AV310" s="4"/>
      <c r="AW310" s="4"/>
      <c r="AX310" s="4"/>
      <c r="AY310" s="4"/>
      <c r="AZ310" s="4"/>
      <c r="BA310" s="4"/>
      <c r="BB310" s="4"/>
      <c r="BC310" s="4"/>
      <c r="BD310" s="4"/>
      <c r="BE310" s="4"/>
    </row>
    <row r="311" spans="2:57" x14ac:dyDescent="0.3">
      <c r="B311" s="6" t="s">
        <v>334</v>
      </c>
      <c r="C311" s="6">
        <v>31</v>
      </c>
      <c r="D311" s="6" t="s">
        <v>17</v>
      </c>
      <c r="E311" s="6" t="s">
        <v>15</v>
      </c>
      <c r="F311" s="6" t="s">
        <v>18</v>
      </c>
      <c r="G311" s="19">
        <v>4821</v>
      </c>
      <c r="H311" s="11">
        <v>5</v>
      </c>
      <c r="I311" s="6">
        <v>4</v>
      </c>
      <c r="J311" s="6" t="s">
        <v>9</v>
      </c>
      <c r="K311" s="5" t="s">
        <v>14</v>
      </c>
      <c r="L311" s="3" t="str">
        <f>IF(Table1[[#This Row],[Monthly Income]]&lt;3000,"Low",IF(Table1[[#This Row],[Monthly Income]]&lt;7000,"Medium","High"))</f>
        <v>Medium</v>
      </c>
      <c r="AK311" s="6"/>
      <c r="AL311" s="6"/>
      <c r="AM311" s="6"/>
      <c r="AN311" s="6"/>
      <c r="AO311" s="6"/>
      <c r="AP311" s="6"/>
      <c r="AQ311" s="6"/>
      <c r="AR311" s="6"/>
      <c r="AS311" s="6"/>
      <c r="AU311" s="6"/>
      <c r="AV311" s="6"/>
      <c r="AW311" s="6"/>
      <c r="AX311" s="6"/>
      <c r="AY311" s="6"/>
      <c r="AZ311" s="6"/>
      <c r="BA311" s="6"/>
      <c r="BB311" s="6"/>
      <c r="BC311" s="6"/>
      <c r="BD311" s="6"/>
      <c r="BE311" s="6"/>
    </row>
    <row r="312" spans="2:57" x14ac:dyDescent="0.3">
      <c r="B312" s="4" t="s">
        <v>335</v>
      </c>
      <c r="C312" s="4">
        <v>31</v>
      </c>
      <c r="D312" s="4" t="s">
        <v>17</v>
      </c>
      <c r="E312" s="4" t="s">
        <v>102</v>
      </c>
      <c r="F312" s="4" t="s">
        <v>104</v>
      </c>
      <c r="G312" s="18">
        <v>6410</v>
      </c>
      <c r="H312" s="10">
        <v>2</v>
      </c>
      <c r="I312" s="4">
        <v>1</v>
      </c>
      <c r="J312" s="4" t="s">
        <v>14</v>
      </c>
      <c r="K312" s="3" t="s">
        <v>14</v>
      </c>
      <c r="L312" s="3" t="str">
        <f>IF(Table1[[#This Row],[Monthly Income]]&lt;3000,"Low",IF(Table1[[#This Row],[Monthly Income]]&lt;7000,"Medium","High"))</f>
        <v>Medium</v>
      </c>
      <c r="AK312" s="4"/>
      <c r="AL312" s="4"/>
      <c r="AM312" s="4"/>
      <c r="AN312" s="4"/>
      <c r="AO312" s="4"/>
      <c r="AP312" s="4"/>
      <c r="AQ312" s="4"/>
      <c r="AR312" s="4"/>
      <c r="AS312" s="4"/>
      <c r="AU312" s="4"/>
      <c r="AV312" s="4"/>
      <c r="AW312" s="4"/>
      <c r="AX312" s="4"/>
      <c r="AY312" s="4"/>
      <c r="AZ312" s="4"/>
      <c r="BA312" s="4"/>
      <c r="BB312" s="4"/>
      <c r="BC312" s="4"/>
      <c r="BD312" s="4"/>
      <c r="BE312" s="4"/>
    </row>
    <row r="313" spans="2:57" x14ac:dyDescent="0.3">
      <c r="B313" s="6" t="s">
        <v>336</v>
      </c>
      <c r="C313" s="6">
        <v>45</v>
      </c>
      <c r="D313" s="6" t="s">
        <v>17</v>
      </c>
      <c r="E313" s="6" t="s">
        <v>15</v>
      </c>
      <c r="F313" s="6" t="s">
        <v>20</v>
      </c>
      <c r="G313" s="19">
        <v>5210</v>
      </c>
      <c r="H313" s="11">
        <v>24</v>
      </c>
      <c r="I313" s="6">
        <v>1</v>
      </c>
      <c r="J313" s="6" t="s">
        <v>14</v>
      </c>
      <c r="K313" s="5" t="s">
        <v>14</v>
      </c>
      <c r="L313" s="3" t="str">
        <f>IF(Table1[[#This Row],[Monthly Income]]&lt;3000,"Low",IF(Table1[[#This Row],[Monthly Income]]&lt;7000,"Medium","High"))</f>
        <v>Medium</v>
      </c>
      <c r="AK313" s="6"/>
      <c r="AL313" s="6"/>
      <c r="AM313" s="6"/>
      <c r="AN313" s="6"/>
      <c r="AO313" s="6"/>
      <c r="AP313" s="6"/>
      <c r="AQ313" s="6"/>
      <c r="AR313" s="6"/>
      <c r="AS313" s="6"/>
      <c r="AU313" s="6"/>
      <c r="AV313" s="6"/>
      <c r="AW313" s="6"/>
      <c r="AX313" s="6"/>
      <c r="AY313" s="6"/>
      <c r="AZ313" s="6"/>
      <c r="BA313" s="6"/>
      <c r="BB313" s="6"/>
      <c r="BC313" s="6"/>
      <c r="BD313" s="6"/>
      <c r="BE313" s="6"/>
    </row>
    <row r="314" spans="2:57" x14ac:dyDescent="0.3">
      <c r="B314" s="4" t="s">
        <v>337</v>
      </c>
      <c r="C314" s="4">
        <v>31</v>
      </c>
      <c r="D314" s="4" t="s">
        <v>17</v>
      </c>
      <c r="E314" s="4" t="s">
        <v>15</v>
      </c>
      <c r="F314" s="4" t="s">
        <v>18</v>
      </c>
      <c r="G314" s="18">
        <v>2695</v>
      </c>
      <c r="H314" s="10">
        <v>2</v>
      </c>
      <c r="I314" s="4">
        <v>4</v>
      </c>
      <c r="J314" s="4" t="s">
        <v>9</v>
      </c>
      <c r="K314" s="3" t="s">
        <v>14</v>
      </c>
      <c r="L314" s="3" t="str">
        <f>IF(Table1[[#This Row],[Monthly Income]]&lt;3000,"Low",IF(Table1[[#This Row],[Monthly Income]]&lt;7000,"Medium","High"))</f>
        <v>Low</v>
      </c>
      <c r="AK314" s="4"/>
      <c r="AL314" s="4"/>
      <c r="AM314" s="4"/>
      <c r="AN314" s="4"/>
      <c r="AO314" s="4"/>
      <c r="AP314" s="4"/>
      <c r="AQ314" s="4"/>
      <c r="AR314" s="4"/>
      <c r="AS314" s="4"/>
      <c r="AU314" s="4"/>
      <c r="AV314" s="4"/>
      <c r="AW314" s="4"/>
      <c r="AX314" s="4"/>
      <c r="AY314" s="4"/>
      <c r="AZ314" s="4"/>
      <c r="BA314" s="4"/>
      <c r="BB314" s="4"/>
      <c r="BC314" s="4"/>
      <c r="BD314" s="4"/>
      <c r="BE314" s="4"/>
    </row>
    <row r="315" spans="2:57" x14ac:dyDescent="0.3">
      <c r="B315" s="6" t="s">
        <v>338</v>
      </c>
      <c r="C315" s="6">
        <v>33</v>
      </c>
      <c r="D315" s="6" t="s">
        <v>12</v>
      </c>
      <c r="E315" s="6" t="s">
        <v>15</v>
      </c>
      <c r="F315" s="6" t="s">
        <v>39</v>
      </c>
      <c r="G315" s="19">
        <v>11878</v>
      </c>
      <c r="H315" s="11">
        <v>10</v>
      </c>
      <c r="I315" s="6">
        <v>2</v>
      </c>
      <c r="J315" s="6" t="s">
        <v>14</v>
      </c>
      <c r="K315" s="5" t="s">
        <v>14</v>
      </c>
      <c r="L315" s="3" t="str">
        <f>IF(Table1[[#This Row],[Monthly Income]]&lt;3000,"Low",IF(Table1[[#This Row],[Monthly Income]]&lt;7000,"Medium","High"))</f>
        <v>High</v>
      </c>
      <c r="AK315" s="6"/>
      <c r="AL315" s="6"/>
      <c r="AM315" s="6"/>
      <c r="AN315" s="6"/>
      <c r="AO315" s="6"/>
      <c r="AP315" s="6"/>
      <c r="AQ315" s="6"/>
      <c r="AR315" s="6"/>
      <c r="AS315" s="6"/>
      <c r="AU315" s="6"/>
      <c r="AV315" s="6"/>
      <c r="AW315" s="6"/>
      <c r="AX315" s="6"/>
      <c r="AY315" s="6"/>
      <c r="AZ315" s="6"/>
      <c r="BA315" s="6"/>
      <c r="BB315" s="6"/>
      <c r="BC315" s="6"/>
      <c r="BD315" s="6"/>
      <c r="BE315" s="6"/>
    </row>
    <row r="316" spans="2:57" x14ac:dyDescent="0.3">
      <c r="B316" s="4" t="s">
        <v>339</v>
      </c>
      <c r="C316" s="4">
        <v>39</v>
      </c>
      <c r="D316" s="4" t="s">
        <v>17</v>
      </c>
      <c r="E316" s="4" t="s">
        <v>15</v>
      </c>
      <c r="F316" s="4" t="s">
        <v>39</v>
      </c>
      <c r="G316" s="18">
        <v>17068</v>
      </c>
      <c r="H316" s="10">
        <v>21</v>
      </c>
      <c r="I316" s="4">
        <v>1</v>
      </c>
      <c r="J316" s="4" t="s">
        <v>9</v>
      </c>
      <c r="K316" s="3" t="s">
        <v>14</v>
      </c>
      <c r="L316" s="3" t="str">
        <f>IF(Table1[[#This Row],[Monthly Income]]&lt;3000,"Low",IF(Table1[[#This Row],[Monthly Income]]&lt;7000,"Medium","High"))</f>
        <v>High</v>
      </c>
      <c r="AK316" s="4"/>
      <c r="AL316" s="4"/>
      <c r="AM316" s="4"/>
      <c r="AN316" s="4"/>
      <c r="AO316" s="4"/>
      <c r="AP316" s="4"/>
      <c r="AQ316" s="4"/>
      <c r="AR316" s="4"/>
      <c r="AS316" s="4"/>
      <c r="AU316" s="4"/>
      <c r="AV316" s="4"/>
      <c r="AW316" s="4"/>
      <c r="AX316" s="4"/>
      <c r="AY316" s="4"/>
      <c r="AZ316" s="4"/>
      <c r="BA316" s="4"/>
      <c r="BB316" s="4"/>
      <c r="BC316" s="4"/>
      <c r="BD316" s="4"/>
      <c r="BE316" s="4"/>
    </row>
    <row r="317" spans="2:57" x14ac:dyDescent="0.3">
      <c r="B317" s="6" t="s">
        <v>340</v>
      </c>
      <c r="C317" s="6">
        <v>43</v>
      </c>
      <c r="D317" s="6" t="s">
        <v>12</v>
      </c>
      <c r="E317" s="6" t="s">
        <v>15</v>
      </c>
      <c r="F317" s="6" t="s">
        <v>20</v>
      </c>
      <c r="G317" s="19">
        <v>2455</v>
      </c>
      <c r="H317" s="11">
        <v>8</v>
      </c>
      <c r="I317" s="6">
        <v>4</v>
      </c>
      <c r="J317" s="6" t="s">
        <v>14</v>
      </c>
      <c r="K317" s="5" t="s">
        <v>14</v>
      </c>
      <c r="L317" s="3" t="str">
        <f>IF(Table1[[#This Row],[Monthly Income]]&lt;3000,"Low",IF(Table1[[#This Row],[Monthly Income]]&lt;7000,"Medium","High"))</f>
        <v>Low</v>
      </c>
      <c r="AK317" s="6"/>
      <c r="AL317" s="6"/>
      <c r="AM317" s="6"/>
      <c r="AN317" s="6"/>
      <c r="AO317" s="6"/>
      <c r="AP317" s="6"/>
      <c r="AQ317" s="6"/>
      <c r="AR317" s="6"/>
      <c r="AS317" s="6"/>
      <c r="AU317" s="6"/>
      <c r="AV317" s="6"/>
      <c r="AW317" s="6"/>
      <c r="AX317" s="6"/>
      <c r="AY317" s="6"/>
      <c r="AZ317" s="6"/>
      <c r="BA317" s="6"/>
      <c r="BB317" s="6"/>
      <c r="BC317" s="6"/>
      <c r="BD317" s="6"/>
      <c r="BE317" s="6"/>
    </row>
    <row r="318" spans="2:57" x14ac:dyDescent="0.3">
      <c r="B318" s="4" t="s">
        <v>341</v>
      </c>
      <c r="C318" s="4">
        <v>49</v>
      </c>
      <c r="D318" s="4" t="s">
        <v>12</v>
      </c>
      <c r="E318" s="4" t="s">
        <v>15</v>
      </c>
      <c r="F318" s="4" t="s">
        <v>29</v>
      </c>
      <c r="G318" s="18">
        <v>13964</v>
      </c>
      <c r="H318" s="10">
        <v>7</v>
      </c>
      <c r="I318" s="4">
        <v>3</v>
      </c>
      <c r="J318" s="4" t="s">
        <v>9</v>
      </c>
      <c r="K318" s="3" t="s">
        <v>14</v>
      </c>
      <c r="L318" s="3" t="str">
        <f>IF(Table1[[#This Row],[Monthly Income]]&lt;3000,"Low",IF(Table1[[#This Row],[Monthly Income]]&lt;7000,"Medium","High"))</f>
        <v>High</v>
      </c>
      <c r="AK318" s="4"/>
      <c r="AL318" s="4"/>
      <c r="AM318" s="4"/>
      <c r="AN318" s="4"/>
      <c r="AO318" s="4"/>
      <c r="AP318" s="4"/>
      <c r="AQ318" s="4"/>
      <c r="AR318" s="4"/>
      <c r="AS318" s="4"/>
      <c r="AU318" s="4"/>
      <c r="AV318" s="4"/>
      <c r="AW318" s="4"/>
      <c r="AX318" s="4"/>
      <c r="AY318" s="4"/>
      <c r="AZ318" s="4"/>
      <c r="BA318" s="4"/>
      <c r="BB318" s="4"/>
      <c r="BC318" s="4"/>
      <c r="BD318" s="4"/>
      <c r="BE318" s="4"/>
    </row>
    <row r="319" spans="2:57" x14ac:dyDescent="0.3">
      <c r="B319" s="6" t="s">
        <v>342</v>
      </c>
      <c r="C319" s="6">
        <v>52</v>
      </c>
      <c r="D319" s="6" t="s">
        <v>17</v>
      </c>
      <c r="E319" s="6" t="s">
        <v>15</v>
      </c>
      <c r="F319" s="6" t="s">
        <v>18</v>
      </c>
      <c r="G319" s="19">
        <v>4941</v>
      </c>
      <c r="H319" s="11">
        <v>8</v>
      </c>
      <c r="I319" s="6">
        <v>2</v>
      </c>
      <c r="J319" s="6" t="s">
        <v>14</v>
      </c>
      <c r="K319" s="5" t="s">
        <v>9</v>
      </c>
      <c r="L319" s="3" t="str">
        <f>IF(Table1[[#This Row],[Monthly Income]]&lt;3000,"Low",IF(Table1[[#This Row],[Monthly Income]]&lt;7000,"Medium","High"))</f>
        <v>Medium</v>
      </c>
      <c r="AK319" s="6"/>
      <c r="AL319" s="6"/>
      <c r="AM319" s="6"/>
      <c r="AN319" s="6"/>
      <c r="AO319" s="6"/>
      <c r="AP319" s="6"/>
      <c r="AQ319" s="6"/>
      <c r="AR319" s="6"/>
      <c r="AS319" s="6"/>
      <c r="AU319" s="6"/>
      <c r="AV319" s="6"/>
      <c r="AW319" s="6"/>
      <c r="AX319" s="6"/>
      <c r="AY319" s="6"/>
      <c r="AZ319" s="6"/>
      <c r="BA319" s="6"/>
      <c r="BB319" s="6"/>
      <c r="BC319" s="6"/>
      <c r="BD319" s="6"/>
      <c r="BE319" s="6"/>
    </row>
    <row r="320" spans="2:57" x14ac:dyDescent="0.3">
      <c r="B320" s="4" t="s">
        <v>343</v>
      </c>
      <c r="C320" s="4">
        <v>27</v>
      </c>
      <c r="D320" s="4" t="s">
        <v>12</v>
      </c>
      <c r="E320" s="4" t="s">
        <v>15</v>
      </c>
      <c r="F320" s="4" t="s">
        <v>18</v>
      </c>
      <c r="G320" s="18">
        <v>2478</v>
      </c>
      <c r="H320" s="10">
        <v>4</v>
      </c>
      <c r="I320" s="4">
        <v>2</v>
      </c>
      <c r="J320" s="4" t="s">
        <v>9</v>
      </c>
      <c r="K320" s="3" t="s">
        <v>14</v>
      </c>
      <c r="L320" s="3" t="str">
        <f>IF(Table1[[#This Row],[Monthly Income]]&lt;3000,"Low",IF(Table1[[#This Row],[Monthly Income]]&lt;7000,"Medium","High"))</f>
        <v>Low</v>
      </c>
      <c r="AK320" s="4"/>
      <c r="AL320" s="4"/>
      <c r="AM320" s="4"/>
      <c r="AN320" s="4"/>
      <c r="AO320" s="4"/>
      <c r="AP320" s="4"/>
      <c r="AQ320" s="4"/>
      <c r="AR320" s="4"/>
      <c r="AS320" s="4"/>
      <c r="AU320" s="4"/>
      <c r="AV320" s="4"/>
      <c r="AW320" s="4"/>
      <c r="AX320" s="4"/>
      <c r="AY320" s="4"/>
      <c r="AZ320" s="4"/>
      <c r="BA320" s="4"/>
      <c r="BB320" s="4"/>
      <c r="BC320" s="4"/>
      <c r="BD320" s="4"/>
      <c r="BE320" s="4"/>
    </row>
    <row r="321" spans="2:57" x14ac:dyDescent="0.3">
      <c r="B321" s="6" t="s">
        <v>344</v>
      </c>
      <c r="C321" s="6">
        <v>32</v>
      </c>
      <c r="D321" s="6" t="s">
        <v>12</v>
      </c>
      <c r="E321" s="6" t="s">
        <v>10</v>
      </c>
      <c r="F321" s="6" t="s">
        <v>13</v>
      </c>
      <c r="G321" s="19">
        <v>5228</v>
      </c>
      <c r="H321" s="11">
        <v>13</v>
      </c>
      <c r="I321" s="6">
        <v>2</v>
      </c>
      <c r="J321" s="6" t="s">
        <v>9</v>
      </c>
      <c r="K321" s="5" t="s">
        <v>14</v>
      </c>
      <c r="L321" s="3" t="str">
        <f>IF(Table1[[#This Row],[Monthly Income]]&lt;3000,"Low",IF(Table1[[#This Row],[Monthly Income]]&lt;7000,"Medium","High"))</f>
        <v>Medium</v>
      </c>
      <c r="AK321" s="6"/>
      <c r="AL321" s="6"/>
      <c r="AM321" s="6"/>
      <c r="AN321" s="6"/>
      <c r="AO321" s="6"/>
      <c r="AP321" s="6"/>
      <c r="AQ321" s="6"/>
      <c r="AR321" s="6"/>
      <c r="AS321" s="6"/>
      <c r="AU321" s="6"/>
      <c r="AV321" s="6"/>
      <c r="AW321" s="6"/>
      <c r="AX321" s="6"/>
      <c r="AY321" s="6"/>
      <c r="AZ321" s="6"/>
      <c r="BA321" s="6"/>
      <c r="BB321" s="6"/>
      <c r="BC321" s="6"/>
      <c r="BD321" s="6"/>
      <c r="BE321" s="6"/>
    </row>
    <row r="322" spans="2:57" x14ac:dyDescent="0.3">
      <c r="B322" s="4" t="s">
        <v>345</v>
      </c>
      <c r="C322" s="4">
        <v>27</v>
      </c>
      <c r="D322" s="4" t="s">
        <v>17</v>
      </c>
      <c r="E322" s="4" t="s">
        <v>10</v>
      </c>
      <c r="F322" s="4" t="s">
        <v>13</v>
      </c>
      <c r="G322" s="18">
        <v>4478</v>
      </c>
      <c r="H322" s="10">
        <v>5</v>
      </c>
      <c r="I322" s="4">
        <v>3</v>
      </c>
      <c r="J322" s="4" t="s">
        <v>9</v>
      </c>
      <c r="K322" s="3" t="s">
        <v>14</v>
      </c>
      <c r="L322" s="3" t="str">
        <f>IF(Table1[[#This Row],[Monthly Income]]&lt;3000,"Low",IF(Table1[[#This Row],[Monthly Income]]&lt;7000,"Medium","High"))</f>
        <v>Medium</v>
      </c>
      <c r="AK322" s="4"/>
      <c r="AL322" s="4"/>
      <c r="AM322" s="4"/>
      <c r="AN322" s="4"/>
      <c r="AO322" s="4"/>
      <c r="AP322" s="4"/>
      <c r="AQ322" s="4"/>
      <c r="AR322" s="4"/>
      <c r="AS322" s="4"/>
      <c r="AU322" s="4"/>
      <c r="AV322" s="4"/>
      <c r="AW322" s="4"/>
      <c r="AX322" s="4"/>
      <c r="AY322" s="4"/>
      <c r="AZ322" s="4"/>
      <c r="BA322" s="4"/>
      <c r="BB322" s="4"/>
      <c r="BC322" s="4"/>
      <c r="BD322" s="4"/>
      <c r="BE322" s="4"/>
    </row>
    <row r="323" spans="2:57" x14ac:dyDescent="0.3">
      <c r="B323" s="6" t="s">
        <v>346</v>
      </c>
      <c r="C323" s="6">
        <v>31</v>
      </c>
      <c r="D323" s="6" t="s">
        <v>17</v>
      </c>
      <c r="E323" s="6" t="s">
        <v>10</v>
      </c>
      <c r="F323" s="6" t="s">
        <v>13</v>
      </c>
      <c r="G323" s="19">
        <v>7547</v>
      </c>
      <c r="H323" s="11">
        <v>7</v>
      </c>
      <c r="I323" s="6">
        <v>4</v>
      </c>
      <c r="J323" s="6" t="s">
        <v>14</v>
      </c>
      <c r="K323" s="5" t="s">
        <v>14</v>
      </c>
      <c r="L323" s="3" t="str">
        <f>IF(Table1[[#This Row],[Monthly Income]]&lt;3000,"Low",IF(Table1[[#This Row],[Monthly Income]]&lt;7000,"Medium","High"))</f>
        <v>High</v>
      </c>
      <c r="AK323" s="6"/>
      <c r="AL323" s="6"/>
      <c r="AM323" s="6"/>
      <c r="AN323" s="6"/>
      <c r="AO323" s="6"/>
      <c r="AP323" s="6"/>
      <c r="AQ323" s="6"/>
      <c r="AR323" s="6"/>
      <c r="AS323" s="6"/>
      <c r="AU323" s="6"/>
      <c r="AV323" s="6"/>
      <c r="AW323" s="6"/>
      <c r="AX323" s="6"/>
      <c r="AY323" s="6"/>
      <c r="AZ323" s="6"/>
      <c r="BA323" s="6"/>
      <c r="BB323" s="6"/>
      <c r="BC323" s="6"/>
      <c r="BD323" s="6"/>
      <c r="BE323" s="6"/>
    </row>
    <row r="324" spans="2:57" x14ac:dyDescent="0.3">
      <c r="B324" s="4" t="s">
        <v>347</v>
      </c>
      <c r="C324" s="4">
        <v>32</v>
      </c>
      <c r="D324" s="4" t="s">
        <v>12</v>
      </c>
      <c r="E324" s="4" t="s">
        <v>15</v>
      </c>
      <c r="F324" s="4" t="s">
        <v>18</v>
      </c>
      <c r="G324" s="18">
        <v>5055</v>
      </c>
      <c r="H324" s="10">
        <v>7</v>
      </c>
      <c r="I324" s="4">
        <v>4</v>
      </c>
      <c r="J324" s="4" t="s">
        <v>14</v>
      </c>
      <c r="K324" s="3" t="s">
        <v>14</v>
      </c>
      <c r="L324" s="3" t="str">
        <f>IF(Table1[[#This Row],[Monthly Income]]&lt;3000,"Low",IF(Table1[[#This Row],[Monthly Income]]&lt;7000,"Medium","High"))</f>
        <v>Medium</v>
      </c>
      <c r="AK324" s="4"/>
      <c r="AL324" s="4"/>
      <c r="AM324" s="4"/>
      <c r="AN324" s="4"/>
      <c r="AO324" s="4"/>
      <c r="AP324" s="4"/>
      <c r="AQ324" s="4"/>
      <c r="AR324" s="4"/>
      <c r="AS324" s="4"/>
      <c r="AU324" s="4"/>
      <c r="AV324" s="4"/>
      <c r="AW324" s="4"/>
      <c r="AX324" s="4"/>
      <c r="AY324" s="4"/>
      <c r="AZ324" s="4"/>
      <c r="BA324" s="4"/>
      <c r="BB324" s="4"/>
      <c r="BC324" s="4"/>
      <c r="BD324" s="4"/>
      <c r="BE324" s="4"/>
    </row>
    <row r="325" spans="2:57" x14ac:dyDescent="0.3">
      <c r="B325" s="6" t="s">
        <v>348</v>
      </c>
      <c r="C325" s="6">
        <v>28</v>
      </c>
      <c r="D325" s="6" t="s">
        <v>17</v>
      </c>
      <c r="E325" s="6" t="s">
        <v>15</v>
      </c>
      <c r="F325" s="6" t="s">
        <v>18</v>
      </c>
      <c r="G325" s="19">
        <v>3464</v>
      </c>
      <c r="H325" s="11">
        <v>3</v>
      </c>
      <c r="I325" s="6">
        <v>4</v>
      </c>
      <c r="J325" s="6" t="s">
        <v>9</v>
      </c>
      <c r="K325" s="5" t="s">
        <v>9</v>
      </c>
      <c r="L325" s="3" t="str">
        <f>IF(Table1[[#This Row],[Monthly Income]]&lt;3000,"Low",IF(Table1[[#This Row],[Monthly Income]]&lt;7000,"Medium","High"))</f>
        <v>Medium</v>
      </c>
      <c r="AK325" s="6"/>
      <c r="AL325" s="6"/>
      <c r="AM325" s="6"/>
      <c r="AN325" s="6"/>
      <c r="AO325" s="6"/>
      <c r="AP325" s="6"/>
      <c r="AQ325" s="6"/>
      <c r="AR325" s="6"/>
      <c r="AS325" s="6"/>
      <c r="AU325" s="6"/>
      <c r="AV325" s="6"/>
      <c r="AW325" s="6"/>
      <c r="AX325" s="6"/>
      <c r="AY325" s="6"/>
      <c r="AZ325" s="6"/>
      <c r="BA325" s="6"/>
      <c r="BB325" s="6"/>
      <c r="BC325" s="6"/>
      <c r="BD325" s="6"/>
      <c r="BE325" s="6"/>
    </row>
    <row r="326" spans="2:57" x14ac:dyDescent="0.3">
      <c r="B326" s="4" t="s">
        <v>349</v>
      </c>
      <c r="C326" s="4">
        <v>30</v>
      </c>
      <c r="D326" s="4" t="s">
        <v>12</v>
      </c>
      <c r="E326" s="4" t="s">
        <v>15</v>
      </c>
      <c r="F326" s="4" t="s">
        <v>18</v>
      </c>
      <c r="G326" s="18">
        <v>5775</v>
      </c>
      <c r="H326" s="10">
        <v>10</v>
      </c>
      <c r="I326" s="4">
        <v>4</v>
      </c>
      <c r="J326" s="4" t="s">
        <v>14</v>
      </c>
      <c r="K326" s="3" t="s">
        <v>14</v>
      </c>
      <c r="L326" s="3" t="str">
        <f>IF(Table1[[#This Row],[Monthly Income]]&lt;3000,"Low",IF(Table1[[#This Row],[Monthly Income]]&lt;7000,"Medium","High"))</f>
        <v>Medium</v>
      </c>
      <c r="AK326" s="4"/>
      <c r="AL326" s="4"/>
      <c r="AM326" s="4"/>
      <c r="AN326" s="4"/>
      <c r="AO326" s="4"/>
      <c r="AP326" s="4"/>
      <c r="AQ326" s="4"/>
      <c r="AR326" s="4"/>
      <c r="AS326" s="4"/>
      <c r="AU326" s="4"/>
      <c r="AV326" s="4"/>
      <c r="AW326" s="4"/>
      <c r="AX326" s="4"/>
      <c r="AY326" s="4"/>
      <c r="AZ326" s="4"/>
      <c r="BA326" s="4"/>
      <c r="BB326" s="4"/>
      <c r="BC326" s="4"/>
      <c r="BD326" s="4"/>
      <c r="BE326" s="4"/>
    </row>
    <row r="327" spans="2:57" x14ac:dyDescent="0.3">
      <c r="B327" s="6" t="s">
        <v>350</v>
      </c>
      <c r="C327" s="6">
        <v>31</v>
      </c>
      <c r="D327" s="6" t="s">
        <v>12</v>
      </c>
      <c r="E327" s="6" t="s">
        <v>15</v>
      </c>
      <c r="F327" s="6" t="s">
        <v>27</v>
      </c>
      <c r="G327" s="19">
        <v>8943</v>
      </c>
      <c r="H327" s="11">
        <v>10</v>
      </c>
      <c r="I327" s="6">
        <v>3</v>
      </c>
      <c r="J327" s="6" t="s">
        <v>14</v>
      </c>
      <c r="K327" s="5" t="s">
        <v>14</v>
      </c>
      <c r="L327" s="3" t="str">
        <f>IF(Table1[[#This Row],[Monthly Income]]&lt;3000,"Low",IF(Table1[[#This Row],[Monthly Income]]&lt;7000,"Medium","High"))</f>
        <v>High</v>
      </c>
      <c r="AK327" s="6"/>
      <c r="AL327" s="6"/>
      <c r="AM327" s="6"/>
      <c r="AN327" s="6"/>
      <c r="AO327" s="6"/>
      <c r="AP327" s="6"/>
      <c r="AQ327" s="6"/>
      <c r="AR327" s="6"/>
      <c r="AS327" s="6"/>
      <c r="AU327" s="6"/>
      <c r="AV327" s="6"/>
      <c r="AW327" s="6"/>
      <c r="AX327" s="6"/>
      <c r="AY327" s="6"/>
      <c r="AZ327" s="6"/>
      <c r="BA327" s="6"/>
      <c r="BB327" s="6"/>
      <c r="BC327" s="6"/>
      <c r="BD327" s="6"/>
      <c r="BE327" s="6"/>
    </row>
    <row r="328" spans="2:57" x14ac:dyDescent="0.3">
      <c r="B328" s="4" t="s">
        <v>351</v>
      </c>
      <c r="C328" s="4">
        <v>39</v>
      </c>
      <c r="D328" s="4" t="s">
        <v>17</v>
      </c>
      <c r="E328" s="4" t="s">
        <v>15</v>
      </c>
      <c r="F328" s="4" t="s">
        <v>39</v>
      </c>
      <c r="G328" s="18">
        <v>19272</v>
      </c>
      <c r="H328" s="10">
        <v>21</v>
      </c>
      <c r="I328" s="4">
        <v>4</v>
      </c>
      <c r="J328" s="4" t="s">
        <v>14</v>
      </c>
      <c r="K328" s="3" t="s">
        <v>14</v>
      </c>
      <c r="L328" s="3" t="str">
        <f>IF(Table1[[#This Row],[Monthly Income]]&lt;3000,"Low",IF(Table1[[#This Row],[Monthly Income]]&lt;7000,"Medium","High"))</f>
        <v>High</v>
      </c>
      <c r="AK328" s="4"/>
      <c r="AL328" s="4"/>
      <c r="AM328" s="4"/>
      <c r="AN328" s="4"/>
      <c r="AO328" s="4"/>
      <c r="AP328" s="4"/>
      <c r="AQ328" s="4"/>
      <c r="AR328" s="4"/>
      <c r="AS328" s="4"/>
      <c r="AU328" s="4"/>
      <c r="AV328" s="4"/>
      <c r="AW328" s="4"/>
      <c r="AX328" s="4"/>
      <c r="AY328" s="4"/>
      <c r="AZ328" s="4"/>
      <c r="BA328" s="4"/>
      <c r="BB328" s="4"/>
      <c r="BC328" s="4"/>
      <c r="BD328" s="4"/>
      <c r="BE328" s="4"/>
    </row>
    <row r="329" spans="2:57" x14ac:dyDescent="0.3">
      <c r="B329" s="6" t="s">
        <v>352</v>
      </c>
      <c r="C329" s="6">
        <v>39</v>
      </c>
      <c r="D329" s="6" t="s">
        <v>12</v>
      </c>
      <c r="E329" s="6" t="s">
        <v>10</v>
      </c>
      <c r="F329" s="6" t="s">
        <v>13</v>
      </c>
      <c r="G329" s="19">
        <v>5238</v>
      </c>
      <c r="H329" s="11">
        <v>1</v>
      </c>
      <c r="I329" s="6">
        <v>3</v>
      </c>
      <c r="J329" s="6" t="s">
        <v>9</v>
      </c>
      <c r="K329" s="5" t="s">
        <v>9</v>
      </c>
      <c r="L329" s="3" t="str">
        <f>IF(Table1[[#This Row],[Monthly Income]]&lt;3000,"Low",IF(Table1[[#This Row],[Monthly Income]]&lt;7000,"Medium","High"))</f>
        <v>Medium</v>
      </c>
      <c r="AK329" s="6"/>
      <c r="AL329" s="6"/>
      <c r="AM329" s="6"/>
      <c r="AN329" s="6"/>
      <c r="AO329" s="6"/>
      <c r="AP329" s="6"/>
      <c r="AQ329" s="6"/>
      <c r="AR329" s="6"/>
      <c r="AS329" s="6"/>
      <c r="AU329" s="6"/>
      <c r="AV329" s="6"/>
      <c r="AW329" s="6"/>
      <c r="AX329" s="6"/>
      <c r="AY329" s="6"/>
      <c r="AZ329" s="6"/>
      <c r="BA329" s="6"/>
      <c r="BB329" s="6"/>
      <c r="BC329" s="6"/>
      <c r="BD329" s="6"/>
      <c r="BE329" s="6"/>
    </row>
    <row r="330" spans="2:57" x14ac:dyDescent="0.3">
      <c r="B330" s="4" t="s">
        <v>353</v>
      </c>
      <c r="C330" s="4">
        <v>33</v>
      </c>
      <c r="D330" s="4" t="s">
        <v>17</v>
      </c>
      <c r="E330" s="4" t="s">
        <v>10</v>
      </c>
      <c r="F330" s="4" t="s">
        <v>13</v>
      </c>
      <c r="G330" s="18">
        <v>4682</v>
      </c>
      <c r="H330" s="10">
        <v>7</v>
      </c>
      <c r="I330" s="4">
        <v>4</v>
      </c>
      <c r="J330" s="4" t="s">
        <v>14</v>
      </c>
      <c r="K330" s="3" t="s">
        <v>14</v>
      </c>
      <c r="L330" s="3" t="str">
        <f>IF(Table1[[#This Row],[Monthly Income]]&lt;3000,"Low",IF(Table1[[#This Row],[Monthly Income]]&lt;7000,"Medium","High"))</f>
        <v>Medium</v>
      </c>
      <c r="AK330" s="4"/>
      <c r="AL330" s="4"/>
      <c r="AM330" s="4"/>
      <c r="AN330" s="4"/>
      <c r="AO330" s="4"/>
      <c r="AP330" s="4"/>
      <c r="AQ330" s="4"/>
      <c r="AR330" s="4"/>
      <c r="AS330" s="4"/>
      <c r="AU330" s="4"/>
      <c r="AV330" s="4"/>
      <c r="AW330" s="4"/>
      <c r="AX330" s="4"/>
      <c r="AY330" s="4"/>
      <c r="AZ330" s="4"/>
      <c r="BA330" s="4"/>
      <c r="BB330" s="4"/>
      <c r="BC330" s="4"/>
      <c r="BD330" s="4"/>
      <c r="BE330" s="4"/>
    </row>
    <row r="331" spans="2:57" x14ac:dyDescent="0.3">
      <c r="B331" s="6" t="s">
        <v>354</v>
      </c>
      <c r="C331" s="6">
        <v>47</v>
      </c>
      <c r="D331" s="6" t="s">
        <v>17</v>
      </c>
      <c r="E331" s="6" t="s">
        <v>15</v>
      </c>
      <c r="F331" s="6" t="s">
        <v>45</v>
      </c>
      <c r="G331" s="19">
        <v>18300</v>
      </c>
      <c r="H331" s="11">
        <v>3</v>
      </c>
      <c r="I331" s="6">
        <v>3</v>
      </c>
      <c r="J331" s="6" t="s">
        <v>14</v>
      </c>
      <c r="K331" s="5" t="s">
        <v>14</v>
      </c>
      <c r="L331" s="3" t="str">
        <f>IF(Table1[[#This Row],[Monthly Income]]&lt;3000,"Low",IF(Table1[[#This Row],[Monthly Income]]&lt;7000,"Medium","High"))</f>
        <v>High</v>
      </c>
      <c r="AK331" s="6"/>
      <c r="AL331" s="6"/>
      <c r="AM331" s="6"/>
      <c r="AN331" s="6"/>
      <c r="AO331" s="6"/>
      <c r="AP331" s="6"/>
      <c r="AQ331" s="6"/>
      <c r="AR331" s="6"/>
      <c r="AS331" s="6"/>
      <c r="AU331" s="6"/>
      <c r="AV331" s="6"/>
      <c r="AW331" s="6"/>
      <c r="AX331" s="6"/>
      <c r="AY331" s="6"/>
      <c r="AZ331" s="6"/>
      <c r="BA331" s="6"/>
      <c r="BB331" s="6"/>
      <c r="BC331" s="6"/>
      <c r="BD331" s="6"/>
      <c r="BE331" s="6"/>
    </row>
    <row r="332" spans="2:57" x14ac:dyDescent="0.3">
      <c r="B332" s="4" t="s">
        <v>355</v>
      </c>
      <c r="C332" s="4">
        <v>43</v>
      </c>
      <c r="D332" s="4" t="s">
        <v>12</v>
      </c>
      <c r="E332" s="4" t="s">
        <v>15</v>
      </c>
      <c r="F332" s="4" t="s">
        <v>20</v>
      </c>
      <c r="G332" s="18">
        <v>5257</v>
      </c>
      <c r="H332" s="10">
        <v>9</v>
      </c>
      <c r="I332" s="4">
        <v>3</v>
      </c>
      <c r="J332" s="4" t="s">
        <v>14</v>
      </c>
      <c r="K332" s="3" t="s">
        <v>14</v>
      </c>
      <c r="L332" s="3" t="str">
        <f>IF(Table1[[#This Row],[Monthly Income]]&lt;3000,"Low",IF(Table1[[#This Row],[Monthly Income]]&lt;7000,"Medium","High"))</f>
        <v>Medium</v>
      </c>
      <c r="AK332" s="4"/>
      <c r="AL332" s="4"/>
      <c r="AM332" s="4"/>
      <c r="AN332" s="4"/>
      <c r="AO332" s="4"/>
      <c r="AP332" s="4"/>
      <c r="AQ332" s="4"/>
      <c r="AR332" s="4"/>
      <c r="AS332" s="4"/>
      <c r="AU332" s="4"/>
      <c r="AV332" s="4"/>
      <c r="AW332" s="4"/>
      <c r="AX332" s="4"/>
      <c r="AY332" s="4"/>
      <c r="AZ332" s="4"/>
      <c r="BA332" s="4"/>
      <c r="BB332" s="4"/>
      <c r="BC332" s="4"/>
      <c r="BD332" s="4"/>
      <c r="BE332" s="4"/>
    </row>
    <row r="333" spans="2:57" x14ac:dyDescent="0.3">
      <c r="B333" s="6" t="s">
        <v>356</v>
      </c>
      <c r="C333" s="6">
        <v>27</v>
      </c>
      <c r="D333" s="6" t="s">
        <v>17</v>
      </c>
      <c r="E333" s="6" t="s">
        <v>10</v>
      </c>
      <c r="F333" s="6" t="s">
        <v>13</v>
      </c>
      <c r="G333" s="19">
        <v>6349</v>
      </c>
      <c r="H333" s="11">
        <v>5</v>
      </c>
      <c r="I333" s="6">
        <v>2</v>
      </c>
      <c r="J333" s="6" t="s">
        <v>9</v>
      </c>
      <c r="K333" s="5" t="s">
        <v>14</v>
      </c>
      <c r="L333" s="3" t="str">
        <f>IF(Table1[[#This Row],[Monthly Income]]&lt;3000,"Low",IF(Table1[[#This Row],[Monthly Income]]&lt;7000,"Medium","High"))</f>
        <v>Medium</v>
      </c>
      <c r="AK333" s="6"/>
      <c r="AL333" s="6"/>
      <c r="AM333" s="6"/>
      <c r="AN333" s="6"/>
      <c r="AO333" s="6"/>
      <c r="AP333" s="6"/>
      <c r="AQ333" s="6"/>
      <c r="AR333" s="6"/>
      <c r="AS333" s="6"/>
      <c r="AU333" s="6"/>
      <c r="AV333" s="6"/>
      <c r="AW333" s="6"/>
      <c r="AX333" s="6"/>
      <c r="AY333" s="6"/>
      <c r="AZ333" s="6"/>
      <c r="BA333" s="6"/>
      <c r="BB333" s="6"/>
      <c r="BC333" s="6"/>
      <c r="BD333" s="6"/>
      <c r="BE333" s="6"/>
    </row>
    <row r="334" spans="2:57" x14ac:dyDescent="0.3">
      <c r="B334" s="4" t="s">
        <v>357</v>
      </c>
      <c r="C334" s="4">
        <v>54</v>
      </c>
      <c r="D334" s="4" t="s">
        <v>12</v>
      </c>
      <c r="E334" s="4" t="s">
        <v>15</v>
      </c>
      <c r="F334" s="4" t="s">
        <v>18</v>
      </c>
      <c r="G334" s="18">
        <v>4869</v>
      </c>
      <c r="H334" s="10">
        <v>4</v>
      </c>
      <c r="I334" s="4">
        <v>3</v>
      </c>
      <c r="J334" s="4" t="s">
        <v>14</v>
      </c>
      <c r="K334" s="3" t="s">
        <v>14</v>
      </c>
      <c r="L334" s="3" t="str">
        <f>IF(Table1[[#This Row],[Monthly Income]]&lt;3000,"Low",IF(Table1[[#This Row],[Monthly Income]]&lt;7000,"Medium","High"))</f>
        <v>Medium</v>
      </c>
      <c r="AK334" s="4"/>
      <c r="AL334" s="4"/>
      <c r="AM334" s="4"/>
      <c r="AN334" s="4"/>
      <c r="AO334" s="4"/>
      <c r="AP334" s="4"/>
      <c r="AQ334" s="4"/>
      <c r="AR334" s="4"/>
      <c r="AS334" s="4"/>
      <c r="AU334" s="4"/>
      <c r="AV334" s="4"/>
      <c r="AW334" s="4"/>
      <c r="AX334" s="4"/>
      <c r="AY334" s="4"/>
      <c r="AZ334" s="4"/>
      <c r="BA334" s="4"/>
      <c r="BB334" s="4"/>
      <c r="BC334" s="4"/>
      <c r="BD334" s="4"/>
      <c r="BE334" s="4"/>
    </row>
    <row r="335" spans="2:57" x14ac:dyDescent="0.3">
      <c r="B335" s="6" t="s">
        <v>358</v>
      </c>
      <c r="C335" s="6">
        <v>43</v>
      </c>
      <c r="D335" s="6" t="s">
        <v>12</v>
      </c>
      <c r="E335" s="6" t="s">
        <v>15</v>
      </c>
      <c r="F335" s="6" t="s">
        <v>29</v>
      </c>
      <c r="G335" s="19">
        <v>9985</v>
      </c>
      <c r="H335" s="11">
        <v>1</v>
      </c>
      <c r="I335" s="6">
        <v>1</v>
      </c>
      <c r="J335" s="6" t="s">
        <v>14</v>
      </c>
      <c r="K335" s="5" t="s">
        <v>14</v>
      </c>
      <c r="L335" s="3" t="str">
        <f>IF(Table1[[#This Row],[Monthly Income]]&lt;3000,"Low",IF(Table1[[#This Row],[Monthly Income]]&lt;7000,"Medium","High"))</f>
        <v>High</v>
      </c>
      <c r="AK335" s="6"/>
      <c r="AL335" s="6"/>
      <c r="AM335" s="6"/>
      <c r="AN335" s="6"/>
      <c r="AO335" s="6"/>
      <c r="AP335" s="6"/>
      <c r="AQ335" s="6"/>
      <c r="AR335" s="6"/>
      <c r="AS335" s="6"/>
      <c r="AU335" s="6"/>
      <c r="AV335" s="6"/>
      <c r="AW335" s="6"/>
      <c r="AX335" s="6"/>
      <c r="AY335" s="6"/>
      <c r="AZ335" s="6"/>
      <c r="BA335" s="6"/>
      <c r="BB335" s="6"/>
      <c r="BC335" s="6"/>
      <c r="BD335" s="6"/>
      <c r="BE335" s="6"/>
    </row>
    <row r="336" spans="2:57" x14ac:dyDescent="0.3">
      <c r="B336" s="4" t="s">
        <v>359</v>
      </c>
      <c r="C336" s="4">
        <v>45</v>
      </c>
      <c r="D336" s="4" t="s">
        <v>17</v>
      </c>
      <c r="E336" s="4" t="s">
        <v>15</v>
      </c>
      <c r="F336" s="4" t="s">
        <v>18</v>
      </c>
      <c r="G336" s="18">
        <v>3697</v>
      </c>
      <c r="H336" s="10">
        <v>10</v>
      </c>
      <c r="I336" s="4">
        <v>4</v>
      </c>
      <c r="J336" s="4" t="s">
        <v>14</v>
      </c>
      <c r="K336" s="3" t="s">
        <v>14</v>
      </c>
      <c r="L336" s="3" t="str">
        <f>IF(Table1[[#This Row],[Monthly Income]]&lt;3000,"Low",IF(Table1[[#This Row],[Monthly Income]]&lt;7000,"Medium","High"))</f>
        <v>Medium</v>
      </c>
      <c r="AK336" s="4"/>
      <c r="AL336" s="4"/>
      <c r="AM336" s="4"/>
      <c r="AN336" s="4"/>
      <c r="AO336" s="4"/>
      <c r="AP336" s="4"/>
      <c r="AQ336" s="4"/>
      <c r="AR336" s="4"/>
      <c r="AS336" s="4"/>
      <c r="AU336" s="4"/>
      <c r="AV336" s="4"/>
      <c r="AW336" s="4"/>
      <c r="AX336" s="4"/>
      <c r="AY336" s="4"/>
      <c r="AZ336" s="4"/>
      <c r="BA336" s="4"/>
      <c r="BB336" s="4"/>
      <c r="BC336" s="4"/>
      <c r="BD336" s="4"/>
      <c r="BE336" s="4"/>
    </row>
    <row r="337" spans="2:57" x14ac:dyDescent="0.3">
      <c r="B337" s="6" t="s">
        <v>360</v>
      </c>
      <c r="C337" s="6">
        <v>40</v>
      </c>
      <c r="D337" s="6" t="s">
        <v>17</v>
      </c>
      <c r="E337" s="6" t="s">
        <v>10</v>
      </c>
      <c r="F337" s="6" t="s">
        <v>13</v>
      </c>
      <c r="G337" s="19">
        <v>7457</v>
      </c>
      <c r="H337" s="11">
        <v>4</v>
      </c>
      <c r="I337" s="6">
        <v>4</v>
      </c>
      <c r="J337" s="6" t="s">
        <v>9</v>
      </c>
      <c r="K337" s="5" t="s">
        <v>14</v>
      </c>
      <c r="L337" s="3" t="str">
        <f>IF(Table1[[#This Row],[Monthly Income]]&lt;3000,"Low",IF(Table1[[#This Row],[Monthly Income]]&lt;7000,"Medium","High"))</f>
        <v>High</v>
      </c>
      <c r="AK337" s="6"/>
      <c r="AL337" s="6"/>
      <c r="AM337" s="6"/>
      <c r="AN337" s="6"/>
      <c r="AO337" s="6"/>
      <c r="AP337" s="6"/>
      <c r="AQ337" s="6"/>
      <c r="AR337" s="6"/>
      <c r="AS337" s="6"/>
      <c r="AU337" s="6"/>
      <c r="AV337" s="6"/>
      <c r="AW337" s="6"/>
      <c r="AX337" s="6"/>
      <c r="AY337" s="6"/>
      <c r="AZ337" s="6"/>
      <c r="BA337" s="6"/>
      <c r="BB337" s="6"/>
      <c r="BC337" s="6"/>
      <c r="BD337" s="6"/>
      <c r="BE337" s="6"/>
    </row>
    <row r="338" spans="2:57" x14ac:dyDescent="0.3">
      <c r="B338" s="4" t="s">
        <v>361</v>
      </c>
      <c r="C338" s="4">
        <v>29</v>
      </c>
      <c r="D338" s="4" t="s">
        <v>17</v>
      </c>
      <c r="E338" s="4" t="s">
        <v>15</v>
      </c>
      <c r="F338" s="4" t="s">
        <v>20</v>
      </c>
      <c r="G338" s="18">
        <v>2119</v>
      </c>
      <c r="H338" s="10">
        <v>7</v>
      </c>
      <c r="I338" s="4">
        <v>1</v>
      </c>
      <c r="J338" s="4" t="s">
        <v>9</v>
      </c>
      <c r="K338" s="3" t="s">
        <v>9</v>
      </c>
      <c r="L338" s="3" t="str">
        <f>IF(Table1[[#This Row],[Monthly Income]]&lt;3000,"Low",IF(Table1[[#This Row],[Monthly Income]]&lt;7000,"Medium","High"))</f>
        <v>Low</v>
      </c>
      <c r="AK338" s="4"/>
      <c r="AL338" s="4"/>
      <c r="AM338" s="4"/>
      <c r="AN338" s="4"/>
      <c r="AO338" s="4"/>
      <c r="AP338" s="4"/>
      <c r="AQ338" s="4"/>
      <c r="AR338" s="4"/>
      <c r="AS338" s="4"/>
      <c r="AU338" s="4"/>
      <c r="AV338" s="4"/>
      <c r="AW338" s="4"/>
      <c r="AX338" s="4"/>
      <c r="AY338" s="4"/>
      <c r="AZ338" s="4"/>
      <c r="BA338" s="4"/>
      <c r="BB338" s="4"/>
      <c r="BC338" s="4"/>
      <c r="BD338" s="4"/>
      <c r="BE338" s="4"/>
    </row>
    <row r="339" spans="2:57" x14ac:dyDescent="0.3">
      <c r="B339" s="6" t="s">
        <v>362</v>
      </c>
      <c r="C339" s="6">
        <v>29</v>
      </c>
      <c r="D339" s="6" t="s">
        <v>17</v>
      </c>
      <c r="E339" s="6" t="s">
        <v>15</v>
      </c>
      <c r="F339" s="6" t="s">
        <v>20</v>
      </c>
      <c r="G339" s="19">
        <v>3983</v>
      </c>
      <c r="H339" s="11">
        <v>3</v>
      </c>
      <c r="I339" s="6">
        <v>4</v>
      </c>
      <c r="J339" s="6" t="s">
        <v>14</v>
      </c>
      <c r="K339" s="5" t="s">
        <v>14</v>
      </c>
      <c r="L339" s="3" t="str">
        <f>IF(Table1[[#This Row],[Monthly Income]]&lt;3000,"Low",IF(Table1[[#This Row],[Monthly Income]]&lt;7000,"Medium","High"))</f>
        <v>Medium</v>
      </c>
      <c r="AK339" s="6"/>
      <c r="AL339" s="6"/>
      <c r="AM339" s="6"/>
      <c r="AN339" s="6"/>
      <c r="AO339" s="6"/>
      <c r="AP339" s="6"/>
      <c r="AQ339" s="6"/>
      <c r="AR339" s="6"/>
      <c r="AS339" s="6"/>
      <c r="AU339" s="6"/>
      <c r="AV339" s="6"/>
      <c r="AW339" s="6"/>
      <c r="AX339" s="6"/>
      <c r="AY339" s="6"/>
      <c r="AZ339" s="6"/>
      <c r="BA339" s="6"/>
      <c r="BB339" s="6"/>
      <c r="BC339" s="6"/>
      <c r="BD339" s="6"/>
      <c r="BE339" s="6"/>
    </row>
    <row r="340" spans="2:57" x14ac:dyDescent="0.3">
      <c r="B340" s="4" t="s">
        <v>363</v>
      </c>
      <c r="C340" s="4">
        <v>30</v>
      </c>
      <c r="D340" s="4" t="s">
        <v>12</v>
      </c>
      <c r="E340" s="4" t="s">
        <v>10</v>
      </c>
      <c r="F340" s="4" t="s">
        <v>13</v>
      </c>
      <c r="G340" s="18">
        <v>6118</v>
      </c>
      <c r="H340" s="10">
        <v>10</v>
      </c>
      <c r="I340" s="4">
        <v>3</v>
      </c>
      <c r="J340" s="4" t="s">
        <v>14</v>
      </c>
      <c r="K340" s="3" t="s">
        <v>14</v>
      </c>
      <c r="L340" s="3" t="str">
        <f>IF(Table1[[#This Row],[Monthly Income]]&lt;3000,"Low",IF(Table1[[#This Row],[Monthly Income]]&lt;7000,"Medium","High"))</f>
        <v>Medium</v>
      </c>
      <c r="AK340" s="4"/>
      <c r="AL340" s="4"/>
      <c r="AM340" s="4"/>
      <c r="AN340" s="4"/>
      <c r="AO340" s="4"/>
      <c r="AP340" s="4"/>
      <c r="AQ340" s="4"/>
      <c r="AR340" s="4"/>
      <c r="AS340" s="4"/>
      <c r="AU340" s="4"/>
      <c r="AV340" s="4"/>
      <c r="AW340" s="4"/>
      <c r="AX340" s="4"/>
      <c r="AY340" s="4"/>
      <c r="AZ340" s="4"/>
      <c r="BA340" s="4"/>
      <c r="BB340" s="4"/>
      <c r="BC340" s="4"/>
      <c r="BD340" s="4"/>
      <c r="BE340" s="4"/>
    </row>
    <row r="341" spans="2:57" x14ac:dyDescent="0.3">
      <c r="B341" s="6" t="s">
        <v>364</v>
      </c>
      <c r="C341" s="6">
        <v>27</v>
      </c>
      <c r="D341" s="6" t="s">
        <v>12</v>
      </c>
      <c r="E341" s="6" t="s">
        <v>10</v>
      </c>
      <c r="F341" s="6" t="s">
        <v>13</v>
      </c>
      <c r="G341" s="19">
        <v>6214</v>
      </c>
      <c r="H341" s="11">
        <v>8</v>
      </c>
      <c r="I341" s="6">
        <v>2</v>
      </c>
      <c r="J341" s="6" t="s">
        <v>14</v>
      </c>
      <c r="K341" s="5" t="s">
        <v>14</v>
      </c>
      <c r="L341" s="3" t="str">
        <f>IF(Table1[[#This Row],[Monthly Income]]&lt;3000,"Low",IF(Table1[[#This Row],[Monthly Income]]&lt;7000,"Medium","High"))</f>
        <v>Medium</v>
      </c>
      <c r="AK341" s="6"/>
      <c r="AL341" s="6"/>
      <c r="AM341" s="6"/>
      <c r="AN341" s="6"/>
      <c r="AO341" s="6"/>
      <c r="AP341" s="6"/>
      <c r="AQ341" s="6"/>
      <c r="AR341" s="6"/>
      <c r="AS341" s="6"/>
      <c r="AU341" s="6"/>
      <c r="AV341" s="6"/>
      <c r="AW341" s="6"/>
      <c r="AX341" s="6"/>
      <c r="AY341" s="6"/>
      <c r="AZ341" s="6"/>
      <c r="BA341" s="6"/>
      <c r="BB341" s="6"/>
      <c r="BC341" s="6"/>
      <c r="BD341" s="6"/>
      <c r="BE341" s="6"/>
    </row>
    <row r="342" spans="2:57" x14ac:dyDescent="0.3">
      <c r="B342" s="4" t="s">
        <v>365</v>
      </c>
      <c r="C342" s="4">
        <v>37</v>
      </c>
      <c r="D342" s="4" t="s">
        <v>17</v>
      </c>
      <c r="E342" s="4" t="s">
        <v>15</v>
      </c>
      <c r="F342" s="4" t="s">
        <v>27</v>
      </c>
      <c r="G342" s="18">
        <v>6347</v>
      </c>
      <c r="H342" s="10">
        <v>6</v>
      </c>
      <c r="I342" s="4">
        <v>4</v>
      </c>
      <c r="J342" s="4" t="s">
        <v>14</v>
      </c>
      <c r="K342" s="3" t="s">
        <v>14</v>
      </c>
      <c r="L342" s="3" t="str">
        <f>IF(Table1[[#This Row],[Monthly Income]]&lt;3000,"Low",IF(Table1[[#This Row],[Monthly Income]]&lt;7000,"Medium","High"))</f>
        <v>Medium</v>
      </c>
      <c r="AK342" s="4"/>
      <c r="AL342" s="4"/>
      <c r="AM342" s="4"/>
      <c r="AN342" s="4"/>
      <c r="AO342" s="4"/>
      <c r="AP342" s="4"/>
      <c r="AQ342" s="4"/>
      <c r="AR342" s="4"/>
      <c r="AS342" s="4"/>
      <c r="AU342" s="4"/>
      <c r="AV342" s="4"/>
      <c r="AW342" s="4"/>
      <c r="AX342" s="4"/>
      <c r="AY342" s="4"/>
      <c r="AZ342" s="4"/>
      <c r="BA342" s="4"/>
      <c r="BB342" s="4"/>
      <c r="BC342" s="4"/>
      <c r="BD342" s="4"/>
      <c r="BE342" s="4"/>
    </row>
    <row r="343" spans="2:57" x14ac:dyDescent="0.3">
      <c r="B343" s="6" t="s">
        <v>366</v>
      </c>
      <c r="C343" s="6">
        <v>38</v>
      </c>
      <c r="D343" s="6" t="s">
        <v>17</v>
      </c>
      <c r="E343" s="6" t="s">
        <v>15</v>
      </c>
      <c r="F343" s="6" t="s">
        <v>45</v>
      </c>
      <c r="G343" s="19">
        <v>11510</v>
      </c>
      <c r="H343" s="11">
        <v>11</v>
      </c>
      <c r="I343" s="6">
        <v>4</v>
      </c>
      <c r="J343" s="6" t="s">
        <v>9</v>
      </c>
      <c r="K343" s="5" t="s">
        <v>14</v>
      </c>
      <c r="L343" s="3" t="str">
        <f>IF(Table1[[#This Row],[Monthly Income]]&lt;3000,"Low",IF(Table1[[#This Row],[Monthly Income]]&lt;7000,"Medium","High"))</f>
        <v>High</v>
      </c>
      <c r="AK343" s="6"/>
      <c r="AL343" s="6"/>
      <c r="AM343" s="6"/>
      <c r="AN343" s="6"/>
      <c r="AO343" s="6"/>
      <c r="AP343" s="6"/>
      <c r="AQ343" s="6"/>
      <c r="AR343" s="6"/>
      <c r="AS343" s="6"/>
      <c r="AU343" s="6"/>
      <c r="AV343" s="6"/>
      <c r="AW343" s="6"/>
      <c r="AX343" s="6"/>
      <c r="AY343" s="6"/>
      <c r="AZ343" s="6"/>
      <c r="BA343" s="6"/>
      <c r="BB343" s="6"/>
      <c r="BC343" s="6"/>
      <c r="BD343" s="6"/>
      <c r="BE343" s="6"/>
    </row>
    <row r="344" spans="2:57" x14ac:dyDescent="0.3">
      <c r="B344" s="4" t="s">
        <v>367</v>
      </c>
      <c r="C344" s="4">
        <v>31</v>
      </c>
      <c r="D344" s="4" t="s">
        <v>12</v>
      </c>
      <c r="E344" s="4" t="s">
        <v>15</v>
      </c>
      <c r="F344" s="4" t="s">
        <v>27</v>
      </c>
      <c r="G344" s="18">
        <v>7143</v>
      </c>
      <c r="H344" s="10">
        <v>11</v>
      </c>
      <c r="I344" s="4">
        <v>4</v>
      </c>
      <c r="J344" s="4" t="s">
        <v>9</v>
      </c>
      <c r="K344" s="3" t="s">
        <v>14</v>
      </c>
      <c r="L344" s="3" t="str">
        <f>IF(Table1[[#This Row],[Monthly Income]]&lt;3000,"Low",IF(Table1[[#This Row],[Monthly Income]]&lt;7000,"Medium","High"))</f>
        <v>High</v>
      </c>
      <c r="AK344" s="4"/>
      <c r="AL344" s="4"/>
      <c r="AM344" s="4"/>
      <c r="AN344" s="4"/>
      <c r="AO344" s="4"/>
      <c r="AP344" s="4"/>
      <c r="AQ344" s="4"/>
      <c r="AR344" s="4"/>
      <c r="AS344" s="4"/>
      <c r="AU344" s="4"/>
      <c r="AV344" s="4"/>
      <c r="AW344" s="4"/>
      <c r="AX344" s="4"/>
      <c r="AY344" s="4"/>
      <c r="AZ344" s="4"/>
      <c r="BA344" s="4"/>
      <c r="BB344" s="4"/>
      <c r="BC344" s="4"/>
      <c r="BD344" s="4"/>
      <c r="BE344" s="4"/>
    </row>
    <row r="345" spans="2:57" x14ac:dyDescent="0.3">
      <c r="B345" s="6" t="s">
        <v>368</v>
      </c>
      <c r="C345" s="6">
        <v>29</v>
      </c>
      <c r="D345" s="6" t="s">
        <v>12</v>
      </c>
      <c r="E345" s="6" t="s">
        <v>10</v>
      </c>
      <c r="F345" s="6" t="s">
        <v>13</v>
      </c>
      <c r="G345" s="19">
        <v>8268</v>
      </c>
      <c r="H345" s="11">
        <v>7</v>
      </c>
      <c r="I345" s="6">
        <v>2</v>
      </c>
      <c r="J345" s="6" t="s">
        <v>9</v>
      </c>
      <c r="K345" s="5" t="s">
        <v>14</v>
      </c>
      <c r="L345" s="3" t="str">
        <f>IF(Table1[[#This Row],[Monthly Income]]&lt;3000,"Low",IF(Table1[[#This Row],[Monthly Income]]&lt;7000,"Medium","High"))</f>
        <v>High</v>
      </c>
      <c r="AK345" s="6"/>
      <c r="AL345" s="6"/>
      <c r="AM345" s="6"/>
      <c r="AN345" s="6"/>
      <c r="AO345" s="6"/>
      <c r="AP345" s="6"/>
      <c r="AQ345" s="6"/>
      <c r="AR345" s="6"/>
      <c r="AS345" s="6"/>
      <c r="AU345" s="6"/>
      <c r="AV345" s="6"/>
      <c r="AW345" s="6"/>
      <c r="AX345" s="6"/>
      <c r="AY345" s="6"/>
      <c r="AZ345" s="6"/>
      <c r="BA345" s="6"/>
      <c r="BB345" s="6"/>
      <c r="BC345" s="6"/>
      <c r="BD345" s="6"/>
      <c r="BE345" s="6"/>
    </row>
    <row r="346" spans="2:57" x14ac:dyDescent="0.3">
      <c r="B346" s="4" t="s">
        <v>369</v>
      </c>
      <c r="C346" s="4">
        <v>35</v>
      </c>
      <c r="D346" s="4" t="s">
        <v>17</v>
      </c>
      <c r="E346" s="4" t="s">
        <v>15</v>
      </c>
      <c r="F346" s="4" t="s">
        <v>27</v>
      </c>
      <c r="G346" s="18">
        <v>8095</v>
      </c>
      <c r="H346" s="10">
        <v>16</v>
      </c>
      <c r="I346" s="4">
        <v>2</v>
      </c>
      <c r="J346" s="4" t="s">
        <v>14</v>
      </c>
      <c r="K346" s="3" t="s">
        <v>14</v>
      </c>
      <c r="L346" s="3" t="str">
        <f>IF(Table1[[#This Row],[Monthly Income]]&lt;3000,"Low",IF(Table1[[#This Row],[Monthly Income]]&lt;7000,"Medium","High"))</f>
        <v>High</v>
      </c>
      <c r="AK346" s="4"/>
      <c r="AL346" s="4"/>
      <c r="AM346" s="4"/>
      <c r="AN346" s="4"/>
      <c r="AO346" s="4"/>
      <c r="AP346" s="4"/>
      <c r="AQ346" s="4"/>
      <c r="AR346" s="4"/>
      <c r="AS346" s="4"/>
      <c r="AU346" s="4"/>
      <c r="AV346" s="4"/>
      <c r="AW346" s="4"/>
      <c r="AX346" s="4"/>
      <c r="AY346" s="4"/>
      <c r="AZ346" s="4"/>
      <c r="BA346" s="4"/>
      <c r="BB346" s="4"/>
      <c r="BC346" s="4"/>
      <c r="BD346" s="4"/>
      <c r="BE346" s="4"/>
    </row>
    <row r="347" spans="2:57" x14ac:dyDescent="0.3">
      <c r="B347" s="6" t="s">
        <v>370</v>
      </c>
      <c r="C347" s="6">
        <v>23</v>
      </c>
      <c r="D347" s="6" t="s">
        <v>17</v>
      </c>
      <c r="E347" s="6" t="s">
        <v>15</v>
      </c>
      <c r="F347" s="6" t="s">
        <v>18</v>
      </c>
      <c r="G347" s="19">
        <v>2904</v>
      </c>
      <c r="H347" s="11">
        <v>4</v>
      </c>
      <c r="I347" s="6">
        <v>4</v>
      </c>
      <c r="J347" s="6" t="s">
        <v>14</v>
      </c>
      <c r="K347" s="5" t="s">
        <v>14</v>
      </c>
      <c r="L347" s="3" t="str">
        <f>IF(Table1[[#This Row],[Monthly Income]]&lt;3000,"Low",IF(Table1[[#This Row],[Monthly Income]]&lt;7000,"Medium","High"))</f>
        <v>Low</v>
      </c>
      <c r="AK347" s="6"/>
      <c r="AL347" s="6"/>
      <c r="AM347" s="6"/>
      <c r="AN347" s="6"/>
      <c r="AO347" s="6"/>
      <c r="AP347" s="6"/>
      <c r="AQ347" s="6"/>
      <c r="AR347" s="6"/>
      <c r="AS347" s="6"/>
      <c r="AU347" s="6"/>
      <c r="AV347" s="6"/>
      <c r="AW347" s="6"/>
      <c r="AX347" s="6"/>
      <c r="AY347" s="6"/>
      <c r="AZ347" s="6"/>
      <c r="BA347" s="6"/>
      <c r="BB347" s="6"/>
      <c r="BC347" s="6"/>
      <c r="BD347" s="6"/>
      <c r="BE347" s="6"/>
    </row>
    <row r="348" spans="2:57" x14ac:dyDescent="0.3">
      <c r="B348" s="4" t="s">
        <v>371</v>
      </c>
      <c r="C348" s="4">
        <v>41</v>
      </c>
      <c r="D348" s="4" t="s">
        <v>17</v>
      </c>
      <c r="E348" s="4" t="s">
        <v>15</v>
      </c>
      <c r="F348" s="4" t="s">
        <v>27</v>
      </c>
      <c r="G348" s="18">
        <v>6032</v>
      </c>
      <c r="H348" s="10">
        <v>5</v>
      </c>
      <c r="I348" s="4">
        <v>2</v>
      </c>
      <c r="J348" s="4" t="s">
        <v>9</v>
      </c>
      <c r="K348" s="3" t="s">
        <v>14</v>
      </c>
      <c r="L348" s="3" t="str">
        <f>IF(Table1[[#This Row],[Monthly Income]]&lt;3000,"Low",IF(Table1[[#This Row],[Monthly Income]]&lt;7000,"Medium","High"))</f>
        <v>Medium</v>
      </c>
      <c r="AK348" s="4"/>
      <c r="AL348" s="4"/>
      <c r="AM348" s="4"/>
      <c r="AN348" s="4"/>
      <c r="AO348" s="4"/>
      <c r="AP348" s="4"/>
      <c r="AQ348" s="4"/>
      <c r="AR348" s="4"/>
      <c r="AS348" s="4"/>
      <c r="AU348" s="4"/>
      <c r="AV348" s="4"/>
      <c r="AW348" s="4"/>
      <c r="AX348" s="4"/>
      <c r="AY348" s="4"/>
      <c r="AZ348" s="4"/>
      <c r="BA348" s="4"/>
      <c r="BB348" s="4"/>
      <c r="BC348" s="4"/>
      <c r="BD348" s="4"/>
      <c r="BE348" s="4"/>
    </row>
    <row r="349" spans="2:57" x14ac:dyDescent="0.3">
      <c r="B349" s="6" t="s">
        <v>372</v>
      </c>
      <c r="C349" s="6">
        <v>47</v>
      </c>
      <c r="D349" s="6" t="s">
        <v>17</v>
      </c>
      <c r="E349" s="6" t="s">
        <v>10</v>
      </c>
      <c r="F349" s="6" t="s">
        <v>43</v>
      </c>
      <c r="G349" s="19">
        <v>2976</v>
      </c>
      <c r="H349" s="11">
        <v>0</v>
      </c>
      <c r="I349" s="6">
        <v>3</v>
      </c>
      <c r="J349" s="6" t="s">
        <v>14</v>
      </c>
      <c r="K349" s="5" t="s">
        <v>14</v>
      </c>
      <c r="L349" s="3" t="str">
        <f>IF(Table1[[#This Row],[Monthly Income]]&lt;3000,"Low",IF(Table1[[#This Row],[Monthly Income]]&lt;7000,"Medium","High"))</f>
        <v>Low</v>
      </c>
      <c r="AK349" s="6"/>
      <c r="AL349" s="6"/>
      <c r="AM349" s="6"/>
      <c r="AN349" s="6"/>
      <c r="AO349" s="6"/>
      <c r="AP349" s="6"/>
      <c r="AQ349" s="6"/>
      <c r="AR349" s="6"/>
      <c r="AS349" s="6"/>
      <c r="AU349" s="6"/>
      <c r="AV349" s="6"/>
      <c r="AW349" s="6"/>
      <c r="AX349" s="6"/>
      <c r="AY349" s="6"/>
      <c r="AZ349" s="6"/>
      <c r="BA349" s="6"/>
      <c r="BB349" s="6"/>
      <c r="BC349" s="6"/>
      <c r="BD349" s="6"/>
      <c r="BE349" s="6"/>
    </row>
    <row r="350" spans="2:57" x14ac:dyDescent="0.3">
      <c r="B350" s="4" t="s">
        <v>373</v>
      </c>
      <c r="C350" s="4">
        <v>42</v>
      </c>
      <c r="D350" s="4" t="s">
        <v>12</v>
      </c>
      <c r="E350" s="4" t="s">
        <v>15</v>
      </c>
      <c r="F350" s="4" t="s">
        <v>45</v>
      </c>
      <c r="G350" s="18">
        <v>15992</v>
      </c>
      <c r="H350" s="10">
        <v>1</v>
      </c>
      <c r="I350" s="4">
        <v>4</v>
      </c>
      <c r="J350" s="4" t="s">
        <v>14</v>
      </c>
      <c r="K350" s="3" t="s">
        <v>14</v>
      </c>
      <c r="L350" s="3" t="str">
        <f>IF(Table1[[#This Row],[Monthly Income]]&lt;3000,"Low",IF(Table1[[#This Row],[Monthly Income]]&lt;7000,"Medium","High"))</f>
        <v>High</v>
      </c>
      <c r="AK350" s="4"/>
      <c r="AL350" s="4"/>
      <c r="AM350" s="4"/>
      <c r="AN350" s="4"/>
      <c r="AO350" s="4"/>
      <c r="AP350" s="4"/>
      <c r="AQ350" s="4"/>
      <c r="AR350" s="4"/>
      <c r="AS350" s="4"/>
      <c r="AU350" s="4"/>
      <c r="AV350" s="4"/>
      <c r="AW350" s="4"/>
      <c r="AX350" s="4"/>
      <c r="AY350" s="4"/>
      <c r="AZ350" s="4"/>
      <c r="BA350" s="4"/>
      <c r="BB350" s="4"/>
      <c r="BC350" s="4"/>
      <c r="BD350" s="4"/>
      <c r="BE350" s="4"/>
    </row>
    <row r="351" spans="2:57" x14ac:dyDescent="0.3">
      <c r="B351" s="6" t="s">
        <v>374</v>
      </c>
      <c r="C351" s="6">
        <v>29</v>
      </c>
      <c r="D351" s="6" t="s">
        <v>17</v>
      </c>
      <c r="E351" s="6" t="s">
        <v>10</v>
      </c>
      <c r="F351" s="6" t="s">
        <v>13</v>
      </c>
      <c r="G351" s="19">
        <v>4649</v>
      </c>
      <c r="H351" s="11">
        <v>4</v>
      </c>
      <c r="I351" s="6">
        <v>3</v>
      </c>
      <c r="J351" s="6" t="s">
        <v>14</v>
      </c>
      <c r="K351" s="5" t="s">
        <v>14</v>
      </c>
      <c r="L351" s="3" t="str">
        <f>IF(Table1[[#This Row],[Monthly Income]]&lt;3000,"Low",IF(Table1[[#This Row],[Monthly Income]]&lt;7000,"Medium","High"))</f>
        <v>Medium</v>
      </c>
      <c r="AK351" s="6"/>
      <c r="AL351" s="6"/>
      <c r="AM351" s="6"/>
      <c r="AN351" s="6"/>
      <c r="AO351" s="6"/>
      <c r="AP351" s="6"/>
      <c r="AQ351" s="6"/>
      <c r="AR351" s="6"/>
      <c r="AS351" s="6"/>
      <c r="AU351" s="6"/>
      <c r="AV351" s="6"/>
      <c r="AW351" s="6"/>
      <c r="AX351" s="6"/>
      <c r="AY351" s="6"/>
      <c r="AZ351" s="6"/>
      <c r="BA351" s="6"/>
      <c r="BB351" s="6"/>
      <c r="BC351" s="6"/>
      <c r="BD351" s="6"/>
      <c r="BE351" s="6"/>
    </row>
    <row r="352" spans="2:57" x14ac:dyDescent="0.3">
      <c r="B352" s="4" t="s">
        <v>375</v>
      </c>
      <c r="C352" s="4">
        <v>42</v>
      </c>
      <c r="D352" s="4" t="s">
        <v>17</v>
      </c>
      <c r="E352" s="4" t="s">
        <v>102</v>
      </c>
      <c r="F352" s="4" t="s">
        <v>104</v>
      </c>
      <c r="G352" s="18">
        <v>2696</v>
      </c>
      <c r="H352" s="10">
        <v>3</v>
      </c>
      <c r="I352" s="4">
        <v>3</v>
      </c>
      <c r="J352" s="4" t="s">
        <v>9</v>
      </c>
      <c r="K352" s="3" t="s">
        <v>14</v>
      </c>
      <c r="L352" s="3" t="str">
        <f>IF(Table1[[#This Row],[Monthly Income]]&lt;3000,"Low",IF(Table1[[#This Row],[Monthly Income]]&lt;7000,"Medium","High"))</f>
        <v>Low</v>
      </c>
      <c r="AK352" s="4"/>
      <c r="AL352" s="4"/>
      <c r="AM352" s="4"/>
      <c r="AN352" s="4"/>
      <c r="AO352" s="4"/>
      <c r="AP352" s="4"/>
      <c r="AQ352" s="4"/>
      <c r="AR352" s="4"/>
      <c r="AS352" s="4"/>
      <c r="AU352" s="4"/>
      <c r="AV352" s="4"/>
      <c r="AW352" s="4"/>
      <c r="AX352" s="4"/>
      <c r="AY352" s="4"/>
      <c r="AZ352" s="4"/>
      <c r="BA352" s="4"/>
      <c r="BB352" s="4"/>
      <c r="BC352" s="4"/>
      <c r="BD352" s="4"/>
      <c r="BE352" s="4"/>
    </row>
    <row r="353" spans="2:57" x14ac:dyDescent="0.3">
      <c r="B353" s="6" t="s">
        <v>376</v>
      </c>
      <c r="C353" s="6">
        <v>32</v>
      </c>
      <c r="D353" s="6" t="s">
        <v>12</v>
      </c>
      <c r="E353" s="6" t="s">
        <v>15</v>
      </c>
      <c r="F353" s="6" t="s">
        <v>20</v>
      </c>
      <c r="G353" s="19">
        <v>2370</v>
      </c>
      <c r="H353" s="11">
        <v>8</v>
      </c>
      <c r="I353" s="6">
        <v>2</v>
      </c>
      <c r="J353" s="6" t="s">
        <v>14</v>
      </c>
      <c r="K353" s="5" t="s">
        <v>14</v>
      </c>
      <c r="L353" s="3" t="str">
        <f>IF(Table1[[#This Row],[Monthly Income]]&lt;3000,"Low",IF(Table1[[#This Row],[Monthly Income]]&lt;7000,"Medium","High"))</f>
        <v>Low</v>
      </c>
      <c r="AK353" s="6"/>
      <c r="AL353" s="6"/>
      <c r="AM353" s="6"/>
      <c r="AN353" s="6"/>
      <c r="AO353" s="6"/>
      <c r="AP353" s="6"/>
      <c r="AQ353" s="6"/>
      <c r="AR353" s="6"/>
      <c r="AS353" s="6"/>
      <c r="AU353" s="6"/>
      <c r="AV353" s="6"/>
      <c r="AW353" s="6"/>
      <c r="AX353" s="6"/>
      <c r="AY353" s="6"/>
      <c r="AZ353" s="6"/>
      <c r="BA353" s="6"/>
      <c r="BB353" s="6"/>
      <c r="BC353" s="6"/>
      <c r="BD353" s="6"/>
      <c r="BE353" s="6"/>
    </row>
    <row r="354" spans="2:57" x14ac:dyDescent="0.3">
      <c r="B354" s="4" t="s">
        <v>377</v>
      </c>
      <c r="C354" s="4">
        <v>48</v>
      </c>
      <c r="D354" s="4" t="s">
        <v>12</v>
      </c>
      <c r="E354" s="4" t="s">
        <v>10</v>
      </c>
      <c r="F354" s="4" t="s">
        <v>39</v>
      </c>
      <c r="G354" s="18">
        <v>12504</v>
      </c>
      <c r="H354" s="10">
        <v>0</v>
      </c>
      <c r="I354" s="4">
        <v>3</v>
      </c>
      <c r="J354" s="4" t="s">
        <v>14</v>
      </c>
      <c r="K354" s="3" t="s">
        <v>14</v>
      </c>
      <c r="L354" s="3" t="str">
        <f>IF(Table1[[#This Row],[Monthly Income]]&lt;3000,"Low",IF(Table1[[#This Row],[Monthly Income]]&lt;7000,"Medium","High"))</f>
        <v>High</v>
      </c>
      <c r="AK354" s="4"/>
      <c r="AL354" s="4"/>
      <c r="AM354" s="4"/>
      <c r="AN354" s="4"/>
      <c r="AO354" s="4"/>
      <c r="AP354" s="4"/>
      <c r="AQ354" s="4"/>
      <c r="AR354" s="4"/>
      <c r="AS354" s="4"/>
      <c r="AU354" s="4"/>
      <c r="AV354" s="4"/>
      <c r="AW354" s="4"/>
      <c r="AX354" s="4"/>
      <c r="AY354" s="4"/>
      <c r="AZ354" s="4"/>
      <c r="BA354" s="4"/>
      <c r="BB354" s="4"/>
      <c r="BC354" s="4"/>
      <c r="BD354" s="4"/>
      <c r="BE354" s="4"/>
    </row>
    <row r="355" spans="2:57" x14ac:dyDescent="0.3">
      <c r="B355" s="6" t="s">
        <v>378</v>
      </c>
      <c r="C355" s="6">
        <v>37</v>
      </c>
      <c r="D355" s="6" t="s">
        <v>17</v>
      </c>
      <c r="E355" s="6" t="s">
        <v>15</v>
      </c>
      <c r="F355" s="6" t="s">
        <v>18</v>
      </c>
      <c r="G355" s="19">
        <v>5974</v>
      </c>
      <c r="H355" s="11">
        <v>7</v>
      </c>
      <c r="I355" s="6">
        <v>1</v>
      </c>
      <c r="J355" s="6" t="s">
        <v>9</v>
      </c>
      <c r="K355" s="5" t="s">
        <v>14</v>
      </c>
      <c r="L355" s="3" t="str">
        <f>IF(Table1[[#This Row],[Monthly Income]]&lt;3000,"Low",IF(Table1[[#This Row],[Monthly Income]]&lt;7000,"Medium","High"))</f>
        <v>Medium</v>
      </c>
      <c r="AK355" s="6"/>
      <c r="AL355" s="6"/>
      <c r="AM355" s="6"/>
      <c r="AN355" s="6"/>
      <c r="AO355" s="6"/>
      <c r="AP355" s="6"/>
      <c r="AQ355" s="6"/>
      <c r="AR355" s="6"/>
      <c r="AS355" s="6"/>
      <c r="AU355" s="6"/>
      <c r="AV355" s="6"/>
      <c r="AW355" s="6"/>
      <c r="AX355" s="6"/>
      <c r="AY355" s="6"/>
      <c r="AZ355" s="6"/>
      <c r="BA355" s="6"/>
      <c r="BB355" s="6"/>
      <c r="BC355" s="6"/>
      <c r="BD355" s="6"/>
      <c r="BE355" s="6"/>
    </row>
    <row r="356" spans="2:57" x14ac:dyDescent="0.3">
      <c r="B356" s="4" t="s">
        <v>379</v>
      </c>
      <c r="C356" s="4">
        <v>30</v>
      </c>
      <c r="D356" s="4" t="s">
        <v>12</v>
      </c>
      <c r="E356" s="4" t="s">
        <v>10</v>
      </c>
      <c r="F356" s="4" t="s">
        <v>13</v>
      </c>
      <c r="G356" s="18">
        <v>4736</v>
      </c>
      <c r="H356" s="10">
        <v>2</v>
      </c>
      <c r="I356" s="4">
        <v>3</v>
      </c>
      <c r="J356" s="4" t="s">
        <v>9</v>
      </c>
      <c r="K356" s="3" t="s">
        <v>14</v>
      </c>
      <c r="L356" s="3" t="str">
        <f>IF(Table1[[#This Row],[Monthly Income]]&lt;3000,"Low",IF(Table1[[#This Row],[Monthly Income]]&lt;7000,"Medium","High"))</f>
        <v>Medium</v>
      </c>
      <c r="AK356" s="4"/>
      <c r="AL356" s="4"/>
      <c r="AM356" s="4"/>
      <c r="AN356" s="4"/>
      <c r="AO356" s="4"/>
      <c r="AP356" s="4"/>
      <c r="AQ356" s="4"/>
      <c r="AR356" s="4"/>
      <c r="AS356" s="4"/>
      <c r="AU356" s="4"/>
      <c r="AV356" s="4"/>
      <c r="AW356" s="4"/>
      <c r="AX356" s="4"/>
      <c r="AY356" s="4"/>
      <c r="AZ356" s="4"/>
      <c r="BA356" s="4"/>
      <c r="BB356" s="4"/>
      <c r="BC356" s="4"/>
      <c r="BD356" s="4"/>
      <c r="BE356" s="4"/>
    </row>
    <row r="357" spans="2:57" x14ac:dyDescent="0.3">
      <c r="B357" s="6" t="s">
        <v>380</v>
      </c>
      <c r="C357" s="6">
        <v>26</v>
      </c>
      <c r="D357" s="6" t="s">
        <v>17</v>
      </c>
      <c r="E357" s="6" t="s">
        <v>10</v>
      </c>
      <c r="F357" s="6" t="s">
        <v>13</v>
      </c>
      <c r="G357" s="19">
        <v>5296</v>
      </c>
      <c r="H357" s="11">
        <v>8</v>
      </c>
      <c r="I357" s="6">
        <v>3</v>
      </c>
      <c r="J357" s="6" t="s">
        <v>14</v>
      </c>
      <c r="K357" s="5" t="s">
        <v>14</v>
      </c>
      <c r="L357" s="3" t="str">
        <f>IF(Table1[[#This Row],[Monthly Income]]&lt;3000,"Low",IF(Table1[[#This Row],[Monthly Income]]&lt;7000,"Medium","High"))</f>
        <v>Medium</v>
      </c>
      <c r="AK357" s="6"/>
      <c r="AL357" s="6"/>
      <c r="AM357" s="6"/>
      <c r="AN357" s="6"/>
      <c r="AO357" s="6"/>
      <c r="AP357" s="6"/>
      <c r="AQ357" s="6"/>
      <c r="AR357" s="6"/>
      <c r="AS357" s="6"/>
      <c r="AU357" s="6"/>
      <c r="AV357" s="6"/>
      <c r="AW357" s="6"/>
      <c r="AX357" s="6"/>
      <c r="AY357" s="6"/>
      <c r="AZ357" s="6"/>
      <c r="BA357" s="6"/>
      <c r="BB357" s="6"/>
      <c r="BC357" s="6"/>
      <c r="BD357" s="6"/>
      <c r="BE357" s="6"/>
    </row>
    <row r="358" spans="2:57" x14ac:dyDescent="0.3">
      <c r="B358" s="4" t="s">
        <v>381</v>
      </c>
      <c r="C358" s="4">
        <v>42</v>
      </c>
      <c r="D358" s="4" t="s">
        <v>17</v>
      </c>
      <c r="E358" s="4" t="s">
        <v>15</v>
      </c>
      <c r="F358" s="4" t="s">
        <v>29</v>
      </c>
      <c r="G358" s="18">
        <v>6781</v>
      </c>
      <c r="H358" s="10">
        <v>1</v>
      </c>
      <c r="I358" s="4">
        <v>4</v>
      </c>
      <c r="J358" s="4" t="s">
        <v>14</v>
      </c>
      <c r="K358" s="3" t="s">
        <v>14</v>
      </c>
      <c r="L358" s="3" t="str">
        <f>IF(Table1[[#This Row],[Monthly Income]]&lt;3000,"Low",IF(Table1[[#This Row],[Monthly Income]]&lt;7000,"Medium","High"))</f>
        <v>Medium</v>
      </c>
      <c r="AK358" s="4"/>
      <c r="AL358" s="4"/>
      <c r="AM358" s="4"/>
      <c r="AN358" s="4"/>
      <c r="AO358" s="4"/>
      <c r="AP358" s="4"/>
      <c r="AQ358" s="4"/>
      <c r="AR358" s="4"/>
      <c r="AS358" s="4"/>
      <c r="AU358" s="4"/>
      <c r="AV358" s="4"/>
      <c r="AW358" s="4"/>
      <c r="AX358" s="4"/>
      <c r="AY358" s="4"/>
      <c r="AZ358" s="4"/>
      <c r="BA358" s="4"/>
      <c r="BB358" s="4"/>
      <c r="BC358" s="4"/>
      <c r="BD358" s="4"/>
      <c r="BE358" s="4"/>
    </row>
    <row r="359" spans="2:57" x14ac:dyDescent="0.3">
      <c r="B359" s="6" t="s">
        <v>382</v>
      </c>
      <c r="C359" s="6">
        <v>21</v>
      </c>
      <c r="D359" s="6" t="s">
        <v>12</v>
      </c>
      <c r="E359" s="6" t="s">
        <v>10</v>
      </c>
      <c r="F359" s="6" t="s">
        <v>43</v>
      </c>
      <c r="G359" s="19">
        <v>2174</v>
      </c>
      <c r="H359" s="11">
        <v>3</v>
      </c>
      <c r="I359" s="6">
        <v>2</v>
      </c>
      <c r="J359" s="6" t="s">
        <v>9</v>
      </c>
      <c r="K359" s="5" t="s">
        <v>9</v>
      </c>
      <c r="L359" s="3" t="str">
        <f>IF(Table1[[#This Row],[Monthly Income]]&lt;3000,"Low",IF(Table1[[#This Row],[Monthly Income]]&lt;7000,"Medium","High"))</f>
        <v>Low</v>
      </c>
      <c r="AK359" s="6"/>
      <c r="AL359" s="6"/>
      <c r="AM359" s="6"/>
      <c r="AN359" s="6"/>
      <c r="AO359" s="6"/>
      <c r="AP359" s="6"/>
      <c r="AQ359" s="6"/>
      <c r="AR359" s="6"/>
      <c r="AS359" s="6"/>
      <c r="AU359" s="6"/>
      <c r="AV359" s="6"/>
      <c r="AW359" s="6"/>
      <c r="AX359" s="6"/>
      <c r="AY359" s="6"/>
      <c r="AZ359" s="6"/>
      <c r="BA359" s="6"/>
      <c r="BB359" s="6"/>
      <c r="BC359" s="6"/>
      <c r="BD359" s="6"/>
      <c r="BE359" s="6"/>
    </row>
    <row r="360" spans="2:57" x14ac:dyDescent="0.3">
      <c r="B360" s="4" t="s">
        <v>383</v>
      </c>
      <c r="C360" s="4">
        <v>36</v>
      </c>
      <c r="D360" s="4" t="s">
        <v>12</v>
      </c>
      <c r="E360" s="4" t="s">
        <v>10</v>
      </c>
      <c r="F360" s="4" t="s">
        <v>13</v>
      </c>
      <c r="G360" s="18">
        <v>6653</v>
      </c>
      <c r="H360" s="10">
        <v>1</v>
      </c>
      <c r="I360" s="4">
        <v>4</v>
      </c>
      <c r="J360" s="4" t="s">
        <v>14</v>
      </c>
      <c r="K360" s="3" t="s">
        <v>14</v>
      </c>
      <c r="L360" s="3" t="str">
        <f>IF(Table1[[#This Row],[Monthly Income]]&lt;3000,"Low",IF(Table1[[#This Row],[Monthly Income]]&lt;7000,"Medium","High"))</f>
        <v>Medium</v>
      </c>
      <c r="AK360" s="4"/>
      <c r="AL360" s="4"/>
      <c r="AM360" s="4"/>
      <c r="AN360" s="4"/>
      <c r="AO360" s="4"/>
      <c r="AP360" s="4"/>
      <c r="AQ360" s="4"/>
      <c r="AR360" s="4"/>
      <c r="AS360" s="4"/>
      <c r="AU360" s="4"/>
      <c r="AV360" s="4"/>
      <c r="AW360" s="4"/>
      <c r="AX360" s="4"/>
      <c r="AY360" s="4"/>
      <c r="AZ360" s="4"/>
      <c r="BA360" s="4"/>
      <c r="BB360" s="4"/>
      <c r="BC360" s="4"/>
      <c r="BD360" s="4"/>
      <c r="BE360" s="4"/>
    </row>
    <row r="361" spans="2:57" x14ac:dyDescent="0.3">
      <c r="B361" s="6" t="s">
        <v>384</v>
      </c>
      <c r="C361" s="6">
        <v>36</v>
      </c>
      <c r="D361" s="6" t="s">
        <v>17</v>
      </c>
      <c r="E361" s="6" t="s">
        <v>10</v>
      </c>
      <c r="F361" s="6" t="s">
        <v>13</v>
      </c>
      <c r="G361" s="19">
        <v>9699</v>
      </c>
      <c r="H361" s="11">
        <v>13</v>
      </c>
      <c r="I361" s="6">
        <v>4</v>
      </c>
      <c r="J361" s="6" t="s">
        <v>14</v>
      </c>
      <c r="K361" s="5" t="s">
        <v>14</v>
      </c>
      <c r="L361" s="3" t="str">
        <f>IF(Table1[[#This Row],[Monthly Income]]&lt;3000,"Low",IF(Table1[[#This Row],[Monthly Income]]&lt;7000,"Medium","High"))</f>
        <v>High</v>
      </c>
      <c r="AK361" s="6"/>
      <c r="AL361" s="6"/>
      <c r="AM361" s="6"/>
      <c r="AN361" s="6"/>
      <c r="AO361" s="6"/>
      <c r="AP361" s="6"/>
      <c r="AQ361" s="6"/>
      <c r="AR361" s="6"/>
      <c r="AS361" s="6"/>
      <c r="AU361" s="6"/>
      <c r="AV361" s="6"/>
      <c r="AW361" s="6"/>
      <c r="AX361" s="6"/>
      <c r="AY361" s="6"/>
      <c r="AZ361" s="6"/>
      <c r="BA361" s="6"/>
      <c r="BB361" s="6"/>
      <c r="BC361" s="6"/>
      <c r="BD361" s="6"/>
      <c r="BE361" s="6"/>
    </row>
    <row r="362" spans="2:57" x14ac:dyDescent="0.3">
      <c r="B362" s="4" t="s">
        <v>385</v>
      </c>
      <c r="C362" s="4">
        <v>57</v>
      </c>
      <c r="D362" s="4" t="s">
        <v>17</v>
      </c>
      <c r="E362" s="4" t="s">
        <v>15</v>
      </c>
      <c r="F362" s="4" t="s">
        <v>29</v>
      </c>
      <c r="G362" s="18">
        <v>6755</v>
      </c>
      <c r="H362" s="10">
        <v>3</v>
      </c>
      <c r="I362" s="4">
        <v>3</v>
      </c>
      <c r="J362" s="4" t="s">
        <v>14</v>
      </c>
      <c r="K362" s="3" t="s">
        <v>14</v>
      </c>
      <c r="L362" s="3" t="str">
        <f>IF(Table1[[#This Row],[Monthly Income]]&lt;3000,"Low",IF(Table1[[#This Row],[Monthly Income]]&lt;7000,"Medium","High"))</f>
        <v>Medium</v>
      </c>
      <c r="AK362" s="4"/>
      <c r="AL362" s="4"/>
      <c r="AM362" s="4"/>
      <c r="AN362" s="4"/>
      <c r="AO362" s="4"/>
      <c r="AP362" s="4"/>
      <c r="AQ362" s="4"/>
      <c r="AR362" s="4"/>
      <c r="AS362" s="4"/>
      <c r="AU362" s="4"/>
      <c r="AV362" s="4"/>
      <c r="AW362" s="4"/>
      <c r="AX362" s="4"/>
      <c r="AY362" s="4"/>
      <c r="AZ362" s="4"/>
      <c r="BA362" s="4"/>
      <c r="BB362" s="4"/>
      <c r="BC362" s="4"/>
      <c r="BD362" s="4"/>
      <c r="BE362" s="4"/>
    </row>
    <row r="363" spans="2:57" x14ac:dyDescent="0.3">
      <c r="B363" s="6" t="s">
        <v>386</v>
      </c>
      <c r="C363" s="6">
        <v>40</v>
      </c>
      <c r="D363" s="6" t="s">
        <v>12</v>
      </c>
      <c r="E363" s="6" t="s">
        <v>15</v>
      </c>
      <c r="F363" s="6" t="s">
        <v>20</v>
      </c>
      <c r="G363" s="19">
        <v>2213</v>
      </c>
      <c r="H363" s="11">
        <v>7</v>
      </c>
      <c r="I363" s="6">
        <v>3</v>
      </c>
      <c r="J363" s="6" t="s">
        <v>9</v>
      </c>
      <c r="K363" s="5" t="s">
        <v>14</v>
      </c>
      <c r="L363" s="3" t="str">
        <f>IF(Table1[[#This Row],[Monthly Income]]&lt;3000,"Low",IF(Table1[[#This Row],[Monthly Income]]&lt;7000,"Medium","High"))</f>
        <v>Low</v>
      </c>
      <c r="AK363" s="6"/>
      <c r="AL363" s="6"/>
      <c r="AM363" s="6"/>
      <c r="AN363" s="6"/>
      <c r="AO363" s="6"/>
      <c r="AP363" s="6"/>
      <c r="AQ363" s="6"/>
      <c r="AR363" s="6"/>
      <c r="AS363" s="6"/>
      <c r="AU363" s="6"/>
      <c r="AV363" s="6"/>
      <c r="AW363" s="6"/>
      <c r="AX363" s="6"/>
      <c r="AY363" s="6"/>
      <c r="AZ363" s="6"/>
      <c r="BA363" s="6"/>
      <c r="BB363" s="6"/>
      <c r="BC363" s="6"/>
      <c r="BD363" s="6"/>
      <c r="BE363" s="6"/>
    </row>
    <row r="364" spans="2:57" x14ac:dyDescent="0.3">
      <c r="B364" s="4" t="s">
        <v>387</v>
      </c>
      <c r="C364" s="4">
        <v>21</v>
      </c>
      <c r="D364" s="4" t="s">
        <v>17</v>
      </c>
      <c r="E364" s="4" t="s">
        <v>10</v>
      </c>
      <c r="F364" s="4" t="s">
        <v>43</v>
      </c>
      <c r="G364" s="18">
        <v>2610</v>
      </c>
      <c r="H364" s="10">
        <v>3</v>
      </c>
      <c r="I364" s="4">
        <v>4</v>
      </c>
      <c r="J364" s="4" t="s">
        <v>14</v>
      </c>
      <c r="K364" s="3" t="s">
        <v>14</v>
      </c>
      <c r="L364" s="3" t="str">
        <f>IF(Table1[[#This Row],[Monthly Income]]&lt;3000,"Low",IF(Table1[[#This Row],[Monthly Income]]&lt;7000,"Medium","High"))</f>
        <v>Low</v>
      </c>
      <c r="AK364" s="4"/>
      <c r="AL364" s="4"/>
      <c r="AM364" s="4"/>
      <c r="AN364" s="4"/>
      <c r="AO364" s="4"/>
      <c r="AP364" s="4"/>
      <c r="AQ364" s="4"/>
      <c r="AR364" s="4"/>
      <c r="AS364" s="4"/>
      <c r="AU364" s="4"/>
      <c r="AV364" s="4"/>
      <c r="AW364" s="4"/>
      <c r="AX364" s="4"/>
      <c r="AY364" s="4"/>
      <c r="AZ364" s="4"/>
      <c r="BA364" s="4"/>
      <c r="BB364" s="4"/>
      <c r="BC364" s="4"/>
      <c r="BD364" s="4"/>
      <c r="BE364" s="4"/>
    </row>
    <row r="365" spans="2:57" x14ac:dyDescent="0.3">
      <c r="B365" s="6" t="s">
        <v>388</v>
      </c>
      <c r="C365" s="6">
        <v>33</v>
      </c>
      <c r="D365" s="6" t="s">
        <v>12</v>
      </c>
      <c r="E365" s="6" t="s">
        <v>10</v>
      </c>
      <c r="F365" s="6" t="s">
        <v>43</v>
      </c>
      <c r="G365" s="19">
        <v>2851</v>
      </c>
      <c r="H365" s="11">
        <v>1</v>
      </c>
      <c r="I365" s="6">
        <v>3</v>
      </c>
      <c r="J365" s="6" t="s">
        <v>9</v>
      </c>
      <c r="K365" s="5" t="s">
        <v>9</v>
      </c>
      <c r="L365" s="3" t="str">
        <f>IF(Table1[[#This Row],[Monthly Income]]&lt;3000,"Low",IF(Table1[[#This Row],[Monthly Income]]&lt;7000,"Medium","High"))</f>
        <v>Low</v>
      </c>
      <c r="AK365" s="6"/>
      <c r="AL365" s="6"/>
      <c r="AM365" s="6"/>
      <c r="AN365" s="6"/>
      <c r="AO365" s="6"/>
      <c r="AP365" s="6"/>
      <c r="AQ365" s="6"/>
      <c r="AR365" s="6"/>
      <c r="AS365" s="6"/>
      <c r="AU365" s="6"/>
      <c r="AV365" s="6"/>
      <c r="AW365" s="6"/>
      <c r="AX365" s="6"/>
      <c r="AY365" s="6"/>
      <c r="AZ365" s="6"/>
      <c r="BA365" s="6"/>
      <c r="BB365" s="6"/>
      <c r="BC365" s="6"/>
      <c r="BD365" s="6"/>
      <c r="BE365" s="6"/>
    </row>
    <row r="366" spans="2:57" x14ac:dyDescent="0.3">
      <c r="B366" s="4" t="s">
        <v>389</v>
      </c>
      <c r="C366" s="4">
        <v>37</v>
      </c>
      <c r="D366" s="4" t="s">
        <v>12</v>
      </c>
      <c r="E366" s="4" t="s">
        <v>15</v>
      </c>
      <c r="F366" s="4" t="s">
        <v>20</v>
      </c>
      <c r="G366" s="18">
        <v>3452</v>
      </c>
      <c r="H366" s="10">
        <v>5</v>
      </c>
      <c r="I366" s="4">
        <v>1</v>
      </c>
      <c r="J366" s="4" t="s">
        <v>14</v>
      </c>
      <c r="K366" s="3" t="s">
        <v>14</v>
      </c>
      <c r="L366" s="3" t="str">
        <f>IF(Table1[[#This Row],[Monthly Income]]&lt;3000,"Low",IF(Table1[[#This Row],[Monthly Income]]&lt;7000,"Medium","High"))</f>
        <v>Medium</v>
      </c>
      <c r="AK366" s="4"/>
      <c r="AL366" s="4"/>
      <c r="AM366" s="4"/>
      <c r="AN366" s="4"/>
      <c r="AO366" s="4"/>
      <c r="AP366" s="4"/>
      <c r="AQ366" s="4"/>
      <c r="AR366" s="4"/>
      <c r="AS366" s="4"/>
      <c r="AU366" s="4"/>
      <c r="AV366" s="4"/>
      <c r="AW366" s="4"/>
      <c r="AX366" s="4"/>
      <c r="AY366" s="4"/>
      <c r="AZ366" s="4"/>
      <c r="BA366" s="4"/>
      <c r="BB366" s="4"/>
      <c r="BC366" s="4"/>
      <c r="BD366" s="4"/>
      <c r="BE366" s="4"/>
    </row>
    <row r="367" spans="2:57" x14ac:dyDescent="0.3">
      <c r="B367" s="6" t="s">
        <v>390</v>
      </c>
      <c r="C367" s="6">
        <v>46</v>
      </c>
      <c r="D367" s="6" t="s">
        <v>12</v>
      </c>
      <c r="E367" s="6" t="s">
        <v>15</v>
      </c>
      <c r="F367" s="6" t="s">
        <v>27</v>
      </c>
      <c r="G367" s="19">
        <v>5258</v>
      </c>
      <c r="H367" s="11">
        <v>1</v>
      </c>
      <c r="I367" s="6">
        <v>3</v>
      </c>
      <c r="J367" s="6" t="s">
        <v>14</v>
      </c>
      <c r="K367" s="5" t="s">
        <v>14</v>
      </c>
      <c r="L367" s="3" t="str">
        <f>IF(Table1[[#This Row],[Monthly Income]]&lt;3000,"Low",IF(Table1[[#This Row],[Monthly Income]]&lt;7000,"Medium","High"))</f>
        <v>Medium</v>
      </c>
      <c r="AK367" s="6"/>
      <c r="AL367" s="6"/>
      <c r="AM367" s="6"/>
      <c r="AN367" s="6"/>
      <c r="AO367" s="6"/>
      <c r="AP367" s="6"/>
      <c r="AQ367" s="6"/>
      <c r="AR367" s="6"/>
      <c r="AS367" s="6"/>
      <c r="AU367" s="6"/>
      <c r="AV367" s="6"/>
      <c r="AW367" s="6"/>
      <c r="AX367" s="6"/>
      <c r="AY367" s="6"/>
      <c r="AZ367" s="6"/>
      <c r="BA367" s="6"/>
      <c r="BB367" s="6"/>
      <c r="BC367" s="6"/>
      <c r="BD367" s="6"/>
      <c r="BE367" s="6"/>
    </row>
    <row r="368" spans="2:57" x14ac:dyDescent="0.3">
      <c r="B368" s="4" t="s">
        <v>391</v>
      </c>
      <c r="C368" s="4">
        <v>41</v>
      </c>
      <c r="D368" s="4" t="s">
        <v>17</v>
      </c>
      <c r="E368" s="4" t="s">
        <v>10</v>
      </c>
      <c r="F368" s="4" t="s">
        <v>13</v>
      </c>
      <c r="G368" s="18">
        <v>9355</v>
      </c>
      <c r="H368" s="10">
        <v>8</v>
      </c>
      <c r="I368" s="4">
        <v>2</v>
      </c>
      <c r="J368" s="4" t="s">
        <v>14</v>
      </c>
      <c r="K368" s="3" t="s">
        <v>9</v>
      </c>
      <c r="L368" s="3" t="str">
        <f>IF(Table1[[#This Row],[Monthly Income]]&lt;3000,"Low",IF(Table1[[#This Row],[Monthly Income]]&lt;7000,"Medium","High"))</f>
        <v>High</v>
      </c>
      <c r="AK368" s="4"/>
      <c r="AL368" s="4"/>
      <c r="AM368" s="4"/>
      <c r="AN368" s="4"/>
      <c r="AO368" s="4"/>
      <c r="AP368" s="4"/>
      <c r="AQ368" s="4"/>
      <c r="AR368" s="4"/>
      <c r="AS368" s="4"/>
      <c r="AU368" s="4"/>
      <c r="AV368" s="4"/>
      <c r="AW368" s="4"/>
      <c r="AX368" s="4"/>
      <c r="AY368" s="4"/>
      <c r="AZ368" s="4"/>
      <c r="BA368" s="4"/>
      <c r="BB368" s="4"/>
      <c r="BC368" s="4"/>
      <c r="BD368" s="4"/>
      <c r="BE368" s="4"/>
    </row>
    <row r="369" spans="2:57" x14ac:dyDescent="0.3">
      <c r="B369" s="6" t="s">
        <v>392</v>
      </c>
      <c r="C369" s="6">
        <v>50</v>
      </c>
      <c r="D369" s="6" t="s">
        <v>17</v>
      </c>
      <c r="E369" s="6" t="s">
        <v>15</v>
      </c>
      <c r="F369" s="6" t="s">
        <v>29</v>
      </c>
      <c r="G369" s="19">
        <v>10496</v>
      </c>
      <c r="H369" s="11">
        <v>4</v>
      </c>
      <c r="I369" s="6">
        <v>4</v>
      </c>
      <c r="J369" s="6" t="s">
        <v>14</v>
      </c>
      <c r="K369" s="5" t="s">
        <v>14</v>
      </c>
      <c r="L369" s="3" t="str">
        <f>IF(Table1[[#This Row],[Monthly Income]]&lt;3000,"Low",IF(Table1[[#This Row],[Monthly Income]]&lt;7000,"Medium","High"))</f>
        <v>High</v>
      </c>
      <c r="AK369" s="6"/>
      <c r="AL369" s="6"/>
      <c r="AM369" s="6"/>
      <c r="AN369" s="6"/>
      <c r="AO369" s="6"/>
      <c r="AP369" s="6"/>
      <c r="AQ369" s="6"/>
      <c r="AR369" s="6"/>
      <c r="AS369" s="6"/>
      <c r="AU369" s="6"/>
      <c r="AV369" s="6"/>
      <c r="AW369" s="6"/>
      <c r="AX369" s="6"/>
      <c r="AY369" s="6"/>
      <c r="AZ369" s="6"/>
      <c r="BA369" s="6"/>
      <c r="BB369" s="6"/>
      <c r="BC369" s="6"/>
      <c r="BD369" s="6"/>
      <c r="BE369" s="6"/>
    </row>
    <row r="370" spans="2:57" x14ac:dyDescent="0.3">
      <c r="B370" s="4" t="s">
        <v>393</v>
      </c>
      <c r="C370" s="4">
        <v>40</v>
      </c>
      <c r="D370" s="4" t="s">
        <v>17</v>
      </c>
      <c r="E370" s="4" t="s">
        <v>10</v>
      </c>
      <c r="F370" s="4" t="s">
        <v>13</v>
      </c>
      <c r="G370" s="18">
        <v>6380</v>
      </c>
      <c r="H370" s="10">
        <v>6</v>
      </c>
      <c r="I370" s="4">
        <v>3</v>
      </c>
      <c r="J370" s="4" t="s">
        <v>9</v>
      </c>
      <c r="K370" s="3" t="s">
        <v>9</v>
      </c>
      <c r="L370" s="3" t="str">
        <f>IF(Table1[[#This Row],[Monthly Income]]&lt;3000,"Low",IF(Table1[[#This Row],[Monthly Income]]&lt;7000,"Medium","High"))</f>
        <v>Medium</v>
      </c>
      <c r="AK370" s="4"/>
      <c r="AL370" s="4"/>
      <c r="AM370" s="4"/>
      <c r="AN370" s="4"/>
      <c r="AO370" s="4"/>
      <c r="AP370" s="4"/>
      <c r="AQ370" s="4"/>
      <c r="AR370" s="4"/>
      <c r="AS370" s="4"/>
      <c r="AU370" s="4"/>
      <c r="AV370" s="4"/>
      <c r="AW370" s="4"/>
      <c r="AX370" s="4"/>
      <c r="AY370" s="4"/>
      <c r="AZ370" s="4"/>
      <c r="BA370" s="4"/>
      <c r="BB370" s="4"/>
      <c r="BC370" s="4"/>
      <c r="BD370" s="4"/>
      <c r="BE370" s="4"/>
    </row>
    <row r="371" spans="2:57" x14ac:dyDescent="0.3">
      <c r="B371" s="6" t="s">
        <v>394</v>
      </c>
      <c r="C371" s="6">
        <v>31</v>
      </c>
      <c r="D371" s="6" t="s">
        <v>17</v>
      </c>
      <c r="E371" s="6" t="s">
        <v>15</v>
      </c>
      <c r="F371" s="6" t="s">
        <v>18</v>
      </c>
      <c r="G371" s="19">
        <v>2657</v>
      </c>
      <c r="H371" s="11">
        <v>2</v>
      </c>
      <c r="I371" s="6">
        <v>2</v>
      </c>
      <c r="J371" s="6" t="s">
        <v>9</v>
      </c>
      <c r="K371" s="5" t="s">
        <v>14</v>
      </c>
      <c r="L371" s="3" t="str">
        <f>IF(Table1[[#This Row],[Monthly Income]]&lt;3000,"Low",IF(Table1[[#This Row],[Monthly Income]]&lt;7000,"Medium","High"))</f>
        <v>Low</v>
      </c>
      <c r="AK371" s="6"/>
      <c r="AL371" s="6"/>
      <c r="AM371" s="6"/>
      <c r="AN371" s="6"/>
      <c r="AO371" s="6"/>
      <c r="AP371" s="6"/>
      <c r="AQ371" s="6"/>
      <c r="AR371" s="6"/>
      <c r="AS371" s="6"/>
      <c r="AU371" s="6"/>
      <c r="AV371" s="6"/>
      <c r="AW371" s="6"/>
      <c r="AX371" s="6"/>
      <c r="AY371" s="6"/>
      <c r="AZ371" s="6"/>
      <c r="BA371" s="6"/>
      <c r="BB371" s="6"/>
      <c r="BC371" s="6"/>
      <c r="BD371" s="6"/>
      <c r="BE371" s="6"/>
    </row>
    <row r="372" spans="2:57" x14ac:dyDescent="0.3">
      <c r="B372" s="4" t="s">
        <v>395</v>
      </c>
      <c r="C372" s="4">
        <v>21</v>
      </c>
      <c r="D372" s="4" t="s">
        <v>12</v>
      </c>
      <c r="E372" s="4" t="s">
        <v>10</v>
      </c>
      <c r="F372" s="4" t="s">
        <v>43</v>
      </c>
      <c r="G372" s="18">
        <v>2716</v>
      </c>
      <c r="H372" s="10">
        <v>1</v>
      </c>
      <c r="I372" s="4">
        <v>2</v>
      </c>
      <c r="J372" s="4" t="s">
        <v>14</v>
      </c>
      <c r="K372" s="3" t="s">
        <v>9</v>
      </c>
      <c r="L372" s="3" t="str">
        <f>IF(Table1[[#This Row],[Monthly Income]]&lt;3000,"Low",IF(Table1[[#This Row],[Monthly Income]]&lt;7000,"Medium","High"))</f>
        <v>Low</v>
      </c>
      <c r="AK372" s="4"/>
      <c r="AL372" s="4"/>
      <c r="AM372" s="4"/>
      <c r="AN372" s="4"/>
      <c r="AO372" s="4"/>
      <c r="AP372" s="4"/>
      <c r="AQ372" s="4"/>
      <c r="AR372" s="4"/>
      <c r="AS372" s="4"/>
      <c r="AU372" s="4"/>
      <c r="AV372" s="4"/>
      <c r="AW372" s="4"/>
      <c r="AX372" s="4"/>
      <c r="AY372" s="4"/>
      <c r="AZ372" s="4"/>
      <c r="BA372" s="4"/>
      <c r="BB372" s="4"/>
      <c r="BC372" s="4"/>
      <c r="BD372" s="4"/>
      <c r="BE372" s="4"/>
    </row>
    <row r="373" spans="2:57" x14ac:dyDescent="0.3">
      <c r="B373" s="6" t="s">
        <v>396</v>
      </c>
      <c r="C373" s="6">
        <v>29</v>
      </c>
      <c r="D373" s="6" t="s">
        <v>17</v>
      </c>
      <c r="E373" s="6" t="s">
        <v>15</v>
      </c>
      <c r="F373" s="6" t="s">
        <v>18</v>
      </c>
      <c r="G373" s="19">
        <v>2201</v>
      </c>
      <c r="H373" s="11">
        <v>3</v>
      </c>
      <c r="I373" s="6">
        <v>4</v>
      </c>
      <c r="J373" s="6" t="s">
        <v>14</v>
      </c>
      <c r="K373" s="5" t="s">
        <v>14</v>
      </c>
      <c r="L373" s="3" t="str">
        <f>IF(Table1[[#This Row],[Monthly Income]]&lt;3000,"Low",IF(Table1[[#This Row],[Monthly Income]]&lt;7000,"Medium","High"))</f>
        <v>Low</v>
      </c>
      <c r="AK373" s="6"/>
      <c r="AL373" s="6"/>
      <c r="AM373" s="6"/>
      <c r="AN373" s="6"/>
      <c r="AO373" s="6"/>
      <c r="AP373" s="6"/>
      <c r="AQ373" s="6"/>
      <c r="AR373" s="6"/>
      <c r="AS373" s="6"/>
      <c r="AU373" s="6"/>
      <c r="AV373" s="6"/>
      <c r="AW373" s="6"/>
      <c r="AX373" s="6"/>
      <c r="AY373" s="6"/>
      <c r="AZ373" s="6"/>
      <c r="BA373" s="6"/>
      <c r="BB373" s="6"/>
      <c r="BC373" s="6"/>
      <c r="BD373" s="6"/>
      <c r="BE373" s="6"/>
    </row>
    <row r="374" spans="2:57" x14ac:dyDescent="0.3">
      <c r="B374" s="4" t="s">
        <v>397</v>
      </c>
      <c r="C374" s="4">
        <v>35</v>
      </c>
      <c r="D374" s="4" t="s">
        <v>17</v>
      </c>
      <c r="E374" s="4" t="s">
        <v>15</v>
      </c>
      <c r="F374" s="4" t="s">
        <v>29</v>
      </c>
      <c r="G374" s="18">
        <v>6540</v>
      </c>
      <c r="H374" s="10">
        <v>1</v>
      </c>
      <c r="I374" s="4">
        <v>2</v>
      </c>
      <c r="J374" s="4" t="s">
        <v>14</v>
      </c>
      <c r="K374" s="3" t="s">
        <v>14</v>
      </c>
      <c r="L374" s="3" t="str">
        <f>IF(Table1[[#This Row],[Monthly Income]]&lt;3000,"Low",IF(Table1[[#This Row],[Monthly Income]]&lt;7000,"Medium","High"))</f>
        <v>Medium</v>
      </c>
      <c r="AK374" s="4"/>
      <c r="AL374" s="4"/>
      <c r="AM374" s="4"/>
      <c r="AN374" s="4"/>
      <c r="AO374" s="4"/>
      <c r="AP374" s="4"/>
      <c r="AQ374" s="4"/>
      <c r="AR374" s="4"/>
      <c r="AS374" s="4"/>
      <c r="AU374" s="4"/>
      <c r="AV374" s="4"/>
      <c r="AW374" s="4"/>
      <c r="AX374" s="4"/>
      <c r="AY374" s="4"/>
      <c r="AZ374" s="4"/>
      <c r="BA374" s="4"/>
      <c r="BB374" s="4"/>
      <c r="BC374" s="4"/>
      <c r="BD374" s="4"/>
      <c r="BE374" s="4"/>
    </row>
    <row r="375" spans="2:57" x14ac:dyDescent="0.3">
      <c r="B375" s="6" t="s">
        <v>398</v>
      </c>
      <c r="C375" s="6">
        <v>27</v>
      </c>
      <c r="D375" s="6" t="s">
        <v>17</v>
      </c>
      <c r="E375" s="6" t="s">
        <v>15</v>
      </c>
      <c r="F375" s="6" t="s">
        <v>20</v>
      </c>
      <c r="G375" s="19">
        <v>3816</v>
      </c>
      <c r="H375" s="11">
        <v>5</v>
      </c>
      <c r="I375" s="6">
        <v>2</v>
      </c>
      <c r="J375" s="6" t="s">
        <v>14</v>
      </c>
      <c r="K375" s="5" t="s">
        <v>14</v>
      </c>
      <c r="L375" s="3" t="str">
        <f>IF(Table1[[#This Row],[Monthly Income]]&lt;3000,"Low",IF(Table1[[#This Row],[Monthly Income]]&lt;7000,"Medium","High"))</f>
        <v>Medium</v>
      </c>
      <c r="AK375" s="6"/>
      <c r="AL375" s="6"/>
      <c r="AM375" s="6"/>
      <c r="AN375" s="6"/>
      <c r="AO375" s="6"/>
      <c r="AP375" s="6"/>
      <c r="AQ375" s="6"/>
      <c r="AR375" s="6"/>
      <c r="AS375" s="6"/>
      <c r="AU375" s="6"/>
      <c r="AV375" s="6"/>
      <c r="AW375" s="6"/>
      <c r="AX375" s="6"/>
      <c r="AY375" s="6"/>
      <c r="AZ375" s="6"/>
      <c r="BA375" s="6"/>
      <c r="BB375" s="6"/>
      <c r="BC375" s="6"/>
      <c r="BD375" s="6"/>
      <c r="BE375" s="6"/>
    </row>
    <row r="376" spans="2:57" x14ac:dyDescent="0.3">
      <c r="B376" s="4" t="s">
        <v>399</v>
      </c>
      <c r="C376" s="4">
        <v>28</v>
      </c>
      <c r="D376" s="4" t="s">
        <v>17</v>
      </c>
      <c r="E376" s="4" t="s">
        <v>10</v>
      </c>
      <c r="F376" s="4" t="s">
        <v>13</v>
      </c>
      <c r="G376" s="18">
        <v>5253</v>
      </c>
      <c r="H376" s="10">
        <v>7</v>
      </c>
      <c r="I376" s="4">
        <v>4</v>
      </c>
      <c r="J376" s="4" t="s">
        <v>14</v>
      </c>
      <c r="K376" s="3" t="s">
        <v>14</v>
      </c>
      <c r="L376" s="3" t="str">
        <f>IF(Table1[[#This Row],[Monthly Income]]&lt;3000,"Low",IF(Table1[[#This Row],[Monthly Income]]&lt;7000,"Medium","High"))</f>
        <v>Medium</v>
      </c>
      <c r="AK376" s="4"/>
      <c r="AL376" s="4"/>
      <c r="AM376" s="4"/>
      <c r="AN376" s="4"/>
      <c r="AO376" s="4"/>
      <c r="AP376" s="4"/>
      <c r="AQ376" s="4"/>
      <c r="AR376" s="4"/>
      <c r="AS376" s="4"/>
      <c r="AU376" s="4"/>
      <c r="AV376" s="4"/>
      <c r="AW376" s="4"/>
      <c r="AX376" s="4"/>
      <c r="AY376" s="4"/>
      <c r="AZ376" s="4"/>
      <c r="BA376" s="4"/>
      <c r="BB376" s="4"/>
      <c r="BC376" s="4"/>
      <c r="BD376" s="4"/>
      <c r="BE376" s="4"/>
    </row>
    <row r="377" spans="2:57" x14ac:dyDescent="0.3">
      <c r="B377" s="6" t="s">
        <v>400</v>
      </c>
      <c r="C377" s="6">
        <v>49</v>
      </c>
      <c r="D377" s="6" t="s">
        <v>17</v>
      </c>
      <c r="E377" s="6" t="s">
        <v>15</v>
      </c>
      <c r="F377" s="6" t="s">
        <v>29</v>
      </c>
      <c r="G377" s="19">
        <v>10965</v>
      </c>
      <c r="H377" s="11">
        <v>5</v>
      </c>
      <c r="I377" s="6">
        <v>3</v>
      </c>
      <c r="J377" s="6" t="s">
        <v>14</v>
      </c>
      <c r="K377" s="5" t="s">
        <v>14</v>
      </c>
      <c r="L377" s="3" t="str">
        <f>IF(Table1[[#This Row],[Monthly Income]]&lt;3000,"Low",IF(Table1[[#This Row],[Monthly Income]]&lt;7000,"Medium","High"))</f>
        <v>High</v>
      </c>
      <c r="AK377" s="6"/>
      <c r="AL377" s="6"/>
      <c r="AM377" s="6"/>
      <c r="AN377" s="6"/>
      <c r="AO377" s="6"/>
      <c r="AP377" s="6"/>
      <c r="AQ377" s="6"/>
      <c r="AR377" s="6"/>
      <c r="AS377" s="6"/>
      <c r="AU377" s="6"/>
      <c r="AV377" s="6"/>
      <c r="AW377" s="6"/>
      <c r="AX377" s="6"/>
      <c r="AY377" s="6"/>
      <c r="AZ377" s="6"/>
      <c r="BA377" s="6"/>
      <c r="BB377" s="6"/>
      <c r="BC377" s="6"/>
      <c r="BD377" s="6"/>
      <c r="BE377" s="6"/>
    </row>
    <row r="378" spans="2:57" x14ac:dyDescent="0.3">
      <c r="B378" s="4" t="s">
        <v>401</v>
      </c>
      <c r="C378" s="4">
        <v>51</v>
      </c>
      <c r="D378" s="4" t="s">
        <v>12</v>
      </c>
      <c r="E378" s="4" t="s">
        <v>10</v>
      </c>
      <c r="F378" s="4" t="s">
        <v>13</v>
      </c>
      <c r="G378" s="18">
        <v>4936</v>
      </c>
      <c r="H378" s="10">
        <v>7</v>
      </c>
      <c r="I378" s="4">
        <v>4</v>
      </c>
      <c r="J378" s="4" t="s">
        <v>14</v>
      </c>
      <c r="K378" s="3" t="s">
        <v>14</v>
      </c>
      <c r="L378" s="3" t="str">
        <f>IF(Table1[[#This Row],[Monthly Income]]&lt;3000,"Low",IF(Table1[[#This Row],[Monthly Income]]&lt;7000,"Medium","High"))</f>
        <v>Medium</v>
      </c>
      <c r="AK378" s="4"/>
      <c r="AL378" s="4"/>
      <c r="AM378" s="4"/>
      <c r="AN378" s="4"/>
      <c r="AO378" s="4"/>
      <c r="AP378" s="4"/>
      <c r="AQ378" s="4"/>
      <c r="AR378" s="4"/>
      <c r="AS378" s="4"/>
      <c r="AU378" s="4"/>
      <c r="AV378" s="4"/>
      <c r="AW378" s="4"/>
      <c r="AX378" s="4"/>
      <c r="AY378" s="4"/>
      <c r="AZ378" s="4"/>
      <c r="BA378" s="4"/>
      <c r="BB378" s="4"/>
      <c r="BC378" s="4"/>
      <c r="BD378" s="4"/>
      <c r="BE378" s="4"/>
    </row>
    <row r="379" spans="2:57" x14ac:dyDescent="0.3">
      <c r="B379" s="6" t="s">
        <v>402</v>
      </c>
      <c r="C379" s="6">
        <v>36</v>
      </c>
      <c r="D379" s="6" t="s">
        <v>12</v>
      </c>
      <c r="E379" s="6" t="s">
        <v>15</v>
      </c>
      <c r="F379" s="6" t="s">
        <v>18</v>
      </c>
      <c r="G379" s="19">
        <v>2543</v>
      </c>
      <c r="H379" s="11">
        <v>2</v>
      </c>
      <c r="I379" s="6">
        <v>3</v>
      </c>
      <c r="J379" s="6" t="s">
        <v>14</v>
      </c>
      <c r="K379" s="5" t="s">
        <v>14</v>
      </c>
      <c r="L379" s="3" t="str">
        <f>IF(Table1[[#This Row],[Monthly Income]]&lt;3000,"Low",IF(Table1[[#This Row],[Monthly Income]]&lt;7000,"Medium","High"))</f>
        <v>Low</v>
      </c>
      <c r="AK379" s="6"/>
      <c r="AL379" s="6"/>
      <c r="AM379" s="6"/>
      <c r="AN379" s="6"/>
      <c r="AO379" s="6"/>
      <c r="AP379" s="6"/>
      <c r="AQ379" s="6"/>
      <c r="AR379" s="6"/>
      <c r="AS379" s="6"/>
      <c r="AU379" s="6"/>
      <c r="AV379" s="6"/>
      <c r="AW379" s="6"/>
      <c r="AX379" s="6"/>
      <c r="AY379" s="6"/>
      <c r="AZ379" s="6"/>
      <c r="BA379" s="6"/>
      <c r="BB379" s="6"/>
      <c r="BC379" s="6"/>
      <c r="BD379" s="6"/>
      <c r="BE379" s="6"/>
    </row>
    <row r="380" spans="2:57" x14ac:dyDescent="0.3">
      <c r="B380" s="4" t="s">
        <v>403</v>
      </c>
      <c r="C380" s="4">
        <v>34</v>
      </c>
      <c r="D380" s="4" t="s">
        <v>17</v>
      </c>
      <c r="E380" s="4" t="s">
        <v>10</v>
      </c>
      <c r="F380" s="4" t="s">
        <v>13</v>
      </c>
      <c r="G380" s="18">
        <v>5304</v>
      </c>
      <c r="H380" s="10">
        <v>5</v>
      </c>
      <c r="I380" s="4">
        <v>4</v>
      </c>
      <c r="J380" s="4" t="s">
        <v>9</v>
      </c>
      <c r="K380" s="3" t="s">
        <v>9</v>
      </c>
      <c r="L380" s="3" t="str">
        <f>IF(Table1[[#This Row],[Monthly Income]]&lt;3000,"Low",IF(Table1[[#This Row],[Monthly Income]]&lt;7000,"Medium","High"))</f>
        <v>Medium</v>
      </c>
      <c r="AK380" s="4"/>
      <c r="AL380" s="4"/>
      <c r="AM380" s="4"/>
      <c r="AN380" s="4"/>
      <c r="AO380" s="4"/>
      <c r="AP380" s="4"/>
      <c r="AQ380" s="4"/>
      <c r="AR380" s="4"/>
      <c r="AS380" s="4"/>
      <c r="AU380" s="4"/>
      <c r="AV380" s="4"/>
      <c r="AW380" s="4"/>
      <c r="AX380" s="4"/>
      <c r="AY380" s="4"/>
      <c r="AZ380" s="4"/>
      <c r="BA380" s="4"/>
      <c r="BB380" s="4"/>
      <c r="BC380" s="4"/>
      <c r="BD380" s="4"/>
      <c r="BE380" s="4"/>
    </row>
    <row r="381" spans="2:57" x14ac:dyDescent="0.3">
      <c r="B381" s="6" t="s">
        <v>404</v>
      </c>
      <c r="C381" s="6">
        <v>55</v>
      </c>
      <c r="D381" s="6" t="s">
        <v>12</v>
      </c>
      <c r="E381" s="6" t="s">
        <v>15</v>
      </c>
      <c r="F381" s="6" t="s">
        <v>39</v>
      </c>
      <c r="G381" s="19">
        <v>16659</v>
      </c>
      <c r="H381" s="11">
        <v>5</v>
      </c>
      <c r="I381" s="6">
        <v>4</v>
      </c>
      <c r="J381" s="6" t="s">
        <v>9</v>
      </c>
      <c r="K381" s="5" t="s">
        <v>14</v>
      </c>
      <c r="L381" s="3" t="str">
        <f>IF(Table1[[#This Row],[Monthly Income]]&lt;3000,"Low",IF(Table1[[#This Row],[Monthly Income]]&lt;7000,"Medium","High"))</f>
        <v>High</v>
      </c>
      <c r="AK381" s="6"/>
      <c r="AL381" s="6"/>
      <c r="AM381" s="6"/>
      <c r="AN381" s="6"/>
      <c r="AO381" s="6"/>
      <c r="AP381" s="6"/>
      <c r="AQ381" s="6"/>
      <c r="AR381" s="6"/>
      <c r="AS381" s="6"/>
      <c r="AU381" s="6"/>
      <c r="AV381" s="6"/>
      <c r="AW381" s="6"/>
      <c r="AX381" s="6"/>
      <c r="AY381" s="6"/>
      <c r="AZ381" s="6"/>
      <c r="BA381" s="6"/>
      <c r="BB381" s="6"/>
      <c r="BC381" s="6"/>
      <c r="BD381" s="6"/>
      <c r="BE381" s="6"/>
    </row>
    <row r="382" spans="2:57" x14ac:dyDescent="0.3">
      <c r="B382" s="4" t="s">
        <v>405</v>
      </c>
      <c r="C382" s="4">
        <v>24</v>
      </c>
      <c r="D382" s="4" t="s">
        <v>12</v>
      </c>
      <c r="E382" s="4" t="s">
        <v>10</v>
      </c>
      <c r="F382" s="4" t="s">
        <v>13</v>
      </c>
      <c r="G382" s="18">
        <v>4260</v>
      </c>
      <c r="H382" s="10">
        <v>5</v>
      </c>
      <c r="I382" s="4">
        <v>3</v>
      </c>
      <c r="J382" s="4" t="s">
        <v>9</v>
      </c>
      <c r="K382" s="3" t="s">
        <v>14</v>
      </c>
      <c r="L382" s="3" t="str">
        <f>IF(Table1[[#This Row],[Monthly Income]]&lt;3000,"Low",IF(Table1[[#This Row],[Monthly Income]]&lt;7000,"Medium","High"))</f>
        <v>Medium</v>
      </c>
      <c r="AK382" s="4"/>
      <c r="AL382" s="4"/>
      <c r="AM382" s="4"/>
      <c r="AN382" s="4"/>
      <c r="AO382" s="4"/>
      <c r="AP382" s="4"/>
      <c r="AQ382" s="4"/>
      <c r="AR382" s="4"/>
      <c r="AS382" s="4"/>
      <c r="AU382" s="4"/>
      <c r="AV382" s="4"/>
      <c r="AW382" s="4"/>
      <c r="AX382" s="4"/>
      <c r="AY382" s="4"/>
      <c r="AZ382" s="4"/>
      <c r="BA382" s="4"/>
      <c r="BB382" s="4"/>
      <c r="BC382" s="4"/>
      <c r="BD382" s="4"/>
      <c r="BE382" s="4"/>
    </row>
    <row r="383" spans="2:57" x14ac:dyDescent="0.3">
      <c r="B383" s="6" t="s">
        <v>406</v>
      </c>
      <c r="C383" s="6">
        <v>30</v>
      </c>
      <c r="D383" s="6" t="s">
        <v>17</v>
      </c>
      <c r="E383" s="6" t="s">
        <v>10</v>
      </c>
      <c r="F383" s="6" t="s">
        <v>43</v>
      </c>
      <c r="G383" s="19">
        <v>2476</v>
      </c>
      <c r="H383" s="11">
        <v>1</v>
      </c>
      <c r="I383" s="6">
        <v>2</v>
      </c>
      <c r="J383" s="6" t="s">
        <v>14</v>
      </c>
      <c r="K383" s="5" t="s">
        <v>14</v>
      </c>
      <c r="L383" s="3" t="str">
        <f>IF(Table1[[#This Row],[Monthly Income]]&lt;3000,"Low",IF(Table1[[#This Row],[Monthly Income]]&lt;7000,"Medium","High"))</f>
        <v>Low</v>
      </c>
      <c r="AK383" s="6"/>
      <c r="AL383" s="6"/>
      <c r="AM383" s="6"/>
      <c r="AN383" s="6"/>
      <c r="AO383" s="6"/>
      <c r="AP383" s="6"/>
      <c r="AQ383" s="6"/>
      <c r="AR383" s="6"/>
      <c r="AS383" s="6"/>
      <c r="AU383" s="6"/>
      <c r="AV383" s="6"/>
      <c r="AW383" s="6"/>
      <c r="AX383" s="6"/>
      <c r="AY383" s="6"/>
      <c r="AZ383" s="6"/>
      <c r="BA383" s="6"/>
      <c r="BB383" s="6"/>
      <c r="BC383" s="6"/>
      <c r="BD383" s="6"/>
      <c r="BE383" s="6"/>
    </row>
    <row r="384" spans="2:57" x14ac:dyDescent="0.3">
      <c r="B384" s="4" t="s">
        <v>407</v>
      </c>
      <c r="C384" s="4">
        <v>26</v>
      </c>
      <c r="D384" s="4" t="s">
        <v>17</v>
      </c>
      <c r="E384" s="4" t="s">
        <v>15</v>
      </c>
      <c r="F384" s="4" t="s">
        <v>18</v>
      </c>
      <c r="G384" s="18">
        <v>3102</v>
      </c>
      <c r="H384" s="10">
        <v>6</v>
      </c>
      <c r="I384" s="4">
        <v>1</v>
      </c>
      <c r="J384" s="4" t="s">
        <v>14</v>
      </c>
      <c r="K384" s="3" t="s">
        <v>9</v>
      </c>
      <c r="L384" s="3" t="str">
        <f>IF(Table1[[#This Row],[Monthly Income]]&lt;3000,"Low",IF(Table1[[#This Row],[Monthly Income]]&lt;7000,"Medium","High"))</f>
        <v>Medium</v>
      </c>
      <c r="AK384" s="4"/>
      <c r="AL384" s="4"/>
      <c r="AM384" s="4"/>
      <c r="AN384" s="4"/>
      <c r="AO384" s="4"/>
      <c r="AP384" s="4"/>
      <c r="AQ384" s="4"/>
      <c r="AR384" s="4"/>
      <c r="AS384" s="4"/>
      <c r="AU384" s="4"/>
      <c r="AV384" s="4"/>
      <c r="AW384" s="4"/>
      <c r="AX384" s="4"/>
      <c r="AY384" s="4"/>
      <c r="AZ384" s="4"/>
      <c r="BA384" s="4"/>
      <c r="BB384" s="4"/>
      <c r="BC384" s="4"/>
      <c r="BD384" s="4"/>
      <c r="BE384" s="4"/>
    </row>
    <row r="385" spans="2:57" x14ac:dyDescent="0.3">
      <c r="B385" s="6" t="s">
        <v>408</v>
      </c>
      <c r="C385" s="6">
        <v>22</v>
      </c>
      <c r="D385" s="6" t="s">
        <v>12</v>
      </c>
      <c r="E385" s="6" t="s">
        <v>15</v>
      </c>
      <c r="F385" s="6" t="s">
        <v>18</v>
      </c>
      <c r="G385" s="19">
        <v>2244</v>
      </c>
      <c r="H385" s="11">
        <v>2</v>
      </c>
      <c r="I385" s="6">
        <v>2</v>
      </c>
      <c r="J385" s="6" t="s">
        <v>14</v>
      </c>
      <c r="K385" s="5" t="s">
        <v>14</v>
      </c>
      <c r="L385" s="3" t="str">
        <f>IF(Table1[[#This Row],[Monthly Income]]&lt;3000,"Low",IF(Table1[[#This Row],[Monthly Income]]&lt;7000,"Medium","High"))</f>
        <v>Low</v>
      </c>
      <c r="AK385" s="6"/>
      <c r="AL385" s="6"/>
      <c r="AM385" s="6"/>
      <c r="AN385" s="6"/>
      <c r="AO385" s="6"/>
      <c r="AP385" s="6"/>
      <c r="AQ385" s="6"/>
      <c r="AR385" s="6"/>
      <c r="AS385" s="6"/>
      <c r="AU385" s="6"/>
      <c r="AV385" s="6"/>
      <c r="AW385" s="6"/>
      <c r="AX385" s="6"/>
      <c r="AY385" s="6"/>
      <c r="AZ385" s="6"/>
      <c r="BA385" s="6"/>
      <c r="BB385" s="6"/>
      <c r="BC385" s="6"/>
      <c r="BD385" s="6"/>
      <c r="BE385" s="6"/>
    </row>
    <row r="386" spans="2:57" x14ac:dyDescent="0.3">
      <c r="B386" s="4" t="s">
        <v>409</v>
      </c>
      <c r="C386" s="4">
        <v>36</v>
      </c>
      <c r="D386" s="4" t="s">
        <v>17</v>
      </c>
      <c r="E386" s="4" t="s">
        <v>10</v>
      </c>
      <c r="F386" s="4" t="s">
        <v>13</v>
      </c>
      <c r="G386" s="18">
        <v>7596</v>
      </c>
      <c r="H386" s="10">
        <v>10</v>
      </c>
      <c r="I386" s="4">
        <v>3</v>
      </c>
      <c r="J386" s="4" t="s">
        <v>14</v>
      </c>
      <c r="K386" s="3" t="s">
        <v>14</v>
      </c>
      <c r="L386" s="3" t="str">
        <f>IF(Table1[[#This Row],[Monthly Income]]&lt;3000,"Low",IF(Table1[[#This Row],[Monthly Income]]&lt;7000,"Medium","High"))</f>
        <v>High</v>
      </c>
      <c r="AK386" s="4"/>
      <c r="AL386" s="4"/>
      <c r="AM386" s="4"/>
      <c r="AN386" s="4"/>
      <c r="AO386" s="4"/>
      <c r="AP386" s="4"/>
      <c r="AQ386" s="4"/>
      <c r="AR386" s="4"/>
      <c r="AS386" s="4"/>
      <c r="AU386" s="4"/>
      <c r="AV386" s="4"/>
      <c r="AW386" s="4"/>
      <c r="AX386" s="4"/>
      <c r="AY386" s="4"/>
      <c r="AZ386" s="4"/>
      <c r="BA386" s="4"/>
      <c r="BB386" s="4"/>
      <c r="BC386" s="4"/>
      <c r="BD386" s="4"/>
      <c r="BE386" s="4"/>
    </row>
    <row r="387" spans="2:57" x14ac:dyDescent="0.3">
      <c r="B387" s="6" t="s">
        <v>410</v>
      </c>
      <c r="C387" s="6">
        <v>30</v>
      </c>
      <c r="D387" s="6" t="s">
        <v>17</v>
      </c>
      <c r="E387" s="6" t="s">
        <v>15</v>
      </c>
      <c r="F387" s="6" t="s">
        <v>18</v>
      </c>
      <c r="G387" s="19">
        <v>2285</v>
      </c>
      <c r="H387" s="11">
        <v>1</v>
      </c>
      <c r="I387" s="6">
        <v>4</v>
      </c>
      <c r="J387" s="6" t="s">
        <v>9</v>
      </c>
      <c r="K387" s="5" t="s">
        <v>9</v>
      </c>
      <c r="L387" s="3" t="str">
        <f>IF(Table1[[#This Row],[Monthly Income]]&lt;3000,"Low",IF(Table1[[#This Row],[Monthly Income]]&lt;7000,"Medium","High"))</f>
        <v>Low</v>
      </c>
      <c r="AK387" s="6"/>
      <c r="AL387" s="6"/>
      <c r="AM387" s="6"/>
      <c r="AN387" s="6"/>
      <c r="AO387" s="6"/>
      <c r="AP387" s="6"/>
      <c r="AQ387" s="6"/>
      <c r="AR387" s="6"/>
      <c r="AS387" s="6"/>
      <c r="AU387" s="6"/>
      <c r="AV387" s="6"/>
      <c r="AW387" s="6"/>
      <c r="AX387" s="6"/>
      <c r="AY387" s="6"/>
      <c r="AZ387" s="6"/>
      <c r="BA387" s="6"/>
      <c r="BB387" s="6"/>
      <c r="BC387" s="6"/>
      <c r="BD387" s="6"/>
      <c r="BE387" s="6"/>
    </row>
    <row r="388" spans="2:57" x14ac:dyDescent="0.3">
      <c r="B388" s="4" t="s">
        <v>411</v>
      </c>
      <c r="C388" s="4">
        <v>37</v>
      </c>
      <c r="D388" s="4" t="s">
        <v>12</v>
      </c>
      <c r="E388" s="4" t="s">
        <v>15</v>
      </c>
      <c r="F388" s="4" t="s">
        <v>20</v>
      </c>
      <c r="G388" s="18">
        <v>3034</v>
      </c>
      <c r="H388" s="10">
        <v>18</v>
      </c>
      <c r="I388" s="4">
        <v>1</v>
      </c>
      <c r="J388" s="4" t="s">
        <v>14</v>
      </c>
      <c r="K388" s="3" t="s">
        <v>14</v>
      </c>
      <c r="L388" s="3" t="str">
        <f>IF(Table1[[#This Row],[Monthly Income]]&lt;3000,"Low",IF(Table1[[#This Row],[Monthly Income]]&lt;7000,"Medium","High"))</f>
        <v>Medium</v>
      </c>
      <c r="AK388" s="4"/>
      <c r="AL388" s="4"/>
      <c r="AM388" s="4"/>
      <c r="AN388" s="4"/>
      <c r="AO388" s="4"/>
      <c r="AP388" s="4"/>
      <c r="AQ388" s="4"/>
      <c r="AR388" s="4"/>
      <c r="AS388" s="4"/>
      <c r="AU388" s="4"/>
      <c r="AV388" s="4"/>
      <c r="AW388" s="4"/>
      <c r="AX388" s="4"/>
      <c r="AY388" s="4"/>
      <c r="AZ388" s="4"/>
      <c r="BA388" s="4"/>
      <c r="BB388" s="4"/>
      <c r="BC388" s="4"/>
      <c r="BD388" s="4"/>
      <c r="BE388" s="4"/>
    </row>
    <row r="389" spans="2:57" x14ac:dyDescent="0.3">
      <c r="B389" s="6" t="s">
        <v>412</v>
      </c>
      <c r="C389" s="6">
        <v>40</v>
      </c>
      <c r="D389" s="6" t="s">
        <v>12</v>
      </c>
      <c r="E389" s="6" t="s">
        <v>10</v>
      </c>
      <c r="F389" s="6" t="s">
        <v>13</v>
      </c>
      <c r="G389" s="19">
        <v>5715</v>
      </c>
      <c r="H389" s="11">
        <v>5</v>
      </c>
      <c r="I389" s="6">
        <v>2</v>
      </c>
      <c r="J389" s="6" t="s">
        <v>14</v>
      </c>
      <c r="K389" s="5" t="s">
        <v>14</v>
      </c>
      <c r="L389" s="3" t="str">
        <f>IF(Table1[[#This Row],[Monthly Income]]&lt;3000,"Low",IF(Table1[[#This Row],[Monthly Income]]&lt;7000,"Medium","High"))</f>
        <v>Medium</v>
      </c>
      <c r="AK389" s="6"/>
      <c r="AL389" s="6"/>
      <c r="AM389" s="6"/>
      <c r="AN389" s="6"/>
      <c r="AO389" s="6"/>
      <c r="AP389" s="6"/>
      <c r="AQ389" s="6"/>
      <c r="AR389" s="6"/>
      <c r="AS389" s="6"/>
      <c r="AU389" s="6"/>
      <c r="AV389" s="6"/>
      <c r="AW389" s="6"/>
      <c r="AX389" s="6"/>
      <c r="AY389" s="6"/>
      <c r="AZ389" s="6"/>
      <c r="BA389" s="6"/>
      <c r="BB389" s="6"/>
      <c r="BC389" s="6"/>
      <c r="BD389" s="6"/>
      <c r="BE389" s="6"/>
    </row>
    <row r="390" spans="2:57" x14ac:dyDescent="0.3">
      <c r="B390" s="4" t="s">
        <v>413</v>
      </c>
      <c r="C390" s="4">
        <v>42</v>
      </c>
      <c r="D390" s="4" t="s">
        <v>12</v>
      </c>
      <c r="E390" s="4" t="s">
        <v>15</v>
      </c>
      <c r="F390" s="4" t="s">
        <v>20</v>
      </c>
      <c r="G390" s="18">
        <v>2576</v>
      </c>
      <c r="H390" s="10">
        <v>5</v>
      </c>
      <c r="I390" s="4">
        <v>1</v>
      </c>
      <c r="J390" s="4" t="s">
        <v>14</v>
      </c>
      <c r="K390" s="3" t="s">
        <v>14</v>
      </c>
      <c r="L390" s="3" t="str">
        <f>IF(Table1[[#This Row],[Monthly Income]]&lt;3000,"Low",IF(Table1[[#This Row],[Monthly Income]]&lt;7000,"Medium","High"))</f>
        <v>Low</v>
      </c>
      <c r="AK390" s="4"/>
      <c r="AL390" s="4"/>
      <c r="AM390" s="4"/>
      <c r="AN390" s="4"/>
      <c r="AO390" s="4"/>
      <c r="AP390" s="4"/>
      <c r="AQ390" s="4"/>
      <c r="AR390" s="4"/>
      <c r="AS390" s="4"/>
      <c r="AU390" s="4"/>
      <c r="AV390" s="4"/>
      <c r="AW390" s="4"/>
      <c r="AX390" s="4"/>
      <c r="AY390" s="4"/>
      <c r="AZ390" s="4"/>
      <c r="BA390" s="4"/>
      <c r="BB390" s="4"/>
      <c r="BC390" s="4"/>
      <c r="BD390" s="4"/>
      <c r="BE390" s="4"/>
    </row>
    <row r="391" spans="2:57" x14ac:dyDescent="0.3">
      <c r="B391" s="6" t="s">
        <v>414</v>
      </c>
      <c r="C391" s="6">
        <v>37</v>
      </c>
      <c r="D391" s="6" t="s">
        <v>17</v>
      </c>
      <c r="E391" s="6" t="s">
        <v>15</v>
      </c>
      <c r="F391" s="6" t="s">
        <v>27</v>
      </c>
      <c r="G391" s="19">
        <v>4197</v>
      </c>
      <c r="H391" s="11">
        <v>1</v>
      </c>
      <c r="I391" s="6">
        <v>2</v>
      </c>
      <c r="J391" s="6" t="s">
        <v>9</v>
      </c>
      <c r="K391" s="5" t="s">
        <v>14</v>
      </c>
      <c r="L391" s="3" t="str">
        <f>IF(Table1[[#This Row],[Monthly Income]]&lt;3000,"Low",IF(Table1[[#This Row],[Monthly Income]]&lt;7000,"Medium","High"))</f>
        <v>Medium</v>
      </c>
      <c r="AK391" s="6"/>
      <c r="AL391" s="6"/>
      <c r="AM391" s="6"/>
      <c r="AN391" s="6"/>
      <c r="AO391" s="6"/>
      <c r="AP391" s="6"/>
      <c r="AQ391" s="6"/>
      <c r="AR391" s="6"/>
      <c r="AS391" s="6"/>
      <c r="AU391" s="6"/>
      <c r="AV391" s="6"/>
      <c r="AW391" s="6"/>
      <c r="AX391" s="6"/>
      <c r="AY391" s="6"/>
      <c r="AZ391" s="6"/>
      <c r="BA391" s="6"/>
      <c r="BB391" s="6"/>
      <c r="BC391" s="6"/>
      <c r="BD391" s="6"/>
      <c r="BE391" s="6"/>
    </row>
    <row r="392" spans="2:57" x14ac:dyDescent="0.3">
      <c r="B392" s="4" t="s">
        <v>415</v>
      </c>
      <c r="C392" s="4">
        <v>43</v>
      </c>
      <c r="D392" s="4" t="s">
        <v>17</v>
      </c>
      <c r="E392" s="4" t="s">
        <v>15</v>
      </c>
      <c r="F392" s="4" t="s">
        <v>45</v>
      </c>
      <c r="G392" s="18">
        <v>14336</v>
      </c>
      <c r="H392" s="10">
        <v>25</v>
      </c>
      <c r="I392" s="4">
        <v>2</v>
      </c>
      <c r="J392" s="4" t="s">
        <v>14</v>
      </c>
      <c r="K392" s="3" t="s">
        <v>14</v>
      </c>
      <c r="L392" s="3" t="str">
        <f>IF(Table1[[#This Row],[Monthly Income]]&lt;3000,"Low",IF(Table1[[#This Row],[Monthly Income]]&lt;7000,"Medium","High"))</f>
        <v>High</v>
      </c>
      <c r="AK392" s="4"/>
      <c r="AL392" s="4"/>
      <c r="AM392" s="4"/>
      <c r="AN392" s="4"/>
      <c r="AO392" s="4"/>
      <c r="AP392" s="4"/>
      <c r="AQ392" s="4"/>
      <c r="AR392" s="4"/>
      <c r="AS392" s="4"/>
      <c r="AU392" s="4"/>
      <c r="AV392" s="4"/>
      <c r="AW392" s="4"/>
      <c r="AX392" s="4"/>
      <c r="AY392" s="4"/>
      <c r="AZ392" s="4"/>
      <c r="BA392" s="4"/>
      <c r="BB392" s="4"/>
      <c r="BC392" s="4"/>
      <c r="BD392" s="4"/>
      <c r="BE392" s="4"/>
    </row>
    <row r="393" spans="2:57" x14ac:dyDescent="0.3">
      <c r="B393" s="6" t="s">
        <v>416</v>
      </c>
      <c r="C393" s="6">
        <v>40</v>
      </c>
      <c r="D393" s="6" t="s">
        <v>12</v>
      </c>
      <c r="E393" s="6" t="s">
        <v>15</v>
      </c>
      <c r="F393" s="6" t="s">
        <v>20</v>
      </c>
      <c r="G393" s="19">
        <v>3448</v>
      </c>
      <c r="H393" s="11">
        <v>1</v>
      </c>
      <c r="I393" s="6">
        <v>3</v>
      </c>
      <c r="J393" s="6" t="s">
        <v>14</v>
      </c>
      <c r="K393" s="5" t="s">
        <v>14</v>
      </c>
      <c r="L393" s="3" t="str">
        <f>IF(Table1[[#This Row],[Monthly Income]]&lt;3000,"Low",IF(Table1[[#This Row],[Monthly Income]]&lt;7000,"Medium","High"))</f>
        <v>Medium</v>
      </c>
      <c r="AK393" s="6"/>
      <c r="AL393" s="6"/>
      <c r="AM393" s="6"/>
      <c r="AN393" s="6"/>
      <c r="AO393" s="6"/>
      <c r="AP393" s="6"/>
      <c r="AQ393" s="6"/>
      <c r="AR393" s="6"/>
      <c r="AS393" s="6"/>
      <c r="AU393" s="6"/>
      <c r="AV393" s="6"/>
      <c r="AW393" s="6"/>
      <c r="AX393" s="6"/>
      <c r="AY393" s="6"/>
      <c r="AZ393" s="6"/>
      <c r="BA393" s="6"/>
      <c r="BB393" s="6"/>
      <c r="BC393" s="6"/>
      <c r="BD393" s="6"/>
      <c r="BE393" s="6"/>
    </row>
    <row r="394" spans="2:57" x14ac:dyDescent="0.3">
      <c r="B394" s="4" t="s">
        <v>417</v>
      </c>
      <c r="C394" s="4">
        <v>54</v>
      </c>
      <c r="D394" s="4" t="s">
        <v>17</v>
      </c>
      <c r="E394" s="4" t="s">
        <v>15</v>
      </c>
      <c r="F394" s="4" t="s">
        <v>45</v>
      </c>
      <c r="G394" s="18">
        <v>19406</v>
      </c>
      <c r="H394" s="10">
        <v>4</v>
      </c>
      <c r="I394" s="4">
        <v>1</v>
      </c>
      <c r="J394" s="4" t="s">
        <v>14</v>
      </c>
      <c r="K394" s="3" t="s">
        <v>14</v>
      </c>
      <c r="L394" s="3" t="str">
        <f>IF(Table1[[#This Row],[Monthly Income]]&lt;3000,"Low",IF(Table1[[#This Row],[Monthly Income]]&lt;7000,"Medium","High"))</f>
        <v>High</v>
      </c>
      <c r="AK394" s="4"/>
      <c r="AL394" s="4"/>
      <c r="AM394" s="4"/>
      <c r="AN394" s="4"/>
      <c r="AO394" s="4"/>
      <c r="AP394" s="4"/>
      <c r="AQ394" s="4"/>
      <c r="AR394" s="4"/>
      <c r="AS394" s="4"/>
      <c r="AU394" s="4"/>
      <c r="AV394" s="4"/>
      <c r="AW394" s="4"/>
      <c r="AX394" s="4"/>
      <c r="AY394" s="4"/>
      <c r="AZ394" s="4"/>
      <c r="BA394" s="4"/>
      <c r="BB394" s="4"/>
      <c r="BC394" s="4"/>
      <c r="BD394" s="4"/>
      <c r="BE394" s="4"/>
    </row>
    <row r="395" spans="2:57" x14ac:dyDescent="0.3">
      <c r="B395" s="6" t="s">
        <v>418</v>
      </c>
      <c r="C395" s="6">
        <v>34</v>
      </c>
      <c r="D395" s="6" t="s">
        <v>12</v>
      </c>
      <c r="E395" s="6" t="s">
        <v>10</v>
      </c>
      <c r="F395" s="6" t="s">
        <v>13</v>
      </c>
      <c r="G395" s="19">
        <v>6538</v>
      </c>
      <c r="H395" s="11">
        <v>3</v>
      </c>
      <c r="I395" s="6">
        <v>3</v>
      </c>
      <c r="J395" s="6" t="s">
        <v>14</v>
      </c>
      <c r="K395" s="5" t="s">
        <v>14</v>
      </c>
      <c r="L395" s="3" t="str">
        <f>IF(Table1[[#This Row],[Monthly Income]]&lt;3000,"Low",IF(Table1[[#This Row],[Monthly Income]]&lt;7000,"Medium","High"))</f>
        <v>Medium</v>
      </c>
      <c r="AK395" s="6"/>
      <c r="AL395" s="6"/>
      <c r="AM395" s="6"/>
      <c r="AN395" s="6"/>
      <c r="AO395" s="6"/>
      <c r="AP395" s="6"/>
      <c r="AQ395" s="6"/>
      <c r="AR395" s="6"/>
      <c r="AS395" s="6"/>
      <c r="AU395" s="6"/>
      <c r="AV395" s="6"/>
      <c r="AW395" s="6"/>
      <c r="AX395" s="6"/>
      <c r="AY395" s="6"/>
      <c r="AZ395" s="6"/>
      <c r="BA395" s="6"/>
      <c r="BB395" s="6"/>
      <c r="BC395" s="6"/>
      <c r="BD395" s="6"/>
      <c r="BE395" s="6"/>
    </row>
    <row r="396" spans="2:57" x14ac:dyDescent="0.3">
      <c r="B396" s="4" t="s">
        <v>419</v>
      </c>
      <c r="C396" s="4">
        <v>31</v>
      </c>
      <c r="D396" s="4" t="s">
        <v>12</v>
      </c>
      <c r="E396" s="4" t="s">
        <v>15</v>
      </c>
      <c r="F396" s="4" t="s">
        <v>27</v>
      </c>
      <c r="G396" s="18">
        <v>4306</v>
      </c>
      <c r="H396" s="10">
        <v>13</v>
      </c>
      <c r="I396" s="4">
        <v>1</v>
      </c>
      <c r="J396" s="4" t="s">
        <v>14</v>
      </c>
      <c r="K396" s="3" t="s">
        <v>14</v>
      </c>
      <c r="L396" s="3" t="str">
        <f>IF(Table1[[#This Row],[Monthly Income]]&lt;3000,"Low",IF(Table1[[#This Row],[Monthly Income]]&lt;7000,"Medium","High"))</f>
        <v>Medium</v>
      </c>
      <c r="AK396" s="4"/>
      <c r="AL396" s="4"/>
      <c r="AM396" s="4"/>
      <c r="AN396" s="4"/>
      <c r="AO396" s="4"/>
      <c r="AP396" s="4"/>
      <c r="AQ396" s="4"/>
      <c r="AR396" s="4"/>
      <c r="AS396" s="4"/>
      <c r="AU396" s="4"/>
      <c r="AV396" s="4"/>
      <c r="AW396" s="4"/>
      <c r="AX396" s="4"/>
      <c r="AY396" s="4"/>
      <c r="AZ396" s="4"/>
      <c r="BA396" s="4"/>
      <c r="BB396" s="4"/>
      <c r="BC396" s="4"/>
      <c r="BD396" s="4"/>
      <c r="BE396" s="4"/>
    </row>
    <row r="397" spans="2:57" x14ac:dyDescent="0.3">
      <c r="B397" s="6" t="s">
        <v>420</v>
      </c>
      <c r="C397" s="6">
        <v>43</v>
      </c>
      <c r="D397" s="6" t="s">
        <v>17</v>
      </c>
      <c r="E397" s="6" t="s">
        <v>15</v>
      </c>
      <c r="F397" s="6" t="s">
        <v>20</v>
      </c>
      <c r="G397" s="19">
        <v>2258</v>
      </c>
      <c r="H397" s="11">
        <v>3</v>
      </c>
      <c r="I397" s="6">
        <v>4</v>
      </c>
      <c r="J397" s="6" t="s">
        <v>14</v>
      </c>
      <c r="K397" s="5" t="s">
        <v>14</v>
      </c>
      <c r="L397" s="3" t="str">
        <f>IF(Table1[[#This Row],[Monthly Income]]&lt;3000,"Low",IF(Table1[[#This Row],[Monthly Income]]&lt;7000,"Medium","High"))</f>
        <v>Low</v>
      </c>
      <c r="AK397" s="6"/>
      <c r="AL397" s="6"/>
      <c r="AM397" s="6"/>
      <c r="AN397" s="6"/>
      <c r="AO397" s="6"/>
      <c r="AP397" s="6"/>
      <c r="AQ397" s="6"/>
      <c r="AR397" s="6"/>
      <c r="AS397" s="6"/>
      <c r="AU397" s="6"/>
      <c r="AV397" s="6"/>
      <c r="AW397" s="6"/>
      <c r="AX397" s="6"/>
      <c r="AY397" s="6"/>
      <c r="AZ397" s="6"/>
      <c r="BA397" s="6"/>
      <c r="BB397" s="6"/>
      <c r="BC397" s="6"/>
      <c r="BD397" s="6"/>
      <c r="BE397" s="6"/>
    </row>
    <row r="398" spans="2:57" x14ac:dyDescent="0.3">
      <c r="B398" s="4" t="s">
        <v>421</v>
      </c>
      <c r="C398" s="4">
        <v>43</v>
      </c>
      <c r="D398" s="4" t="s">
        <v>12</v>
      </c>
      <c r="E398" s="4" t="s">
        <v>15</v>
      </c>
      <c r="F398" s="4" t="s">
        <v>29</v>
      </c>
      <c r="G398" s="18">
        <v>4522</v>
      </c>
      <c r="H398" s="10">
        <v>5</v>
      </c>
      <c r="I398" s="4">
        <v>3</v>
      </c>
      <c r="J398" s="4" t="s">
        <v>9</v>
      </c>
      <c r="K398" s="3" t="s">
        <v>14</v>
      </c>
      <c r="L398" s="3" t="str">
        <f>IF(Table1[[#This Row],[Monthly Income]]&lt;3000,"Low",IF(Table1[[#This Row],[Monthly Income]]&lt;7000,"Medium","High"))</f>
        <v>Medium</v>
      </c>
      <c r="AK398" s="4"/>
      <c r="AL398" s="4"/>
      <c r="AM398" s="4"/>
      <c r="AN398" s="4"/>
      <c r="AO398" s="4"/>
      <c r="AP398" s="4"/>
      <c r="AQ398" s="4"/>
      <c r="AR398" s="4"/>
      <c r="AS398" s="4"/>
      <c r="AU398" s="4"/>
      <c r="AV398" s="4"/>
      <c r="AW398" s="4"/>
      <c r="AX398" s="4"/>
      <c r="AY398" s="4"/>
      <c r="AZ398" s="4"/>
      <c r="BA398" s="4"/>
      <c r="BB398" s="4"/>
      <c r="BC398" s="4"/>
      <c r="BD398" s="4"/>
      <c r="BE398" s="4"/>
    </row>
    <row r="399" spans="2:57" x14ac:dyDescent="0.3">
      <c r="B399" s="6" t="s">
        <v>422</v>
      </c>
      <c r="C399" s="6">
        <v>25</v>
      </c>
      <c r="D399" s="6" t="s">
        <v>12</v>
      </c>
      <c r="E399" s="6" t="s">
        <v>10</v>
      </c>
      <c r="F399" s="6" t="s">
        <v>13</v>
      </c>
      <c r="G399" s="19">
        <v>4487</v>
      </c>
      <c r="H399" s="11">
        <v>5</v>
      </c>
      <c r="I399" s="6">
        <v>4</v>
      </c>
      <c r="J399" s="6" t="s">
        <v>9</v>
      </c>
      <c r="K399" s="5" t="s">
        <v>14</v>
      </c>
      <c r="L399" s="3" t="str">
        <f>IF(Table1[[#This Row],[Monthly Income]]&lt;3000,"Low",IF(Table1[[#This Row],[Monthly Income]]&lt;7000,"Medium","High"))</f>
        <v>Medium</v>
      </c>
      <c r="AK399" s="6"/>
      <c r="AL399" s="6"/>
      <c r="AM399" s="6"/>
      <c r="AN399" s="6"/>
      <c r="AO399" s="6"/>
      <c r="AP399" s="6"/>
      <c r="AQ399" s="6"/>
      <c r="AR399" s="6"/>
      <c r="AS399" s="6"/>
      <c r="AU399" s="6"/>
      <c r="AV399" s="6"/>
      <c r="AW399" s="6"/>
      <c r="AX399" s="6"/>
      <c r="AY399" s="6"/>
      <c r="AZ399" s="6"/>
      <c r="BA399" s="6"/>
      <c r="BB399" s="6"/>
      <c r="BC399" s="6"/>
      <c r="BD399" s="6"/>
      <c r="BE399" s="6"/>
    </row>
    <row r="400" spans="2:57" x14ac:dyDescent="0.3">
      <c r="B400" s="4" t="s">
        <v>423</v>
      </c>
      <c r="C400" s="4">
        <v>37</v>
      </c>
      <c r="D400" s="4" t="s">
        <v>12</v>
      </c>
      <c r="E400" s="4" t="s">
        <v>15</v>
      </c>
      <c r="F400" s="4" t="s">
        <v>18</v>
      </c>
      <c r="G400" s="18">
        <v>4449</v>
      </c>
      <c r="H400" s="10">
        <v>13</v>
      </c>
      <c r="I400" s="4">
        <v>3</v>
      </c>
      <c r="J400" s="4" t="s">
        <v>9</v>
      </c>
      <c r="K400" s="3" t="s">
        <v>14</v>
      </c>
      <c r="L400" s="3" t="str">
        <f>IF(Table1[[#This Row],[Monthly Income]]&lt;3000,"Low",IF(Table1[[#This Row],[Monthly Income]]&lt;7000,"Medium","High"))</f>
        <v>Medium</v>
      </c>
      <c r="AK400" s="4"/>
      <c r="AL400" s="4"/>
      <c r="AM400" s="4"/>
      <c r="AN400" s="4"/>
      <c r="AO400" s="4"/>
      <c r="AP400" s="4"/>
      <c r="AQ400" s="4"/>
      <c r="AR400" s="4"/>
      <c r="AS400" s="4"/>
      <c r="AU400" s="4"/>
      <c r="AV400" s="4"/>
      <c r="AW400" s="4"/>
      <c r="AX400" s="4"/>
      <c r="AY400" s="4"/>
      <c r="AZ400" s="4"/>
      <c r="BA400" s="4"/>
      <c r="BB400" s="4"/>
      <c r="BC400" s="4"/>
      <c r="BD400" s="4"/>
      <c r="BE400" s="4"/>
    </row>
    <row r="401" spans="2:57" x14ac:dyDescent="0.3">
      <c r="B401" s="6" t="s">
        <v>424</v>
      </c>
      <c r="C401" s="6">
        <v>31</v>
      </c>
      <c r="D401" s="6" t="s">
        <v>17</v>
      </c>
      <c r="E401" s="6" t="s">
        <v>15</v>
      </c>
      <c r="F401" s="6" t="s">
        <v>20</v>
      </c>
      <c r="G401" s="19">
        <v>2218</v>
      </c>
      <c r="H401" s="11">
        <v>4</v>
      </c>
      <c r="I401" s="6">
        <v>1</v>
      </c>
      <c r="J401" s="6" t="s">
        <v>14</v>
      </c>
      <c r="K401" s="5" t="s">
        <v>14</v>
      </c>
      <c r="L401" s="3" t="str">
        <f>IF(Table1[[#This Row],[Monthly Income]]&lt;3000,"Low",IF(Table1[[#This Row],[Monthly Income]]&lt;7000,"Medium","High"))</f>
        <v>Low</v>
      </c>
      <c r="AK401" s="6"/>
      <c r="AL401" s="6"/>
      <c r="AM401" s="6"/>
      <c r="AN401" s="6"/>
      <c r="AO401" s="6"/>
      <c r="AP401" s="6"/>
      <c r="AQ401" s="6"/>
      <c r="AR401" s="6"/>
      <c r="AS401" s="6"/>
      <c r="AU401" s="6"/>
      <c r="AV401" s="6"/>
      <c r="AW401" s="6"/>
      <c r="AX401" s="6"/>
      <c r="AY401" s="6"/>
      <c r="AZ401" s="6"/>
      <c r="BA401" s="6"/>
      <c r="BB401" s="6"/>
      <c r="BC401" s="6"/>
      <c r="BD401" s="6"/>
      <c r="BE401" s="6"/>
    </row>
    <row r="402" spans="2:57" x14ac:dyDescent="0.3">
      <c r="B402" s="4" t="s">
        <v>425</v>
      </c>
      <c r="C402" s="4">
        <v>39</v>
      </c>
      <c r="D402" s="4" t="s">
        <v>17</v>
      </c>
      <c r="E402" s="4" t="s">
        <v>15</v>
      </c>
      <c r="F402" s="4" t="s">
        <v>39</v>
      </c>
      <c r="G402" s="18">
        <v>19197</v>
      </c>
      <c r="H402" s="10">
        <v>21</v>
      </c>
      <c r="I402" s="4">
        <v>3</v>
      </c>
      <c r="J402" s="4" t="s">
        <v>9</v>
      </c>
      <c r="K402" s="3" t="s">
        <v>14</v>
      </c>
      <c r="L402" s="3" t="str">
        <f>IF(Table1[[#This Row],[Monthly Income]]&lt;3000,"Low",IF(Table1[[#This Row],[Monthly Income]]&lt;7000,"Medium","High"))</f>
        <v>High</v>
      </c>
      <c r="AK402" s="4"/>
      <c r="AL402" s="4"/>
      <c r="AM402" s="4"/>
      <c r="AN402" s="4"/>
      <c r="AO402" s="4"/>
      <c r="AP402" s="4"/>
      <c r="AQ402" s="4"/>
      <c r="AR402" s="4"/>
      <c r="AS402" s="4"/>
      <c r="AU402" s="4"/>
      <c r="AV402" s="4"/>
      <c r="AW402" s="4"/>
      <c r="AX402" s="4"/>
      <c r="AY402" s="4"/>
      <c r="AZ402" s="4"/>
      <c r="BA402" s="4"/>
      <c r="BB402" s="4"/>
      <c r="BC402" s="4"/>
      <c r="BD402" s="4"/>
      <c r="BE402" s="4"/>
    </row>
    <row r="403" spans="2:57" x14ac:dyDescent="0.3">
      <c r="B403" s="6" t="s">
        <v>426</v>
      </c>
      <c r="C403" s="6">
        <v>56</v>
      </c>
      <c r="D403" s="6" t="s">
        <v>12</v>
      </c>
      <c r="E403" s="6" t="s">
        <v>10</v>
      </c>
      <c r="F403" s="6" t="s">
        <v>13</v>
      </c>
      <c r="G403" s="19">
        <v>13212</v>
      </c>
      <c r="H403" s="11">
        <v>7</v>
      </c>
      <c r="I403" s="6">
        <v>1</v>
      </c>
      <c r="J403" s="6" t="s">
        <v>14</v>
      </c>
      <c r="K403" s="5" t="s">
        <v>14</v>
      </c>
      <c r="L403" s="3" t="str">
        <f>IF(Table1[[#This Row],[Monthly Income]]&lt;3000,"Low",IF(Table1[[#This Row],[Monthly Income]]&lt;7000,"Medium","High"))</f>
        <v>High</v>
      </c>
      <c r="AK403" s="6"/>
      <c r="AL403" s="6"/>
      <c r="AM403" s="6"/>
      <c r="AN403" s="6"/>
      <c r="AO403" s="6"/>
      <c r="AP403" s="6"/>
      <c r="AQ403" s="6"/>
      <c r="AR403" s="6"/>
      <c r="AS403" s="6"/>
      <c r="AU403" s="6"/>
      <c r="AV403" s="6"/>
      <c r="AW403" s="6"/>
      <c r="AX403" s="6"/>
      <c r="AY403" s="6"/>
      <c r="AZ403" s="6"/>
      <c r="BA403" s="6"/>
      <c r="BB403" s="6"/>
      <c r="BC403" s="6"/>
      <c r="BD403" s="6"/>
      <c r="BE403" s="6"/>
    </row>
    <row r="404" spans="2:57" x14ac:dyDescent="0.3">
      <c r="B404" s="4" t="s">
        <v>427</v>
      </c>
      <c r="C404" s="4">
        <v>30</v>
      </c>
      <c r="D404" s="4" t="s">
        <v>12</v>
      </c>
      <c r="E404" s="4" t="s">
        <v>10</v>
      </c>
      <c r="F404" s="4" t="s">
        <v>13</v>
      </c>
      <c r="G404" s="18">
        <v>6577</v>
      </c>
      <c r="H404" s="10">
        <v>5</v>
      </c>
      <c r="I404" s="4">
        <v>3</v>
      </c>
      <c r="J404" s="4" t="s">
        <v>14</v>
      </c>
      <c r="K404" s="3" t="s">
        <v>14</v>
      </c>
      <c r="L404" s="3" t="str">
        <f>IF(Table1[[#This Row],[Monthly Income]]&lt;3000,"Low",IF(Table1[[#This Row],[Monthly Income]]&lt;7000,"Medium","High"))</f>
        <v>Medium</v>
      </c>
      <c r="AK404" s="4"/>
      <c r="AL404" s="4"/>
      <c r="AM404" s="4"/>
      <c r="AN404" s="4"/>
      <c r="AO404" s="4"/>
      <c r="AP404" s="4"/>
      <c r="AQ404" s="4"/>
      <c r="AR404" s="4"/>
      <c r="AS404" s="4"/>
      <c r="AU404" s="4"/>
      <c r="AV404" s="4"/>
      <c r="AW404" s="4"/>
      <c r="AX404" s="4"/>
      <c r="AY404" s="4"/>
      <c r="AZ404" s="4"/>
      <c r="BA404" s="4"/>
      <c r="BB404" s="4"/>
      <c r="BC404" s="4"/>
      <c r="BD404" s="4"/>
      <c r="BE404" s="4"/>
    </row>
    <row r="405" spans="2:57" x14ac:dyDescent="0.3">
      <c r="B405" s="6" t="s">
        <v>428</v>
      </c>
      <c r="C405" s="6">
        <v>41</v>
      </c>
      <c r="D405" s="6" t="s">
        <v>17</v>
      </c>
      <c r="E405" s="6" t="s">
        <v>10</v>
      </c>
      <c r="F405" s="6" t="s">
        <v>13</v>
      </c>
      <c r="G405" s="19">
        <v>8392</v>
      </c>
      <c r="H405" s="11">
        <v>10</v>
      </c>
      <c r="I405" s="6">
        <v>1</v>
      </c>
      <c r="J405" s="6" t="s">
        <v>14</v>
      </c>
      <c r="K405" s="5" t="s">
        <v>14</v>
      </c>
      <c r="L405" s="3" t="str">
        <f>IF(Table1[[#This Row],[Monthly Income]]&lt;3000,"Low",IF(Table1[[#This Row],[Monthly Income]]&lt;7000,"Medium","High"))</f>
        <v>High</v>
      </c>
      <c r="AK405" s="6"/>
      <c r="AL405" s="6"/>
      <c r="AM405" s="6"/>
      <c r="AN405" s="6"/>
      <c r="AO405" s="6"/>
      <c r="AP405" s="6"/>
      <c r="AQ405" s="6"/>
      <c r="AR405" s="6"/>
      <c r="AS405" s="6"/>
      <c r="AU405" s="6"/>
      <c r="AV405" s="6"/>
      <c r="AW405" s="6"/>
      <c r="AX405" s="6"/>
      <c r="AY405" s="6"/>
      <c r="AZ405" s="6"/>
      <c r="BA405" s="6"/>
      <c r="BB405" s="6"/>
      <c r="BC405" s="6"/>
      <c r="BD405" s="6"/>
      <c r="BE405" s="6"/>
    </row>
    <row r="406" spans="2:57" x14ac:dyDescent="0.3">
      <c r="B406" s="4" t="s">
        <v>429</v>
      </c>
      <c r="C406" s="4">
        <v>28</v>
      </c>
      <c r="D406" s="4" t="s">
        <v>17</v>
      </c>
      <c r="E406" s="4" t="s">
        <v>15</v>
      </c>
      <c r="F406" s="4" t="s">
        <v>20</v>
      </c>
      <c r="G406" s="18">
        <v>4558</v>
      </c>
      <c r="H406" s="10">
        <v>10</v>
      </c>
      <c r="I406" s="4">
        <v>1</v>
      </c>
      <c r="J406" s="4" t="s">
        <v>14</v>
      </c>
      <c r="K406" s="3" t="s">
        <v>14</v>
      </c>
      <c r="L406" s="3" t="str">
        <f>IF(Table1[[#This Row],[Monthly Income]]&lt;3000,"Low",IF(Table1[[#This Row],[Monthly Income]]&lt;7000,"Medium","High"))</f>
        <v>Medium</v>
      </c>
      <c r="AK406" s="4"/>
      <c r="AL406" s="4"/>
      <c r="AM406" s="4"/>
      <c r="AN406" s="4"/>
      <c r="AO406" s="4"/>
      <c r="AP406" s="4"/>
      <c r="AQ406" s="4"/>
      <c r="AR406" s="4"/>
      <c r="AS406" s="4"/>
      <c r="AU406" s="4"/>
      <c r="AV406" s="4"/>
      <c r="AW406" s="4"/>
      <c r="AX406" s="4"/>
      <c r="AY406" s="4"/>
      <c r="AZ406" s="4"/>
      <c r="BA406" s="4"/>
      <c r="BB406" s="4"/>
      <c r="BC406" s="4"/>
      <c r="BD406" s="4"/>
      <c r="BE406" s="4"/>
    </row>
    <row r="407" spans="2:57" x14ac:dyDescent="0.3">
      <c r="B407" s="6" t="s">
        <v>430</v>
      </c>
      <c r="C407" s="6">
        <v>25</v>
      </c>
      <c r="D407" s="6" t="s">
        <v>17</v>
      </c>
      <c r="E407" s="6" t="s">
        <v>15</v>
      </c>
      <c r="F407" s="6" t="s">
        <v>20</v>
      </c>
      <c r="G407" s="19">
        <v>4031</v>
      </c>
      <c r="H407" s="11">
        <v>2</v>
      </c>
      <c r="I407" s="6">
        <v>1</v>
      </c>
      <c r="J407" s="6" t="s">
        <v>14</v>
      </c>
      <c r="K407" s="5" t="s">
        <v>9</v>
      </c>
      <c r="L407" s="3" t="str">
        <f>IF(Table1[[#This Row],[Monthly Income]]&lt;3000,"Low",IF(Table1[[#This Row],[Monthly Income]]&lt;7000,"Medium","High"))</f>
        <v>Medium</v>
      </c>
      <c r="AK407" s="6"/>
      <c r="AL407" s="6"/>
      <c r="AM407" s="6"/>
      <c r="AN407" s="6"/>
      <c r="AO407" s="6"/>
      <c r="AP407" s="6"/>
      <c r="AQ407" s="6"/>
      <c r="AR407" s="6"/>
      <c r="AS407" s="6"/>
      <c r="AU407" s="6"/>
      <c r="AV407" s="6"/>
      <c r="AW407" s="6"/>
      <c r="AX407" s="6"/>
      <c r="AY407" s="6"/>
      <c r="AZ407" s="6"/>
      <c r="BA407" s="6"/>
      <c r="BB407" s="6"/>
      <c r="BC407" s="6"/>
      <c r="BD407" s="6"/>
      <c r="BE407" s="6"/>
    </row>
    <row r="408" spans="2:57" x14ac:dyDescent="0.3">
      <c r="B408" s="4" t="s">
        <v>431</v>
      </c>
      <c r="C408" s="4">
        <v>52</v>
      </c>
      <c r="D408" s="4" t="s">
        <v>17</v>
      </c>
      <c r="E408" s="4" t="s">
        <v>15</v>
      </c>
      <c r="F408" s="4" t="s">
        <v>27</v>
      </c>
      <c r="G408" s="18">
        <v>7969</v>
      </c>
      <c r="H408" s="10">
        <v>5</v>
      </c>
      <c r="I408" s="4">
        <v>3</v>
      </c>
      <c r="J408" s="4" t="s">
        <v>9</v>
      </c>
      <c r="K408" s="3" t="s">
        <v>14</v>
      </c>
      <c r="L408" s="3" t="str">
        <f>IF(Table1[[#This Row],[Monthly Income]]&lt;3000,"Low",IF(Table1[[#This Row],[Monthly Income]]&lt;7000,"Medium","High"))</f>
        <v>High</v>
      </c>
      <c r="AK408" s="4"/>
      <c r="AL408" s="4"/>
      <c r="AM408" s="4"/>
      <c r="AN408" s="4"/>
      <c r="AO408" s="4"/>
      <c r="AP408" s="4"/>
      <c r="AQ408" s="4"/>
      <c r="AR408" s="4"/>
      <c r="AS408" s="4"/>
      <c r="AU408" s="4"/>
      <c r="AV408" s="4"/>
      <c r="AW408" s="4"/>
      <c r="AX408" s="4"/>
      <c r="AY408" s="4"/>
      <c r="AZ408" s="4"/>
      <c r="BA408" s="4"/>
      <c r="BB408" s="4"/>
      <c r="BC408" s="4"/>
      <c r="BD408" s="4"/>
      <c r="BE408" s="4"/>
    </row>
    <row r="409" spans="2:57" x14ac:dyDescent="0.3">
      <c r="B409" s="6" t="s">
        <v>432</v>
      </c>
      <c r="C409" s="6">
        <v>45</v>
      </c>
      <c r="D409" s="6" t="s">
        <v>17</v>
      </c>
      <c r="E409" s="6" t="s">
        <v>15</v>
      </c>
      <c r="F409" s="6" t="s">
        <v>18</v>
      </c>
      <c r="G409" s="19">
        <v>2654</v>
      </c>
      <c r="H409" s="11">
        <v>2</v>
      </c>
      <c r="I409" s="6">
        <v>4</v>
      </c>
      <c r="J409" s="6" t="s">
        <v>14</v>
      </c>
      <c r="K409" s="5" t="s">
        <v>14</v>
      </c>
      <c r="L409" s="3" t="str">
        <f>IF(Table1[[#This Row],[Monthly Income]]&lt;3000,"Low",IF(Table1[[#This Row],[Monthly Income]]&lt;7000,"Medium","High"))</f>
        <v>Low</v>
      </c>
      <c r="AK409" s="6"/>
      <c r="AL409" s="6"/>
      <c r="AM409" s="6"/>
      <c r="AN409" s="6"/>
      <c r="AO409" s="6"/>
      <c r="AP409" s="6"/>
      <c r="AQ409" s="6"/>
      <c r="AR409" s="6"/>
      <c r="AS409" s="6"/>
      <c r="AU409" s="6"/>
      <c r="AV409" s="6"/>
      <c r="AW409" s="6"/>
      <c r="AX409" s="6"/>
      <c r="AY409" s="6"/>
      <c r="AZ409" s="6"/>
      <c r="BA409" s="6"/>
      <c r="BB409" s="6"/>
      <c r="BC409" s="6"/>
      <c r="BD409" s="6"/>
      <c r="BE409" s="6"/>
    </row>
    <row r="410" spans="2:57" x14ac:dyDescent="0.3">
      <c r="B410" s="4" t="s">
        <v>433</v>
      </c>
      <c r="C410" s="4">
        <v>52</v>
      </c>
      <c r="D410" s="4" t="s">
        <v>12</v>
      </c>
      <c r="E410" s="4" t="s">
        <v>15</v>
      </c>
      <c r="F410" s="4" t="s">
        <v>39</v>
      </c>
      <c r="G410" s="18">
        <v>16555</v>
      </c>
      <c r="H410" s="10">
        <v>5</v>
      </c>
      <c r="I410" s="4">
        <v>4</v>
      </c>
      <c r="J410" s="4" t="s">
        <v>14</v>
      </c>
      <c r="K410" s="3" t="s">
        <v>14</v>
      </c>
      <c r="L410" s="3" t="str">
        <f>IF(Table1[[#This Row],[Monthly Income]]&lt;3000,"Low",IF(Table1[[#This Row],[Monthly Income]]&lt;7000,"Medium","High"))</f>
        <v>High</v>
      </c>
      <c r="AK410" s="4"/>
      <c r="AL410" s="4"/>
      <c r="AM410" s="4"/>
      <c r="AN410" s="4"/>
      <c r="AO410" s="4"/>
      <c r="AP410" s="4"/>
      <c r="AQ410" s="4"/>
      <c r="AR410" s="4"/>
      <c r="AS410" s="4"/>
      <c r="AU410" s="4"/>
      <c r="AV410" s="4"/>
      <c r="AW410" s="4"/>
      <c r="AX410" s="4"/>
      <c r="AY410" s="4"/>
      <c r="AZ410" s="4"/>
      <c r="BA410" s="4"/>
      <c r="BB410" s="4"/>
      <c r="BC410" s="4"/>
      <c r="BD410" s="4"/>
      <c r="BE410" s="4"/>
    </row>
    <row r="411" spans="2:57" x14ac:dyDescent="0.3">
      <c r="B411" s="6" t="s">
        <v>434</v>
      </c>
      <c r="C411" s="6">
        <v>42</v>
      </c>
      <c r="D411" s="6" t="s">
        <v>12</v>
      </c>
      <c r="E411" s="6" t="s">
        <v>15</v>
      </c>
      <c r="F411" s="6" t="s">
        <v>18</v>
      </c>
      <c r="G411" s="19">
        <v>4556</v>
      </c>
      <c r="H411" s="11">
        <v>5</v>
      </c>
      <c r="I411" s="6">
        <v>3</v>
      </c>
      <c r="J411" s="6" t="s">
        <v>14</v>
      </c>
      <c r="K411" s="5" t="s">
        <v>14</v>
      </c>
      <c r="L411" s="3" t="str">
        <f>IF(Table1[[#This Row],[Monthly Income]]&lt;3000,"Low",IF(Table1[[#This Row],[Monthly Income]]&lt;7000,"Medium","High"))</f>
        <v>Medium</v>
      </c>
      <c r="AK411" s="6"/>
      <c r="AL411" s="6"/>
      <c r="AM411" s="6"/>
      <c r="AN411" s="6"/>
      <c r="AO411" s="6"/>
      <c r="AP411" s="6"/>
      <c r="AQ411" s="6"/>
      <c r="AR411" s="6"/>
      <c r="AS411" s="6"/>
      <c r="AU411" s="6"/>
      <c r="AV411" s="6"/>
      <c r="AW411" s="6"/>
      <c r="AX411" s="6"/>
      <c r="AY411" s="6"/>
      <c r="AZ411" s="6"/>
      <c r="BA411" s="6"/>
      <c r="BB411" s="6"/>
      <c r="BC411" s="6"/>
      <c r="BD411" s="6"/>
      <c r="BE411" s="6"/>
    </row>
    <row r="412" spans="2:57" x14ac:dyDescent="0.3">
      <c r="B412" s="4" t="s">
        <v>435</v>
      </c>
      <c r="C412" s="4">
        <v>30</v>
      </c>
      <c r="D412" s="4" t="s">
        <v>12</v>
      </c>
      <c r="E412" s="4" t="s">
        <v>15</v>
      </c>
      <c r="F412" s="4" t="s">
        <v>27</v>
      </c>
      <c r="G412" s="18">
        <v>6091</v>
      </c>
      <c r="H412" s="10">
        <v>5</v>
      </c>
      <c r="I412" s="4">
        <v>4</v>
      </c>
      <c r="J412" s="4" t="s">
        <v>14</v>
      </c>
      <c r="K412" s="3" t="s">
        <v>14</v>
      </c>
      <c r="L412" s="3" t="str">
        <f>IF(Table1[[#This Row],[Monthly Income]]&lt;3000,"Low",IF(Table1[[#This Row],[Monthly Income]]&lt;7000,"Medium","High"))</f>
        <v>Medium</v>
      </c>
      <c r="AK412" s="4"/>
      <c r="AL412" s="4"/>
      <c r="AM412" s="4"/>
      <c r="AN412" s="4"/>
      <c r="AO412" s="4"/>
      <c r="AP412" s="4"/>
      <c r="AQ412" s="4"/>
      <c r="AR412" s="4"/>
      <c r="AS412" s="4"/>
      <c r="AU412" s="4"/>
      <c r="AV412" s="4"/>
      <c r="AW412" s="4"/>
      <c r="AX412" s="4"/>
      <c r="AY412" s="4"/>
      <c r="AZ412" s="4"/>
      <c r="BA412" s="4"/>
      <c r="BB412" s="4"/>
      <c r="BC412" s="4"/>
      <c r="BD412" s="4"/>
      <c r="BE412" s="4"/>
    </row>
    <row r="413" spans="2:57" x14ac:dyDescent="0.3">
      <c r="B413" s="6" t="s">
        <v>436</v>
      </c>
      <c r="C413" s="6">
        <v>60</v>
      </c>
      <c r="D413" s="6" t="s">
        <v>12</v>
      </c>
      <c r="E413" s="6" t="s">
        <v>15</v>
      </c>
      <c r="F413" s="6" t="s">
        <v>39</v>
      </c>
      <c r="G413" s="19">
        <v>19566</v>
      </c>
      <c r="H413" s="11">
        <v>29</v>
      </c>
      <c r="I413" s="6">
        <v>1</v>
      </c>
      <c r="J413" s="6" t="s">
        <v>14</v>
      </c>
      <c r="K413" s="5" t="s">
        <v>14</v>
      </c>
      <c r="L413" s="3" t="str">
        <f>IF(Table1[[#This Row],[Monthly Income]]&lt;3000,"Low",IF(Table1[[#This Row],[Monthly Income]]&lt;7000,"Medium","High"))</f>
        <v>High</v>
      </c>
      <c r="AK413" s="6"/>
      <c r="AL413" s="6"/>
      <c r="AM413" s="6"/>
      <c r="AN413" s="6"/>
      <c r="AO413" s="6"/>
      <c r="AP413" s="6"/>
      <c r="AQ413" s="6"/>
      <c r="AR413" s="6"/>
      <c r="AS413" s="6"/>
      <c r="AU413" s="6"/>
      <c r="AV413" s="6"/>
      <c r="AW413" s="6"/>
      <c r="AX413" s="6"/>
      <c r="AY413" s="6"/>
      <c r="AZ413" s="6"/>
      <c r="BA413" s="6"/>
      <c r="BB413" s="6"/>
      <c r="BC413" s="6"/>
      <c r="BD413" s="6"/>
      <c r="BE413" s="6"/>
    </row>
    <row r="414" spans="2:57" x14ac:dyDescent="0.3">
      <c r="B414" s="4" t="s">
        <v>437</v>
      </c>
      <c r="C414" s="4">
        <v>46</v>
      </c>
      <c r="D414" s="4" t="s">
        <v>12</v>
      </c>
      <c r="E414" s="4" t="s">
        <v>15</v>
      </c>
      <c r="F414" s="4" t="s">
        <v>27</v>
      </c>
      <c r="G414" s="18">
        <v>4810</v>
      </c>
      <c r="H414" s="10">
        <v>10</v>
      </c>
      <c r="I414" s="4">
        <v>3</v>
      </c>
      <c r="J414" s="4" t="s">
        <v>14</v>
      </c>
      <c r="K414" s="3" t="s">
        <v>14</v>
      </c>
      <c r="L414" s="3" t="str">
        <f>IF(Table1[[#This Row],[Monthly Income]]&lt;3000,"Low",IF(Table1[[#This Row],[Monthly Income]]&lt;7000,"Medium","High"))</f>
        <v>Medium</v>
      </c>
      <c r="AK414" s="4"/>
      <c r="AL414" s="4"/>
      <c r="AM414" s="4"/>
      <c r="AN414" s="4"/>
      <c r="AO414" s="4"/>
      <c r="AP414" s="4"/>
      <c r="AQ414" s="4"/>
      <c r="AR414" s="4"/>
      <c r="AS414" s="4"/>
      <c r="AU414" s="4"/>
      <c r="AV414" s="4"/>
      <c r="AW414" s="4"/>
      <c r="AX414" s="4"/>
      <c r="AY414" s="4"/>
      <c r="AZ414" s="4"/>
      <c r="BA414" s="4"/>
      <c r="BB414" s="4"/>
      <c r="BC414" s="4"/>
      <c r="BD414" s="4"/>
      <c r="BE414" s="4"/>
    </row>
    <row r="415" spans="2:57" x14ac:dyDescent="0.3">
      <c r="B415" s="6" t="s">
        <v>438</v>
      </c>
      <c r="C415" s="6">
        <v>42</v>
      </c>
      <c r="D415" s="6" t="s">
        <v>12</v>
      </c>
      <c r="E415" s="6" t="s">
        <v>15</v>
      </c>
      <c r="F415" s="6" t="s">
        <v>29</v>
      </c>
      <c r="G415" s="19">
        <v>4523</v>
      </c>
      <c r="H415" s="11">
        <v>6</v>
      </c>
      <c r="I415" s="6">
        <v>4</v>
      </c>
      <c r="J415" s="6" t="s">
        <v>14</v>
      </c>
      <c r="K415" s="5" t="s">
        <v>14</v>
      </c>
      <c r="L415" s="3" t="str">
        <f>IF(Table1[[#This Row],[Monthly Income]]&lt;3000,"Low",IF(Table1[[#This Row],[Monthly Income]]&lt;7000,"Medium","High"))</f>
        <v>Medium</v>
      </c>
      <c r="AK415" s="6"/>
      <c r="AL415" s="6"/>
      <c r="AM415" s="6"/>
      <c r="AN415" s="6"/>
      <c r="AO415" s="6"/>
      <c r="AP415" s="6"/>
      <c r="AQ415" s="6"/>
      <c r="AR415" s="6"/>
      <c r="AS415" s="6"/>
      <c r="AU415" s="6"/>
      <c r="AV415" s="6"/>
      <c r="AW415" s="6"/>
      <c r="AX415" s="6"/>
      <c r="AY415" s="6"/>
      <c r="AZ415" s="6"/>
      <c r="BA415" s="6"/>
      <c r="BB415" s="6"/>
      <c r="BC415" s="6"/>
      <c r="BD415" s="6"/>
      <c r="BE415" s="6"/>
    </row>
    <row r="416" spans="2:57" x14ac:dyDescent="0.3">
      <c r="B416" s="4" t="s">
        <v>439</v>
      </c>
      <c r="C416" s="4">
        <v>24</v>
      </c>
      <c r="D416" s="4" t="s">
        <v>12</v>
      </c>
      <c r="E416" s="4" t="s">
        <v>10</v>
      </c>
      <c r="F416" s="4" t="s">
        <v>43</v>
      </c>
      <c r="G416" s="18">
        <v>3202</v>
      </c>
      <c r="H416" s="10">
        <v>5</v>
      </c>
      <c r="I416" s="4">
        <v>2</v>
      </c>
      <c r="J416" s="4" t="s">
        <v>9</v>
      </c>
      <c r="K416" s="3" t="s">
        <v>9</v>
      </c>
      <c r="L416" s="3" t="str">
        <f>IF(Table1[[#This Row],[Monthly Income]]&lt;3000,"Low",IF(Table1[[#This Row],[Monthly Income]]&lt;7000,"Medium","High"))</f>
        <v>Medium</v>
      </c>
      <c r="AK416" s="4"/>
      <c r="AL416" s="4"/>
      <c r="AM416" s="4"/>
      <c r="AN416" s="4"/>
      <c r="AO416" s="4"/>
      <c r="AP416" s="4"/>
      <c r="AQ416" s="4"/>
      <c r="AR416" s="4"/>
      <c r="AS416" s="4"/>
      <c r="AU416" s="4"/>
      <c r="AV416" s="4"/>
      <c r="AW416" s="4"/>
      <c r="AX416" s="4"/>
      <c r="AY416" s="4"/>
      <c r="AZ416" s="4"/>
      <c r="BA416" s="4"/>
      <c r="BB416" s="4"/>
      <c r="BC416" s="4"/>
      <c r="BD416" s="4"/>
      <c r="BE416" s="4"/>
    </row>
    <row r="417" spans="2:57" x14ac:dyDescent="0.3">
      <c r="B417" s="6" t="s">
        <v>440</v>
      </c>
      <c r="C417" s="6">
        <v>34</v>
      </c>
      <c r="D417" s="6" t="s">
        <v>12</v>
      </c>
      <c r="E417" s="6" t="s">
        <v>10</v>
      </c>
      <c r="F417" s="6" t="s">
        <v>43</v>
      </c>
      <c r="G417" s="19">
        <v>2351</v>
      </c>
      <c r="H417" s="11">
        <v>2</v>
      </c>
      <c r="I417" s="6">
        <v>3</v>
      </c>
      <c r="J417" s="6" t="s">
        <v>14</v>
      </c>
      <c r="K417" s="5" t="s">
        <v>9</v>
      </c>
      <c r="L417" s="3" t="str">
        <f>IF(Table1[[#This Row],[Monthly Income]]&lt;3000,"Low",IF(Table1[[#This Row],[Monthly Income]]&lt;7000,"Medium","High"))</f>
        <v>Low</v>
      </c>
      <c r="AK417" s="6"/>
      <c r="AL417" s="6"/>
      <c r="AM417" s="6"/>
      <c r="AN417" s="6"/>
      <c r="AO417" s="6"/>
      <c r="AP417" s="6"/>
      <c r="AQ417" s="6"/>
      <c r="AR417" s="6"/>
      <c r="AS417" s="6"/>
      <c r="AU417" s="6"/>
      <c r="AV417" s="6"/>
      <c r="AW417" s="6"/>
      <c r="AX417" s="6"/>
      <c r="AY417" s="6"/>
      <c r="AZ417" s="6"/>
      <c r="BA417" s="6"/>
      <c r="BB417" s="6"/>
      <c r="BC417" s="6"/>
      <c r="BD417" s="6"/>
      <c r="BE417" s="6"/>
    </row>
    <row r="418" spans="2:57" x14ac:dyDescent="0.3">
      <c r="B418" s="4" t="s">
        <v>441</v>
      </c>
      <c r="C418" s="4">
        <v>38</v>
      </c>
      <c r="D418" s="4" t="s">
        <v>17</v>
      </c>
      <c r="E418" s="4" t="s">
        <v>15</v>
      </c>
      <c r="F418" s="4" t="s">
        <v>20</v>
      </c>
      <c r="G418" s="18">
        <v>1702</v>
      </c>
      <c r="H418" s="10">
        <v>1</v>
      </c>
      <c r="I418" s="4">
        <v>4</v>
      </c>
      <c r="J418" s="4" t="s">
        <v>9</v>
      </c>
      <c r="K418" s="3" t="s">
        <v>14</v>
      </c>
      <c r="L418" s="3" t="str">
        <f>IF(Table1[[#This Row],[Monthly Income]]&lt;3000,"Low",IF(Table1[[#This Row],[Monthly Income]]&lt;7000,"Medium","High"))</f>
        <v>Low</v>
      </c>
      <c r="AK418" s="4"/>
      <c r="AL418" s="4"/>
      <c r="AM418" s="4"/>
      <c r="AN418" s="4"/>
      <c r="AO418" s="4"/>
      <c r="AP418" s="4"/>
      <c r="AQ418" s="4"/>
      <c r="AR418" s="4"/>
      <c r="AS418" s="4"/>
      <c r="AU418" s="4"/>
      <c r="AV418" s="4"/>
      <c r="AW418" s="4"/>
      <c r="AX418" s="4"/>
      <c r="AY418" s="4"/>
      <c r="AZ418" s="4"/>
      <c r="BA418" s="4"/>
      <c r="BB418" s="4"/>
      <c r="BC418" s="4"/>
      <c r="BD418" s="4"/>
      <c r="BE418" s="4"/>
    </row>
    <row r="419" spans="2:57" x14ac:dyDescent="0.3">
      <c r="B419" s="6" t="s">
        <v>442</v>
      </c>
      <c r="C419" s="6">
        <v>40</v>
      </c>
      <c r="D419" s="6" t="s">
        <v>12</v>
      </c>
      <c r="E419" s="6" t="s">
        <v>10</v>
      </c>
      <c r="F419" s="6" t="s">
        <v>39</v>
      </c>
      <c r="G419" s="19">
        <v>18041</v>
      </c>
      <c r="H419" s="11">
        <v>20</v>
      </c>
      <c r="I419" s="6">
        <v>3</v>
      </c>
      <c r="J419" s="6" t="s">
        <v>14</v>
      </c>
      <c r="K419" s="5" t="s">
        <v>14</v>
      </c>
      <c r="L419" s="3" t="str">
        <f>IF(Table1[[#This Row],[Monthly Income]]&lt;3000,"Low",IF(Table1[[#This Row],[Monthly Income]]&lt;7000,"Medium","High"))</f>
        <v>High</v>
      </c>
      <c r="AK419" s="6"/>
      <c r="AL419" s="6"/>
      <c r="AM419" s="6"/>
      <c r="AN419" s="6"/>
      <c r="AO419" s="6"/>
      <c r="AP419" s="6"/>
      <c r="AQ419" s="6"/>
      <c r="AR419" s="6"/>
      <c r="AS419" s="6"/>
      <c r="AU419" s="6"/>
      <c r="AV419" s="6"/>
      <c r="AW419" s="6"/>
      <c r="AX419" s="6"/>
      <c r="AY419" s="6"/>
      <c r="AZ419" s="6"/>
      <c r="BA419" s="6"/>
      <c r="BB419" s="6"/>
      <c r="BC419" s="6"/>
      <c r="BD419" s="6"/>
      <c r="BE419" s="6"/>
    </row>
    <row r="420" spans="2:57" x14ac:dyDescent="0.3">
      <c r="B420" s="4" t="s">
        <v>443</v>
      </c>
      <c r="C420" s="4">
        <v>26</v>
      </c>
      <c r="D420" s="4" t="s">
        <v>12</v>
      </c>
      <c r="E420" s="4" t="s">
        <v>15</v>
      </c>
      <c r="F420" s="4" t="s">
        <v>18</v>
      </c>
      <c r="G420" s="18">
        <v>2886</v>
      </c>
      <c r="H420" s="10">
        <v>3</v>
      </c>
      <c r="I420" s="4">
        <v>4</v>
      </c>
      <c r="J420" s="4" t="s">
        <v>14</v>
      </c>
      <c r="K420" s="3" t="s">
        <v>14</v>
      </c>
      <c r="L420" s="3" t="str">
        <f>IF(Table1[[#This Row],[Monthly Income]]&lt;3000,"Low",IF(Table1[[#This Row],[Monthly Income]]&lt;7000,"Medium","High"))</f>
        <v>Low</v>
      </c>
      <c r="AK420" s="4"/>
      <c r="AL420" s="4"/>
      <c r="AM420" s="4"/>
      <c r="AN420" s="4"/>
      <c r="AO420" s="4"/>
      <c r="AP420" s="4"/>
      <c r="AQ420" s="4"/>
      <c r="AR420" s="4"/>
      <c r="AS420" s="4"/>
      <c r="AU420" s="4"/>
      <c r="AV420" s="4"/>
      <c r="AW420" s="4"/>
      <c r="AX420" s="4"/>
      <c r="AY420" s="4"/>
      <c r="AZ420" s="4"/>
      <c r="BA420" s="4"/>
      <c r="BB420" s="4"/>
      <c r="BC420" s="4"/>
      <c r="BD420" s="4"/>
      <c r="BE420" s="4"/>
    </row>
    <row r="421" spans="2:57" x14ac:dyDescent="0.3">
      <c r="B421" s="6" t="s">
        <v>444</v>
      </c>
      <c r="C421" s="6">
        <v>30</v>
      </c>
      <c r="D421" s="6" t="s">
        <v>17</v>
      </c>
      <c r="E421" s="6" t="s">
        <v>15</v>
      </c>
      <c r="F421" s="6" t="s">
        <v>20</v>
      </c>
      <c r="G421" s="19">
        <v>2097</v>
      </c>
      <c r="H421" s="11">
        <v>5</v>
      </c>
      <c r="I421" s="6">
        <v>4</v>
      </c>
      <c r="J421" s="6" t="s">
        <v>14</v>
      </c>
      <c r="K421" s="5" t="s">
        <v>14</v>
      </c>
      <c r="L421" s="3" t="str">
        <f>IF(Table1[[#This Row],[Monthly Income]]&lt;3000,"Low",IF(Table1[[#This Row],[Monthly Income]]&lt;7000,"Medium","High"))</f>
        <v>Low</v>
      </c>
      <c r="AK421" s="6"/>
      <c r="AL421" s="6"/>
      <c r="AM421" s="6"/>
      <c r="AN421" s="6"/>
      <c r="AO421" s="6"/>
      <c r="AP421" s="6"/>
      <c r="AQ421" s="6"/>
      <c r="AR421" s="6"/>
      <c r="AS421" s="6"/>
      <c r="AU421" s="6"/>
      <c r="AV421" s="6"/>
      <c r="AW421" s="6"/>
      <c r="AX421" s="6"/>
      <c r="AY421" s="6"/>
      <c r="AZ421" s="6"/>
      <c r="BA421" s="6"/>
      <c r="BB421" s="6"/>
      <c r="BC421" s="6"/>
      <c r="BD421" s="6"/>
      <c r="BE421" s="6"/>
    </row>
    <row r="422" spans="2:57" x14ac:dyDescent="0.3">
      <c r="B422" s="4" t="s">
        <v>445</v>
      </c>
      <c r="C422" s="4">
        <v>29</v>
      </c>
      <c r="D422" s="4" t="s">
        <v>17</v>
      </c>
      <c r="E422" s="4" t="s">
        <v>15</v>
      </c>
      <c r="F422" s="4" t="s">
        <v>45</v>
      </c>
      <c r="G422" s="18">
        <v>11935</v>
      </c>
      <c r="H422" s="10">
        <v>10</v>
      </c>
      <c r="I422" s="4">
        <v>3</v>
      </c>
      <c r="J422" s="4" t="s">
        <v>14</v>
      </c>
      <c r="K422" s="3" t="s">
        <v>14</v>
      </c>
      <c r="L422" s="3" t="str">
        <f>IF(Table1[[#This Row],[Monthly Income]]&lt;3000,"Low",IF(Table1[[#This Row],[Monthly Income]]&lt;7000,"Medium","High"))</f>
        <v>High</v>
      </c>
      <c r="AK422" s="4"/>
      <c r="AL422" s="4"/>
      <c r="AM422" s="4"/>
      <c r="AN422" s="4"/>
      <c r="AO422" s="4"/>
      <c r="AP422" s="4"/>
      <c r="AQ422" s="4"/>
      <c r="AR422" s="4"/>
      <c r="AS422" s="4"/>
      <c r="AU422" s="4"/>
      <c r="AV422" s="4"/>
      <c r="AW422" s="4"/>
      <c r="AX422" s="4"/>
      <c r="AY422" s="4"/>
      <c r="AZ422" s="4"/>
      <c r="BA422" s="4"/>
      <c r="BB422" s="4"/>
      <c r="BC422" s="4"/>
      <c r="BD422" s="4"/>
      <c r="BE422" s="4"/>
    </row>
    <row r="423" spans="2:57" x14ac:dyDescent="0.3">
      <c r="B423" s="6" t="s">
        <v>446</v>
      </c>
      <c r="C423" s="6">
        <v>29</v>
      </c>
      <c r="D423" s="6" t="s">
        <v>12</v>
      </c>
      <c r="E423" s="6" t="s">
        <v>15</v>
      </c>
      <c r="F423" s="6" t="s">
        <v>18</v>
      </c>
      <c r="G423" s="19">
        <v>2546</v>
      </c>
      <c r="H423" s="11">
        <v>2</v>
      </c>
      <c r="I423" s="6">
        <v>2</v>
      </c>
      <c r="J423" s="6" t="s">
        <v>14</v>
      </c>
      <c r="K423" s="5" t="s">
        <v>9</v>
      </c>
      <c r="L423" s="3" t="str">
        <f>IF(Table1[[#This Row],[Monthly Income]]&lt;3000,"Low",IF(Table1[[#This Row],[Monthly Income]]&lt;7000,"Medium","High"))</f>
        <v>Low</v>
      </c>
      <c r="AK423" s="6"/>
      <c r="AL423" s="6"/>
      <c r="AM423" s="6"/>
      <c r="AN423" s="6"/>
      <c r="AO423" s="6"/>
      <c r="AP423" s="6"/>
      <c r="AQ423" s="6"/>
      <c r="AR423" s="6"/>
      <c r="AS423" s="6"/>
      <c r="AU423" s="6"/>
      <c r="AV423" s="6"/>
      <c r="AW423" s="6"/>
      <c r="AX423" s="6"/>
      <c r="AY423" s="6"/>
      <c r="AZ423" s="6"/>
      <c r="BA423" s="6"/>
      <c r="BB423" s="6"/>
      <c r="BC423" s="6"/>
      <c r="BD423" s="6"/>
      <c r="BE423" s="6"/>
    </row>
    <row r="424" spans="2:57" x14ac:dyDescent="0.3">
      <c r="B424" s="4" t="s">
        <v>447</v>
      </c>
      <c r="C424" s="4">
        <v>19</v>
      </c>
      <c r="D424" s="4" t="s">
        <v>17</v>
      </c>
      <c r="E424" s="4" t="s">
        <v>102</v>
      </c>
      <c r="F424" s="4" t="s">
        <v>104</v>
      </c>
      <c r="G424" s="18">
        <v>2564</v>
      </c>
      <c r="H424" s="10">
        <v>1</v>
      </c>
      <c r="I424" s="4">
        <v>4</v>
      </c>
      <c r="J424" s="4" t="s">
        <v>14</v>
      </c>
      <c r="K424" s="3" t="s">
        <v>9</v>
      </c>
      <c r="L424" s="3" t="str">
        <f>IF(Table1[[#This Row],[Monthly Income]]&lt;3000,"Low",IF(Table1[[#This Row],[Monthly Income]]&lt;7000,"Medium","High"))</f>
        <v>Low</v>
      </c>
      <c r="AK424" s="4"/>
      <c r="AL424" s="4"/>
      <c r="AM424" s="4"/>
      <c r="AN424" s="4"/>
      <c r="AO424" s="4"/>
      <c r="AP424" s="4"/>
      <c r="AQ424" s="4"/>
      <c r="AR424" s="4"/>
      <c r="AS424" s="4"/>
      <c r="AU424" s="4"/>
      <c r="AV424" s="4"/>
      <c r="AW424" s="4"/>
      <c r="AX424" s="4"/>
      <c r="AY424" s="4"/>
      <c r="AZ424" s="4"/>
      <c r="BA424" s="4"/>
      <c r="BB424" s="4"/>
      <c r="BC424" s="4"/>
      <c r="BD424" s="4"/>
      <c r="BE424" s="4"/>
    </row>
    <row r="425" spans="2:57" x14ac:dyDescent="0.3">
      <c r="B425" s="6" t="s">
        <v>448</v>
      </c>
      <c r="C425" s="6">
        <v>30</v>
      </c>
      <c r="D425" s="6" t="s">
        <v>12</v>
      </c>
      <c r="E425" s="6" t="s">
        <v>10</v>
      </c>
      <c r="F425" s="6" t="s">
        <v>13</v>
      </c>
      <c r="G425" s="19">
        <v>8412</v>
      </c>
      <c r="H425" s="11">
        <v>9</v>
      </c>
      <c r="I425" s="6">
        <v>1</v>
      </c>
      <c r="J425" s="6" t="s">
        <v>14</v>
      </c>
      <c r="K425" s="5" t="s">
        <v>14</v>
      </c>
      <c r="L425" s="3" t="str">
        <f>IF(Table1[[#This Row],[Monthly Income]]&lt;3000,"Low",IF(Table1[[#This Row],[Monthly Income]]&lt;7000,"Medium","High"))</f>
        <v>High</v>
      </c>
      <c r="AK425" s="6"/>
      <c r="AL425" s="6"/>
      <c r="AM425" s="6"/>
      <c r="AN425" s="6"/>
      <c r="AO425" s="6"/>
      <c r="AP425" s="6"/>
      <c r="AQ425" s="6"/>
      <c r="AR425" s="6"/>
      <c r="AS425" s="6"/>
      <c r="AU425" s="6"/>
      <c r="AV425" s="6"/>
      <c r="AW425" s="6"/>
      <c r="AX425" s="6"/>
      <c r="AY425" s="6"/>
      <c r="AZ425" s="6"/>
      <c r="BA425" s="6"/>
      <c r="BB425" s="6"/>
      <c r="BC425" s="6"/>
      <c r="BD425" s="6"/>
      <c r="BE425" s="6"/>
    </row>
    <row r="426" spans="2:57" x14ac:dyDescent="0.3">
      <c r="B426" s="4" t="s">
        <v>449</v>
      </c>
      <c r="C426" s="4">
        <v>57</v>
      </c>
      <c r="D426" s="4" t="s">
        <v>17</v>
      </c>
      <c r="E426" s="4" t="s">
        <v>10</v>
      </c>
      <c r="F426" s="4" t="s">
        <v>39</v>
      </c>
      <c r="G426" s="18">
        <v>14118</v>
      </c>
      <c r="H426" s="10">
        <v>1</v>
      </c>
      <c r="I426" s="4">
        <v>4</v>
      </c>
      <c r="J426" s="4" t="s">
        <v>14</v>
      </c>
      <c r="K426" s="3" t="s">
        <v>14</v>
      </c>
      <c r="L426" s="3" t="str">
        <f>IF(Table1[[#This Row],[Monthly Income]]&lt;3000,"Low",IF(Table1[[#This Row],[Monthly Income]]&lt;7000,"Medium","High"))</f>
        <v>High</v>
      </c>
      <c r="AK426" s="4"/>
      <c r="AL426" s="4"/>
      <c r="AM426" s="4"/>
      <c r="AN426" s="4"/>
      <c r="AO426" s="4"/>
      <c r="AP426" s="4"/>
      <c r="AQ426" s="4"/>
      <c r="AR426" s="4"/>
      <c r="AS426" s="4"/>
      <c r="AU426" s="4"/>
      <c r="AV426" s="4"/>
      <c r="AW426" s="4"/>
      <c r="AX426" s="4"/>
      <c r="AY426" s="4"/>
      <c r="AZ426" s="4"/>
      <c r="BA426" s="4"/>
      <c r="BB426" s="4"/>
      <c r="BC426" s="4"/>
      <c r="BD426" s="4"/>
      <c r="BE426" s="4"/>
    </row>
    <row r="427" spans="2:57" x14ac:dyDescent="0.3">
      <c r="B427" s="6" t="s">
        <v>450</v>
      </c>
      <c r="C427" s="6">
        <v>50</v>
      </c>
      <c r="D427" s="6" t="s">
        <v>17</v>
      </c>
      <c r="E427" s="6" t="s">
        <v>15</v>
      </c>
      <c r="F427" s="6" t="s">
        <v>39</v>
      </c>
      <c r="G427" s="19">
        <v>17046</v>
      </c>
      <c r="H427" s="11">
        <v>27</v>
      </c>
      <c r="I427" s="6">
        <v>3</v>
      </c>
      <c r="J427" s="6" t="s">
        <v>14</v>
      </c>
      <c r="K427" s="5" t="s">
        <v>14</v>
      </c>
      <c r="L427" s="3" t="str">
        <f>IF(Table1[[#This Row],[Monthly Income]]&lt;3000,"Low",IF(Table1[[#This Row],[Monthly Income]]&lt;7000,"Medium","High"))</f>
        <v>High</v>
      </c>
      <c r="AK427" s="6"/>
      <c r="AL427" s="6"/>
      <c r="AM427" s="6"/>
      <c r="AN427" s="6"/>
      <c r="AO427" s="6"/>
      <c r="AP427" s="6"/>
      <c r="AQ427" s="6"/>
      <c r="AR427" s="6"/>
      <c r="AS427" s="6"/>
      <c r="AU427" s="6"/>
      <c r="AV427" s="6"/>
      <c r="AW427" s="6"/>
      <c r="AX427" s="6"/>
      <c r="AY427" s="6"/>
      <c r="AZ427" s="6"/>
      <c r="BA427" s="6"/>
      <c r="BB427" s="6"/>
      <c r="BC427" s="6"/>
      <c r="BD427" s="6"/>
      <c r="BE427" s="6"/>
    </row>
    <row r="428" spans="2:57" x14ac:dyDescent="0.3">
      <c r="B428" s="4" t="s">
        <v>451</v>
      </c>
      <c r="C428" s="4">
        <v>30</v>
      </c>
      <c r="D428" s="4" t="s">
        <v>12</v>
      </c>
      <c r="E428" s="4" t="s">
        <v>15</v>
      </c>
      <c r="F428" s="4" t="s">
        <v>20</v>
      </c>
      <c r="G428" s="18">
        <v>2564</v>
      </c>
      <c r="H428" s="10">
        <v>11</v>
      </c>
      <c r="I428" s="4">
        <v>4</v>
      </c>
      <c r="J428" s="4" t="s">
        <v>14</v>
      </c>
      <c r="K428" s="3" t="s">
        <v>14</v>
      </c>
      <c r="L428" s="3" t="str">
        <f>IF(Table1[[#This Row],[Monthly Income]]&lt;3000,"Low",IF(Table1[[#This Row],[Monthly Income]]&lt;7000,"Medium","High"))</f>
        <v>Low</v>
      </c>
      <c r="AK428" s="4"/>
      <c r="AL428" s="4"/>
      <c r="AM428" s="4"/>
      <c r="AN428" s="4"/>
      <c r="AO428" s="4"/>
      <c r="AP428" s="4"/>
      <c r="AQ428" s="4"/>
      <c r="AR428" s="4"/>
      <c r="AS428" s="4"/>
      <c r="AU428" s="4"/>
      <c r="AV428" s="4"/>
      <c r="AW428" s="4"/>
      <c r="AX428" s="4"/>
      <c r="AY428" s="4"/>
      <c r="AZ428" s="4"/>
      <c r="BA428" s="4"/>
      <c r="BB428" s="4"/>
      <c r="BC428" s="4"/>
      <c r="BD428" s="4"/>
      <c r="BE428" s="4"/>
    </row>
    <row r="429" spans="2:57" x14ac:dyDescent="0.3">
      <c r="B429" s="6" t="s">
        <v>452</v>
      </c>
      <c r="C429" s="6">
        <v>60</v>
      </c>
      <c r="D429" s="6" t="s">
        <v>12</v>
      </c>
      <c r="E429" s="6" t="s">
        <v>10</v>
      </c>
      <c r="F429" s="6" t="s">
        <v>13</v>
      </c>
      <c r="G429" s="19">
        <v>10266</v>
      </c>
      <c r="H429" s="11">
        <v>18</v>
      </c>
      <c r="I429" s="6">
        <v>1</v>
      </c>
      <c r="J429" s="6" t="s">
        <v>14</v>
      </c>
      <c r="K429" s="5" t="s">
        <v>14</v>
      </c>
      <c r="L429" s="3" t="str">
        <f>IF(Table1[[#This Row],[Monthly Income]]&lt;3000,"Low",IF(Table1[[#This Row],[Monthly Income]]&lt;7000,"Medium","High"))</f>
        <v>High</v>
      </c>
      <c r="AK429" s="6"/>
      <c r="AL429" s="6"/>
      <c r="AM429" s="6"/>
      <c r="AN429" s="6"/>
      <c r="AO429" s="6"/>
      <c r="AP429" s="6"/>
      <c r="AQ429" s="6"/>
      <c r="AR429" s="6"/>
      <c r="AS429" s="6"/>
      <c r="AU429" s="6"/>
      <c r="AV429" s="6"/>
      <c r="AW429" s="6"/>
      <c r="AX429" s="6"/>
      <c r="AY429" s="6"/>
      <c r="AZ429" s="6"/>
      <c r="BA429" s="6"/>
      <c r="BB429" s="6"/>
      <c r="BC429" s="6"/>
      <c r="BD429" s="6"/>
      <c r="BE429" s="6"/>
    </row>
    <row r="430" spans="2:57" x14ac:dyDescent="0.3">
      <c r="B430" s="4" t="s">
        <v>453</v>
      </c>
      <c r="C430" s="4">
        <v>47</v>
      </c>
      <c r="D430" s="4" t="s">
        <v>12</v>
      </c>
      <c r="E430" s="4" t="s">
        <v>15</v>
      </c>
      <c r="F430" s="4" t="s">
        <v>27</v>
      </c>
      <c r="G430" s="18">
        <v>5070</v>
      </c>
      <c r="H430" s="10">
        <v>5</v>
      </c>
      <c r="I430" s="4">
        <v>4</v>
      </c>
      <c r="J430" s="4" t="s">
        <v>14</v>
      </c>
      <c r="K430" s="3" t="s">
        <v>14</v>
      </c>
      <c r="L430" s="3" t="str">
        <f>IF(Table1[[#This Row],[Monthly Income]]&lt;3000,"Low",IF(Table1[[#This Row],[Monthly Income]]&lt;7000,"Medium","High"))</f>
        <v>Medium</v>
      </c>
      <c r="AK430" s="4"/>
      <c r="AL430" s="4"/>
      <c r="AM430" s="4"/>
      <c r="AN430" s="4"/>
      <c r="AO430" s="4"/>
      <c r="AP430" s="4"/>
      <c r="AQ430" s="4"/>
      <c r="AR430" s="4"/>
      <c r="AS430" s="4"/>
      <c r="AU430" s="4"/>
      <c r="AV430" s="4"/>
      <c r="AW430" s="4"/>
      <c r="AX430" s="4"/>
      <c r="AY430" s="4"/>
      <c r="AZ430" s="4"/>
      <c r="BA430" s="4"/>
      <c r="BB430" s="4"/>
      <c r="BC430" s="4"/>
      <c r="BD430" s="4"/>
      <c r="BE430" s="4"/>
    </row>
    <row r="431" spans="2:57" x14ac:dyDescent="0.3">
      <c r="B431" s="6" t="s">
        <v>454</v>
      </c>
      <c r="C431" s="6">
        <v>46</v>
      </c>
      <c r="D431" s="6" t="s">
        <v>17</v>
      </c>
      <c r="E431" s="6" t="s">
        <v>15</v>
      </c>
      <c r="F431" s="6" t="s">
        <v>45</v>
      </c>
      <c r="G431" s="19">
        <v>17861</v>
      </c>
      <c r="H431" s="11">
        <v>3</v>
      </c>
      <c r="I431" s="6">
        <v>3</v>
      </c>
      <c r="J431" s="6" t="s">
        <v>14</v>
      </c>
      <c r="K431" s="5" t="s">
        <v>14</v>
      </c>
      <c r="L431" s="3" t="str">
        <f>IF(Table1[[#This Row],[Monthly Income]]&lt;3000,"Low",IF(Table1[[#This Row],[Monthly Income]]&lt;7000,"Medium","High"))</f>
        <v>High</v>
      </c>
      <c r="AK431" s="6"/>
      <c r="AL431" s="6"/>
      <c r="AM431" s="6"/>
      <c r="AN431" s="6"/>
      <c r="AO431" s="6"/>
      <c r="AP431" s="6"/>
      <c r="AQ431" s="6"/>
      <c r="AR431" s="6"/>
      <c r="AS431" s="6"/>
      <c r="AU431" s="6"/>
      <c r="AV431" s="6"/>
      <c r="AW431" s="6"/>
      <c r="AX431" s="6"/>
      <c r="AY431" s="6"/>
      <c r="AZ431" s="6"/>
      <c r="BA431" s="6"/>
      <c r="BB431" s="6"/>
      <c r="BC431" s="6"/>
      <c r="BD431" s="6"/>
      <c r="BE431" s="6"/>
    </row>
    <row r="432" spans="2:57" x14ac:dyDescent="0.3">
      <c r="B432" s="4" t="s">
        <v>455</v>
      </c>
      <c r="C432" s="4">
        <v>35</v>
      </c>
      <c r="D432" s="4" t="s">
        <v>17</v>
      </c>
      <c r="E432" s="4" t="s">
        <v>15</v>
      </c>
      <c r="F432" s="4" t="s">
        <v>20</v>
      </c>
      <c r="G432" s="18">
        <v>4230</v>
      </c>
      <c r="H432" s="10">
        <v>5</v>
      </c>
      <c r="I432" s="4">
        <v>3</v>
      </c>
      <c r="J432" s="4" t="s">
        <v>14</v>
      </c>
      <c r="K432" s="3" t="s">
        <v>14</v>
      </c>
      <c r="L432" s="3" t="str">
        <f>IF(Table1[[#This Row],[Monthly Income]]&lt;3000,"Low",IF(Table1[[#This Row],[Monthly Income]]&lt;7000,"Medium","High"))</f>
        <v>Medium</v>
      </c>
      <c r="AK432" s="4"/>
      <c r="AL432" s="4"/>
      <c r="AM432" s="4"/>
      <c r="AN432" s="4"/>
      <c r="AO432" s="4"/>
      <c r="AP432" s="4"/>
      <c r="AQ432" s="4"/>
      <c r="AR432" s="4"/>
      <c r="AS432" s="4"/>
      <c r="AU432" s="4"/>
      <c r="AV432" s="4"/>
      <c r="AW432" s="4"/>
      <c r="AX432" s="4"/>
      <c r="AY432" s="4"/>
      <c r="AZ432" s="4"/>
      <c r="BA432" s="4"/>
      <c r="BB432" s="4"/>
      <c r="BC432" s="4"/>
      <c r="BD432" s="4"/>
      <c r="BE432" s="4"/>
    </row>
    <row r="433" spans="2:57" x14ac:dyDescent="0.3">
      <c r="B433" s="6" t="s">
        <v>456</v>
      </c>
      <c r="C433" s="6">
        <v>54</v>
      </c>
      <c r="D433" s="6" t="s">
        <v>12</v>
      </c>
      <c r="E433" s="6" t="s">
        <v>15</v>
      </c>
      <c r="F433" s="6" t="s">
        <v>20</v>
      </c>
      <c r="G433" s="19">
        <v>3780</v>
      </c>
      <c r="H433" s="11">
        <v>1</v>
      </c>
      <c r="I433" s="6">
        <v>3</v>
      </c>
      <c r="J433" s="6" t="s">
        <v>14</v>
      </c>
      <c r="K433" s="5" t="s">
        <v>14</v>
      </c>
      <c r="L433" s="3" t="str">
        <f>IF(Table1[[#This Row],[Monthly Income]]&lt;3000,"Low",IF(Table1[[#This Row],[Monthly Income]]&lt;7000,"Medium","High"))</f>
        <v>Medium</v>
      </c>
      <c r="AK433" s="6"/>
      <c r="AL433" s="6"/>
      <c r="AM433" s="6"/>
      <c r="AN433" s="6"/>
      <c r="AO433" s="6"/>
      <c r="AP433" s="6"/>
      <c r="AQ433" s="6"/>
      <c r="AR433" s="6"/>
      <c r="AS433" s="6"/>
      <c r="AU433" s="6"/>
      <c r="AV433" s="6"/>
      <c r="AW433" s="6"/>
      <c r="AX433" s="6"/>
      <c r="AY433" s="6"/>
      <c r="AZ433" s="6"/>
      <c r="BA433" s="6"/>
      <c r="BB433" s="6"/>
      <c r="BC433" s="6"/>
      <c r="BD433" s="6"/>
      <c r="BE433" s="6"/>
    </row>
    <row r="434" spans="2:57" x14ac:dyDescent="0.3">
      <c r="B434" s="4" t="s">
        <v>457</v>
      </c>
      <c r="C434" s="4">
        <v>34</v>
      </c>
      <c r="D434" s="4" t="s">
        <v>17</v>
      </c>
      <c r="E434" s="4" t="s">
        <v>15</v>
      </c>
      <c r="F434" s="4" t="s">
        <v>18</v>
      </c>
      <c r="G434" s="18">
        <v>2768</v>
      </c>
      <c r="H434" s="10">
        <v>7</v>
      </c>
      <c r="I434" s="4">
        <v>3</v>
      </c>
      <c r="J434" s="4" t="s">
        <v>14</v>
      </c>
      <c r="K434" s="3" t="s">
        <v>14</v>
      </c>
      <c r="L434" s="3" t="str">
        <f>IF(Table1[[#This Row],[Monthly Income]]&lt;3000,"Low",IF(Table1[[#This Row],[Monthly Income]]&lt;7000,"Medium","High"))</f>
        <v>Low</v>
      </c>
      <c r="AK434" s="4"/>
      <c r="AL434" s="4"/>
      <c r="AM434" s="4"/>
      <c r="AN434" s="4"/>
      <c r="AO434" s="4"/>
      <c r="AP434" s="4"/>
      <c r="AQ434" s="4"/>
      <c r="AR434" s="4"/>
      <c r="AS434" s="4"/>
      <c r="AU434" s="4"/>
      <c r="AV434" s="4"/>
      <c r="AW434" s="4"/>
      <c r="AX434" s="4"/>
      <c r="AY434" s="4"/>
      <c r="AZ434" s="4"/>
      <c r="BA434" s="4"/>
      <c r="BB434" s="4"/>
      <c r="BC434" s="4"/>
      <c r="BD434" s="4"/>
      <c r="BE434" s="4"/>
    </row>
    <row r="435" spans="2:57" x14ac:dyDescent="0.3">
      <c r="B435" s="6" t="s">
        <v>458</v>
      </c>
      <c r="C435" s="6">
        <v>46</v>
      </c>
      <c r="D435" s="6" t="s">
        <v>12</v>
      </c>
      <c r="E435" s="6" t="s">
        <v>10</v>
      </c>
      <c r="F435" s="6" t="s">
        <v>13</v>
      </c>
      <c r="G435" s="19">
        <v>9071</v>
      </c>
      <c r="H435" s="11">
        <v>3</v>
      </c>
      <c r="I435" s="6">
        <v>4</v>
      </c>
      <c r="J435" s="6" t="s">
        <v>9</v>
      </c>
      <c r="K435" s="5" t="s">
        <v>14</v>
      </c>
      <c r="L435" s="3" t="str">
        <f>IF(Table1[[#This Row],[Monthly Income]]&lt;3000,"Low",IF(Table1[[#This Row],[Monthly Income]]&lt;7000,"Medium","High"))</f>
        <v>High</v>
      </c>
      <c r="AK435" s="6"/>
      <c r="AL435" s="6"/>
      <c r="AM435" s="6"/>
      <c r="AN435" s="6"/>
      <c r="AO435" s="6"/>
      <c r="AP435" s="6"/>
      <c r="AQ435" s="6"/>
      <c r="AR435" s="6"/>
      <c r="AS435" s="6"/>
      <c r="AU435" s="6"/>
      <c r="AV435" s="6"/>
      <c r="AW435" s="6"/>
      <c r="AX435" s="6"/>
      <c r="AY435" s="6"/>
      <c r="AZ435" s="6"/>
      <c r="BA435" s="6"/>
      <c r="BB435" s="6"/>
      <c r="BC435" s="6"/>
      <c r="BD435" s="6"/>
      <c r="BE435" s="6"/>
    </row>
    <row r="436" spans="2:57" x14ac:dyDescent="0.3">
      <c r="B436" s="4" t="s">
        <v>459</v>
      </c>
      <c r="C436" s="4">
        <v>31</v>
      </c>
      <c r="D436" s="4" t="s">
        <v>17</v>
      </c>
      <c r="E436" s="4" t="s">
        <v>15</v>
      </c>
      <c r="F436" s="4" t="s">
        <v>27</v>
      </c>
      <c r="G436" s="18">
        <v>10648</v>
      </c>
      <c r="H436" s="10">
        <v>13</v>
      </c>
      <c r="I436" s="4">
        <v>2</v>
      </c>
      <c r="J436" s="4" t="s">
        <v>14</v>
      </c>
      <c r="K436" s="3" t="s">
        <v>14</v>
      </c>
      <c r="L436" s="3" t="str">
        <f>IF(Table1[[#This Row],[Monthly Income]]&lt;3000,"Low",IF(Table1[[#This Row],[Monthly Income]]&lt;7000,"Medium","High"))</f>
        <v>High</v>
      </c>
      <c r="AK436" s="4"/>
      <c r="AL436" s="4"/>
      <c r="AM436" s="4"/>
      <c r="AN436" s="4"/>
      <c r="AO436" s="4"/>
      <c r="AP436" s="4"/>
      <c r="AQ436" s="4"/>
      <c r="AR436" s="4"/>
      <c r="AS436" s="4"/>
      <c r="AU436" s="4"/>
      <c r="AV436" s="4"/>
      <c r="AW436" s="4"/>
      <c r="AX436" s="4"/>
      <c r="AY436" s="4"/>
      <c r="AZ436" s="4"/>
      <c r="BA436" s="4"/>
      <c r="BB436" s="4"/>
      <c r="BC436" s="4"/>
      <c r="BD436" s="4"/>
      <c r="BE436" s="4"/>
    </row>
    <row r="437" spans="2:57" x14ac:dyDescent="0.3">
      <c r="B437" s="6" t="s">
        <v>460</v>
      </c>
      <c r="C437" s="6">
        <v>33</v>
      </c>
      <c r="D437" s="6" t="s">
        <v>17</v>
      </c>
      <c r="E437" s="6" t="s">
        <v>15</v>
      </c>
      <c r="F437" s="6" t="s">
        <v>39</v>
      </c>
      <c r="G437" s="19">
        <v>13610</v>
      </c>
      <c r="H437" s="11">
        <v>7</v>
      </c>
      <c r="I437" s="6">
        <v>3</v>
      </c>
      <c r="J437" s="6" t="s">
        <v>9</v>
      </c>
      <c r="K437" s="5" t="s">
        <v>9</v>
      </c>
      <c r="L437" s="3" t="str">
        <f>IF(Table1[[#This Row],[Monthly Income]]&lt;3000,"Low",IF(Table1[[#This Row],[Monthly Income]]&lt;7000,"Medium","High"))</f>
        <v>High</v>
      </c>
      <c r="AK437" s="6"/>
      <c r="AL437" s="6"/>
      <c r="AM437" s="6"/>
      <c r="AN437" s="6"/>
      <c r="AO437" s="6"/>
      <c r="AP437" s="6"/>
      <c r="AQ437" s="6"/>
      <c r="AR437" s="6"/>
      <c r="AS437" s="6"/>
      <c r="AU437" s="6"/>
      <c r="AV437" s="6"/>
      <c r="AW437" s="6"/>
      <c r="AX437" s="6"/>
      <c r="AY437" s="6"/>
      <c r="AZ437" s="6"/>
      <c r="BA437" s="6"/>
      <c r="BB437" s="6"/>
      <c r="BC437" s="6"/>
      <c r="BD437" s="6"/>
      <c r="BE437" s="6"/>
    </row>
    <row r="438" spans="2:57" x14ac:dyDescent="0.3">
      <c r="B438" s="4" t="s">
        <v>461</v>
      </c>
      <c r="C438" s="4">
        <v>33</v>
      </c>
      <c r="D438" s="4" t="s">
        <v>17</v>
      </c>
      <c r="E438" s="4" t="s">
        <v>15</v>
      </c>
      <c r="F438" s="4" t="s">
        <v>20</v>
      </c>
      <c r="G438" s="18">
        <v>3408</v>
      </c>
      <c r="H438" s="10">
        <v>4</v>
      </c>
      <c r="I438" s="4">
        <v>4</v>
      </c>
      <c r="J438" s="4" t="s">
        <v>14</v>
      </c>
      <c r="K438" s="3" t="s">
        <v>9</v>
      </c>
      <c r="L438" s="3" t="str">
        <f>IF(Table1[[#This Row],[Monthly Income]]&lt;3000,"Low",IF(Table1[[#This Row],[Monthly Income]]&lt;7000,"Medium","High"))</f>
        <v>Medium</v>
      </c>
      <c r="AK438" s="4"/>
      <c r="AL438" s="4"/>
      <c r="AM438" s="4"/>
      <c r="AN438" s="4"/>
      <c r="AO438" s="4"/>
      <c r="AP438" s="4"/>
      <c r="AQ438" s="4"/>
      <c r="AR438" s="4"/>
      <c r="AS438" s="4"/>
      <c r="AU438" s="4"/>
      <c r="AV438" s="4"/>
      <c r="AW438" s="4"/>
      <c r="AX438" s="4"/>
      <c r="AY438" s="4"/>
      <c r="AZ438" s="4"/>
      <c r="BA438" s="4"/>
      <c r="BB438" s="4"/>
      <c r="BC438" s="4"/>
      <c r="BD438" s="4"/>
      <c r="BE438" s="4"/>
    </row>
    <row r="439" spans="2:57" x14ac:dyDescent="0.3">
      <c r="B439" s="6" t="s">
        <v>462</v>
      </c>
      <c r="C439" s="6">
        <v>30</v>
      </c>
      <c r="D439" s="6" t="s">
        <v>17</v>
      </c>
      <c r="E439" s="6" t="s">
        <v>10</v>
      </c>
      <c r="F439" s="6" t="s">
        <v>43</v>
      </c>
      <c r="G439" s="19">
        <v>2983</v>
      </c>
      <c r="H439" s="11">
        <v>3</v>
      </c>
      <c r="I439" s="6">
        <v>2</v>
      </c>
      <c r="J439" s="6" t="s">
        <v>14</v>
      </c>
      <c r="K439" s="5" t="s">
        <v>14</v>
      </c>
      <c r="L439" s="3" t="str">
        <f>IF(Table1[[#This Row],[Monthly Income]]&lt;3000,"Low",IF(Table1[[#This Row],[Monthly Income]]&lt;7000,"Medium","High"))</f>
        <v>Low</v>
      </c>
      <c r="AK439" s="6"/>
      <c r="AL439" s="6"/>
      <c r="AM439" s="6"/>
      <c r="AN439" s="6"/>
      <c r="AO439" s="6"/>
      <c r="AP439" s="6"/>
      <c r="AQ439" s="6"/>
      <c r="AR439" s="6"/>
      <c r="AS439" s="6"/>
      <c r="AU439" s="6"/>
      <c r="AV439" s="6"/>
      <c r="AW439" s="6"/>
      <c r="AX439" s="6"/>
      <c r="AY439" s="6"/>
      <c r="AZ439" s="6"/>
      <c r="BA439" s="6"/>
      <c r="BB439" s="6"/>
      <c r="BC439" s="6"/>
      <c r="BD439" s="6"/>
      <c r="BE439" s="6"/>
    </row>
    <row r="440" spans="2:57" x14ac:dyDescent="0.3">
      <c r="B440" s="4" t="s">
        <v>463</v>
      </c>
      <c r="C440" s="4">
        <v>35</v>
      </c>
      <c r="D440" s="4" t="s">
        <v>17</v>
      </c>
      <c r="E440" s="4" t="s">
        <v>15</v>
      </c>
      <c r="F440" s="4" t="s">
        <v>29</v>
      </c>
      <c r="G440" s="18">
        <v>7632</v>
      </c>
      <c r="H440" s="10">
        <v>8</v>
      </c>
      <c r="I440" s="4">
        <v>3</v>
      </c>
      <c r="J440" s="4" t="s">
        <v>9</v>
      </c>
      <c r="K440" s="3" t="s">
        <v>14</v>
      </c>
      <c r="L440" s="3" t="str">
        <f>IF(Table1[[#This Row],[Monthly Income]]&lt;3000,"Low",IF(Table1[[#This Row],[Monthly Income]]&lt;7000,"Medium","High"))</f>
        <v>High</v>
      </c>
      <c r="AK440" s="4"/>
      <c r="AL440" s="4"/>
      <c r="AM440" s="4"/>
      <c r="AN440" s="4"/>
      <c r="AO440" s="4"/>
      <c r="AP440" s="4"/>
      <c r="AQ440" s="4"/>
      <c r="AR440" s="4"/>
      <c r="AS440" s="4"/>
      <c r="AU440" s="4"/>
      <c r="AV440" s="4"/>
      <c r="AW440" s="4"/>
      <c r="AX440" s="4"/>
      <c r="AY440" s="4"/>
      <c r="AZ440" s="4"/>
      <c r="BA440" s="4"/>
      <c r="BB440" s="4"/>
      <c r="BC440" s="4"/>
      <c r="BD440" s="4"/>
      <c r="BE440" s="4"/>
    </row>
    <row r="441" spans="2:57" x14ac:dyDescent="0.3">
      <c r="B441" s="6" t="s">
        <v>464</v>
      </c>
      <c r="C441" s="6">
        <v>31</v>
      </c>
      <c r="D441" s="6" t="s">
        <v>17</v>
      </c>
      <c r="E441" s="6" t="s">
        <v>15</v>
      </c>
      <c r="F441" s="6" t="s">
        <v>29</v>
      </c>
      <c r="G441" s="19">
        <v>9824</v>
      </c>
      <c r="H441" s="11">
        <v>1</v>
      </c>
      <c r="I441" s="6">
        <v>3</v>
      </c>
      <c r="J441" s="6" t="s">
        <v>14</v>
      </c>
      <c r="K441" s="5" t="s">
        <v>9</v>
      </c>
      <c r="L441" s="3" t="str">
        <f>IF(Table1[[#This Row],[Monthly Income]]&lt;3000,"Low",IF(Table1[[#This Row],[Monthly Income]]&lt;7000,"Medium","High"))</f>
        <v>High</v>
      </c>
      <c r="AK441" s="6"/>
      <c r="AL441" s="6"/>
      <c r="AM441" s="6"/>
      <c r="AN441" s="6"/>
      <c r="AO441" s="6"/>
      <c r="AP441" s="6"/>
      <c r="AQ441" s="6"/>
      <c r="AR441" s="6"/>
      <c r="AS441" s="6"/>
      <c r="AU441" s="6"/>
      <c r="AV441" s="6"/>
      <c r="AW441" s="6"/>
      <c r="AX441" s="6"/>
      <c r="AY441" s="6"/>
      <c r="AZ441" s="6"/>
      <c r="BA441" s="6"/>
      <c r="BB441" s="6"/>
      <c r="BC441" s="6"/>
      <c r="BD441" s="6"/>
      <c r="BE441" s="6"/>
    </row>
    <row r="442" spans="2:57" x14ac:dyDescent="0.3">
      <c r="B442" s="4" t="s">
        <v>465</v>
      </c>
      <c r="C442" s="4">
        <v>34</v>
      </c>
      <c r="D442" s="4" t="s">
        <v>12</v>
      </c>
      <c r="E442" s="4" t="s">
        <v>102</v>
      </c>
      <c r="F442" s="4" t="s">
        <v>104</v>
      </c>
      <c r="G442" s="18">
        <v>9950</v>
      </c>
      <c r="H442" s="10">
        <v>3</v>
      </c>
      <c r="I442" s="4">
        <v>1</v>
      </c>
      <c r="J442" s="4" t="s">
        <v>9</v>
      </c>
      <c r="K442" s="3" t="s">
        <v>9</v>
      </c>
      <c r="L442" s="3" t="str">
        <f>IF(Table1[[#This Row],[Monthly Income]]&lt;3000,"Low",IF(Table1[[#This Row],[Monthly Income]]&lt;7000,"Medium","High"))</f>
        <v>High</v>
      </c>
      <c r="AK442" s="4"/>
      <c r="AL442" s="4"/>
      <c r="AM442" s="4"/>
      <c r="AN442" s="4"/>
      <c r="AO442" s="4"/>
      <c r="AP442" s="4"/>
      <c r="AQ442" s="4"/>
      <c r="AR442" s="4"/>
      <c r="AS442" s="4"/>
      <c r="AU442" s="4"/>
      <c r="AV442" s="4"/>
      <c r="AW442" s="4"/>
      <c r="AX442" s="4"/>
      <c r="AY442" s="4"/>
      <c r="AZ442" s="4"/>
      <c r="BA442" s="4"/>
      <c r="BB442" s="4"/>
      <c r="BC442" s="4"/>
      <c r="BD442" s="4"/>
      <c r="BE442" s="4"/>
    </row>
    <row r="443" spans="2:57" x14ac:dyDescent="0.3">
      <c r="B443" s="6" t="s">
        <v>466</v>
      </c>
      <c r="C443" s="6">
        <v>42</v>
      </c>
      <c r="D443" s="6" t="s">
        <v>17</v>
      </c>
      <c r="E443" s="6" t="s">
        <v>15</v>
      </c>
      <c r="F443" s="6" t="s">
        <v>20</v>
      </c>
      <c r="G443" s="19">
        <v>2093</v>
      </c>
      <c r="H443" s="11">
        <v>2</v>
      </c>
      <c r="I443" s="6">
        <v>3</v>
      </c>
      <c r="J443" s="6" t="s">
        <v>14</v>
      </c>
      <c r="K443" s="5" t="s">
        <v>14</v>
      </c>
      <c r="L443" s="3" t="str">
        <f>IF(Table1[[#This Row],[Monthly Income]]&lt;3000,"Low",IF(Table1[[#This Row],[Monthly Income]]&lt;7000,"Medium","High"))</f>
        <v>Low</v>
      </c>
      <c r="AK443" s="6"/>
      <c r="AL443" s="6"/>
      <c r="AM443" s="6"/>
      <c r="AN443" s="6"/>
      <c r="AO443" s="6"/>
      <c r="AP443" s="6"/>
      <c r="AQ443" s="6"/>
      <c r="AR443" s="6"/>
      <c r="AS443" s="6"/>
      <c r="AU443" s="6"/>
      <c r="AV443" s="6"/>
      <c r="AW443" s="6"/>
      <c r="AX443" s="6"/>
      <c r="AY443" s="6"/>
      <c r="AZ443" s="6"/>
      <c r="BA443" s="6"/>
      <c r="BB443" s="6"/>
      <c r="BC443" s="6"/>
      <c r="BD443" s="6"/>
      <c r="BE443" s="6"/>
    </row>
    <row r="444" spans="2:57" x14ac:dyDescent="0.3">
      <c r="B444" s="4" t="s">
        <v>467</v>
      </c>
      <c r="C444" s="4">
        <v>36</v>
      </c>
      <c r="D444" s="4" t="s">
        <v>17</v>
      </c>
      <c r="E444" s="4" t="s">
        <v>10</v>
      </c>
      <c r="F444" s="4" t="s">
        <v>13</v>
      </c>
      <c r="G444" s="18">
        <v>9980</v>
      </c>
      <c r="H444" s="10">
        <v>10</v>
      </c>
      <c r="I444" s="4">
        <v>4</v>
      </c>
      <c r="J444" s="4" t="s">
        <v>14</v>
      </c>
      <c r="K444" s="3" t="s">
        <v>14</v>
      </c>
      <c r="L444" s="3" t="str">
        <f>IF(Table1[[#This Row],[Monthly Income]]&lt;3000,"Low",IF(Table1[[#This Row],[Monthly Income]]&lt;7000,"Medium","High"))</f>
        <v>High</v>
      </c>
      <c r="AK444" s="4"/>
      <c r="AL444" s="4"/>
      <c r="AM444" s="4"/>
      <c r="AN444" s="4"/>
      <c r="AO444" s="4"/>
      <c r="AP444" s="4"/>
      <c r="AQ444" s="4"/>
      <c r="AR444" s="4"/>
      <c r="AS444" s="4"/>
      <c r="AU444" s="4"/>
      <c r="AV444" s="4"/>
      <c r="AW444" s="4"/>
      <c r="AX444" s="4"/>
      <c r="AY444" s="4"/>
      <c r="AZ444" s="4"/>
      <c r="BA444" s="4"/>
      <c r="BB444" s="4"/>
      <c r="BC444" s="4"/>
      <c r="BD444" s="4"/>
      <c r="BE444" s="4"/>
    </row>
    <row r="445" spans="2:57" x14ac:dyDescent="0.3">
      <c r="B445" s="6" t="s">
        <v>468</v>
      </c>
      <c r="C445" s="6">
        <v>22</v>
      </c>
      <c r="D445" s="6" t="s">
        <v>17</v>
      </c>
      <c r="E445" s="6" t="s">
        <v>15</v>
      </c>
      <c r="F445" s="6" t="s">
        <v>20</v>
      </c>
      <c r="G445" s="19">
        <v>3894</v>
      </c>
      <c r="H445" s="11">
        <v>2</v>
      </c>
      <c r="I445" s="6">
        <v>3</v>
      </c>
      <c r="J445" s="6" t="s">
        <v>14</v>
      </c>
      <c r="K445" s="5" t="s">
        <v>9</v>
      </c>
      <c r="L445" s="3" t="str">
        <f>IF(Table1[[#This Row],[Monthly Income]]&lt;3000,"Low",IF(Table1[[#This Row],[Monthly Income]]&lt;7000,"Medium","High"))</f>
        <v>Medium</v>
      </c>
      <c r="AK445" s="6"/>
      <c r="AL445" s="6"/>
      <c r="AM445" s="6"/>
      <c r="AN445" s="6"/>
      <c r="AO445" s="6"/>
      <c r="AP445" s="6"/>
      <c r="AQ445" s="6"/>
      <c r="AR445" s="6"/>
      <c r="AS445" s="6"/>
      <c r="AU445" s="6"/>
      <c r="AV445" s="6"/>
      <c r="AW445" s="6"/>
      <c r="AX445" s="6"/>
      <c r="AY445" s="6"/>
      <c r="AZ445" s="6"/>
      <c r="BA445" s="6"/>
      <c r="BB445" s="6"/>
      <c r="BC445" s="6"/>
      <c r="BD445" s="6"/>
      <c r="BE445" s="6"/>
    </row>
    <row r="446" spans="2:57" x14ac:dyDescent="0.3">
      <c r="B446" s="4" t="s">
        <v>469</v>
      </c>
      <c r="C446" s="4">
        <v>48</v>
      </c>
      <c r="D446" s="4" t="s">
        <v>12</v>
      </c>
      <c r="E446" s="4" t="s">
        <v>10</v>
      </c>
      <c r="F446" s="4" t="s">
        <v>13</v>
      </c>
      <c r="G446" s="18">
        <v>4051</v>
      </c>
      <c r="H446" s="10">
        <v>9</v>
      </c>
      <c r="I446" s="4">
        <v>4</v>
      </c>
      <c r="J446" s="4" t="s">
        <v>14</v>
      </c>
      <c r="K446" s="3" t="s">
        <v>14</v>
      </c>
      <c r="L446" s="3" t="str">
        <f>IF(Table1[[#This Row],[Monthly Income]]&lt;3000,"Low",IF(Table1[[#This Row],[Monthly Income]]&lt;7000,"Medium","High"))</f>
        <v>Medium</v>
      </c>
      <c r="AK446" s="4"/>
      <c r="AL446" s="4"/>
      <c r="AM446" s="4"/>
      <c r="AN446" s="4"/>
      <c r="AO446" s="4"/>
      <c r="AP446" s="4"/>
      <c r="AQ446" s="4"/>
      <c r="AR446" s="4"/>
      <c r="AS446" s="4"/>
      <c r="AU446" s="4"/>
      <c r="AV446" s="4"/>
      <c r="AW446" s="4"/>
      <c r="AX446" s="4"/>
      <c r="AY446" s="4"/>
      <c r="AZ446" s="4"/>
      <c r="BA446" s="4"/>
      <c r="BB446" s="4"/>
      <c r="BC446" s="4"/>
      <c r="BD446" s="4"/>
      <c r="BE446" s="4"/>
    </row>
    <row r="447" spans="2:57" x14ac:dyDescent="0.3">
      <c r="B447" s="6" t="s">
        <v>470</v>
      </c>
      <c r="C447" s="6">
        <v>55</v>
      </c>
      <c r="D447" s="6" t="s">
        <v>12</v>
      </c>
      <c r="E447" s="6" t="s">
        <v>10</v>
      </c>
      <c r="F447" s="6" t="s">
        <v>39</v>
      </c>
      <c r="G447" s="19">
        <v>16835</v>
      </c>
      <c r="H447" s="11">
        <v>10</v>
      </c>
      <c r="I447" s="6">
        <v>2</v>
      </c>
      <c r="J447" s="6" t="s">
        <v>14</v>
      </c>
      <c r="K447" s="5" t="s">
        <v>14</v>
      </c>
      <c r="L447" s="3" t="str">
        <f>IF(Table1[[#This Row],[Monthly Income]]&lt;3000,"Low",IF(Table1[[#This Row],[Monthly Income]]&lt;7000,"Medium","High"))</f>
        <v>High</v>
      </c>
      <c r="AK447" s="6"/>
      <c r="AL447" s="6"/>
      <c r="AM447" s="6"/>
      <c r="AN447" s="6"/>
      <c r="AO447" s="6"/>
      <c r="AP447" s="6"/>
      <c r="AQ447" s="6"/>
      <c r="AR447" s="6"/>
      <c r="AS447" s="6"/>
      <c r="AU447" s="6"/>
      <c r="AV447" s="6"/>
      <c r="AW447" s="6"/>
      <c r="AX447" s="6"/>
      <c r="AY447" s="6"/>
      <c r="AZ447" s="6"/>
      <c r="BA447" s="6"/>
      <c r="BB447" s="6"/>
      <c r="BC447" s="6"/>
      <c r="BD447" s="6"/>
      <c r="BE447" s="6"/>
    </row>
    <row r="448" spans="2:57" x14ac:dyDescent="0.3">
      <c r="B448" s="4" t="s">
        <v>471</v>
      </c>
      <c r="C448" s="4">
        <v>41</v>
      </c>
      <c r="D448" s="4" t="s">
        <v>17</v>
      </c>
      <c r="E448" s="4" t="s">
        <v>10</v>
      </c>
      <c r="F448" s="4" t="s">
        <v>13</v>
      </c>
      <c r="G448" s="18">
        <v>6230</v>
      </c>
      <c r="H448" s="10">
        <v>14</v>
      </c>
      <c r="I448" s="4">
        <v>4</v>
      </c>
      <c r="J448" s="4" t="s">
        <v>14</v>
      </c>
      <c r="K448" s="3" t="s">
        <v>14</v>
      </c>
      <c r="L448" s="3" t="str">
        <f>IF(Table1[[#This Row],[Monthly Income]]&lt;3000,"Low",IF(Table1[[#This Row],[Monthly Income]]&lt;7000,"Medium","High"))</f>
        <v>Medium</v>
      </c>
      <c r="AK448" s="4"/>
      <c r="AL448" s="4"/>
      <c r="AM448" s="4"/>
      <c r="AN448" s="4"/>
      <c r="AO448" s="4"/>
      <c r="AP448" s="4"/>
      <c r="AQ448" s="4"/>
      <c r="AR448" s="4"/>
      <c r="AS448" s="4"/>
      <c r="AU448" s="4"/>
      <c r="AV448" s="4"/>
      <c r="AW448" s="4"/>
      <c r="AX448" s="4"/>
      <c r="AY448" s="4"/>
      <c r="AZ448" s="4"/>
      <c r="BA448" s="4"/>
      <c r="BB448" s="4"/>
      <c r="BC448" s="4"/>
      <c r="BD448" s="4"/>
      <c r="BE448" s="4"/>
    </row>
    <row r="449" spans="2:57" x14ac:dyDescent="0.3">
      <c r="B449" s="6" t="s">
        <v>472</v>
      </c>
      <c r="C449" s="6">
        <v>35</v>
      </c>
      <c r="D449" s="6" t="s">
        <v>17</v>
      </c>
      <c r="E449" s="6" t="s">
        <v>10</v>
      </c>
      <c r="F449" s="6" t="s">
        <v>13</v>
      </c>
      <c r="G449" s="19">
        <v>4717</v>
      </c>
      <c r="H449" s="11">
        <v>11</v>
      </c>
      <c r="I449" s="6">
        <v>3</v>
      </c>
      <c r="J449" s="6" t="s">
        <v>14</v>
      </c>
      <c r="K449" s="5" t="s">
        <v>14</v>
      </c>
      <c r="L449" s="3" t="str">
        <f>IF(Table1[[#This Row],[Monthly Income]]&lt;3000,"Low",IF(Table1[[#This Row],[Monthly Income]]&lt;7000,"Medium","High"))</f>
        <v>Medium</v>
      </c>
      <c r="AK449" s="6"/>
      <c r="AL449" s="6"/>
      <c r="AM449" s="6"/>
      <c r="AN449" s="6"/>
      <c r="AO449" s="6"/>
      <c r="AP449" s="6"/>
      <c r="AQ449" s="6"/>
      <c r="AR449" s="6"/>
      <c r="AS449" s="6"/>
      <c r="AU449" s="6"/>
      <c r="AV449" s="6"/>
      <c r="AW449" s="6"/>
      <c r="AX449" s="6"/>
      <c r="AY449" s="6"/>
      <c r="AZ449" s="6"/>
      <c r="BA449" s="6"/>
      <c r="BB449" s="6"/>
      <c r="BC449" s="6"/>
      <c r="BD449" s="6"/>
      <c r="BE449" s="6"/>
    </row>
    <row r="450" spans="2:57" x14ac:dyDescent="0.3">
      <c r="B450" s="4" t="s">
        <v>473</v>
      </c>
      <c r="C450" s="4">
        <v>40</v>
      </c>
      <c r="D450" s="4" t="s">
        <v>12</v>
      </c>
      <c r="E450" s="4" t="s">
        <v>15</v>
      </c>
      <c r="F450" s="4" t="s">
        <v>27</v>
      </c>
      <c r="G450" s="18">
        <v>13237</v>
      </c>
      <c r="H450" s="10">
        <v>20</v>
      </c>
      <c r="I450" s="4">
        <v>3</v>
      </c>
      <c r="J450" s="4" t="s">
        <v>14</v>
      </c>
      <c r="K450" s="3" t="s">
        <v>14</v>
      </c>
      <c r="L450" s="3" t="str">
        <f>IF(Table1[[#This Row],[Monthly Income]]&lt;3000,"Low",IF(Table1[[#This Row],[Monthly Income]]&lt;7000,"Medium","High"))</f>
        <v>High</v>
      </c>
      <c r="AK450" s="4"/>
      <c r="AL450" s="4"/>
      <c r="AM450" s="4"/>
      <c r="AN450" s="4"/>
      <c r="AO450" s="4"/>
      <c r="AP450" s="4"/>
      <c r="AQ450" s="4"/>
      <c r="AR450" s="4"/>
      <c r="AS450" s="4"/>
      <c r="AU450" s="4"/>
      <c r="AV450" s="4"/>
      <c r="AW450" s="4"/>
      <c r="AX450" s="4"/>
      <c r="AY450" s="4"/>
      <c r="AZ450" s="4"/>
      <c r="BA450" s="4"/>
      <c r="BB450" s="4"/>
      <c r="BC450" s="4"/>
      <c r="BD450" s="4"/>
      <c r="BE450" s="4"/>
    </row>
    <row r="451" spans="2:57" x14ac:dyDescent="0.3">
      <c r="B451" s="6" t="s">
        <v>474</v>
      </c>
      <c r="C451" s="6">
        <v>39</v>
      </c>
      <c r="D451" s="6" t="s">
        <v>12</v>
      </c>
      <c r="E451" s="6" t="s">
        <v>15</v>
      </c>
      <c r="F451" s="6" t="s">
        <v>20</v>
      </c>
      <c r="G451" s="19">
        <v>3755</v>
      </c>
      <c r="H451" s="11">
        <v>8</v>
      </c>
      <c r="I451" s="6">
        <v>3</v>
      </c>
      <c r="J451" s="6" t="s">
        <v>14</v>
      </c>
      <c r="K451" s="5" t="s">
        <v>14</v>
      </c>
      <c r="L451" s="3" t="str">
        <f>IF(Table1[[#This Row],[Monthly Income]]&lt;3000,"Low",IF(Table1[[#This Row],[Monthly Income]]&lt;7000,"Medium","High"))</f>
        <v>Medium</v>
      </c>
      <c r="AK451" s="6"/>
      <c r="AL451" s="6"/>
      <c r="AM451" s="6"/>
      <c r="AN451" s="6"/>
      <c r="AO451" s="6"/>
      <c r="AP451" s="6"/>
      <c r="AQ451" s="6"/>
      <c r="AR451" s="6"/>
      <c r="AS451" s="6"/>
      <c r="AU451" s="6"/>
      <c r="AV451" s="6"/>
      <c r="AW451" s="6"/>
      <c r="AX451" s="6"/>
      <c r="AY451" s="6"/>
      <c r="AZ451" s="6"/>
      <c r="BA451" s="6"/>
      <c r="BB451" s="6"/>
      <c r="BC451" s="6"/>
      <c r="BD451" s="6"/>
      <c r="BE451" s="6"/>
    </row>
    <row r="452" spans="2:57" x14ac:dyDescent="0.3">
      <c r="B452" s="4" t="s">
        <v>475</v>
      </c>
      <c r="C452" s="4">
        <v>31</v>
      </c>
      <c r="D452" s="4" t="s">
        <v>17</v>
      </c>
      <c r="E452" s="4" t="s">
        <v>10</v>
      </c>
      <c r="F452" s="4" t="s">
        <v>13</v>
      </c>
      <c r="G452" s="18">
        <v>6582</v>
      </c>
      <c r="H452" s="10">
        <v>6</v>
      </c>
      <c r="I452" s="4">
        <v>4</v>
      </c>
      <c r="J452" s="4" t="s">
        <v>9</v>
      </c>
      <c r="K452" s="3" t="s">
        <v>14</v>
      </c>
      <c r="L452" s="3" t="str">
        <f>IF(Table1[[#This Row],[Monthly Income]]&lt;3000,"Low",IF(Table1[[#This Row],[Monthly Income]]&lt;7000,"Medium","High"))</f>
        <v>Medium</v>
      </c>
      <c r="AK452" s="4"/>
      <c r="AL452" s="4"/>
      <c r="AM452" s="4"/>
      <c r="AN452" s="4"/>
      <c r="AO452" s="4"/>
      <c r="AP452" s="4"/>
      <c r="AQ452" s="4"/>
      <c r="AR452" s="4"/>
      <c r="AS452" s="4"/>
      <c r="AU452" s="4"/>
      <c r="AV452" s="4"/>
      <c r="AW452" s="4"/>
      <c r="AX452" s="4"/>
      <c r="AY452" s="4"/>
      <c r="AZ452" s="4"/>
      <c r="BA452" s="4"/>
      <c r="BB452" s="4"/>
      <c r="BC452" s="4"/>
      <c r="BD452" s="4"/>
      <c r="BE452" s="4"/>
    </row>
    <row r="453" spans="2:57" x14ac:dyDescent="0.3">
      <c r="B453" s="6" t="s">
        <v>476</v>
      </c>
      <c r="C453" s="6">
        <v>42</v>
      </c>
      <c r="D453" s="6" t="s">
        <v>17</v>
      </c>
      <c r="E453" s="6" t="s">
        <v>15</v>
      </c>
      <c r="F453" s="6" t="s">
        <v>27</v>
      </c>
      <c r="G453" s="19">
        <v>7406</v>
      </c>
      <c r="H453" s="11">
        <v>10</v>
      </c>
      <c r="I453" s="6">
        <v>1</v>
      </c>
      <c r="J453" s="6" t="s">
        <v>9</v>
      </c>
      <c r="K453" s="5" t="s">
        <v>14</v>
      </c>
      <c r="L453" s="3" t="str">
        <f>IF(Table1[[#This Row],[Monthly Income]]&lt;3000,"Low",IF(Table1[[#This Row],[Monthly Income]]&lt;7000,"Medium","High"))</f>
        <v>High</v>
      </c>
      <c r="AK453" s="6"/>
      <c r="AL453" s="6"/>
      <c r="AM453" s="6"/>
      <c r="AN453" s="6"/>
      <c r="AO453" s="6"/>
      <c r="AP453" s="6"/>
      <c r="AQ453" s="6"/>
      <c r="AR453" s="6"/>
      <c r="AS453" s="6"/>
      <c r="AU453" s="6"/>
      <c r="AV453" s="6"/>
      <c r="AW453" s="6"/>
      <c r="AX453" s="6"/>
      <c r="AY453" s="6"/>
      <c r="AZ453" s="6"/>
      <c r="BA453" s="6"/>
      <c r="BB453" s="6"/>
      <c r="BC453" s="6"/>
      <c r="BD453" s="6"/>
      <c r="BE453" s="6"/>
    </row>
    <row r="454" spans="2:57" x14ac:dyDescent="0.3">
      <c r="B454" s="4" t="s">
        <v>477</v>
      </c>
      <c r="C454" s="4">
        <v>45</v>
      </c>
      <c r="D454" s="4" t="s">
        <v>17</v>
      </c>
      <c r="E454" s="4" t="s">
        <v>10</v>
      </c>
      <c r="F454" s="4" t="s">
        <v>13</v>
      </c>
      <c r="G454" s="18">
        <v>4805</v>
      </c>
      <c r="H454" s="10">
        <v>8</v>
      </c>
      <c r="I454" s="4">
        <v>2</v>
      </c>
      <c r="J454" s="4" t="s">
        <v>14</v>
      </c>
      <c r="K454" s="3" t="s">
        <v>14</v>
      </c>
      <c r="L454" s="3" t="str">
        <f>IF(Table1[[#This Row],[Monthly Income]]&lt;3000,"Low",IF(Table1[[#This Row],[Monthly Income]]&lt;7000,"Medium","High"))</f>
        <v>Medium</v>
      </c>
      <c r="AK454" s="4"/>
      <c r="AL454" s="4"/>
      <c r="AM454" s="4"/>
      <c r="AN454" s="4"/>
      <c r="AO454" s="4"/>
      <c r="AP454" s="4"/>
      <c r="AQ454" s="4"/>
      <c r="AR454" s="4"/>
      <c r="AS454" s="4"/>
      <c r="AU454" s="4"/>
      <c r="AV454" s="4"/>
      <c r="AW454" s="4"/>
      <c r="AX454" s="4"/>
      <c r="AY454" s="4"/>
      <c r="AZ454" s="4"/>
      <c r="BA454" s="4"/>
      <c r="BB454" s="4"/>
      <c r="BC454" s="4"/>
      <c r="BD454" s="4"/>
      <c r="BE454" s="4"/>
    </row>
    <row r="455" spans="2:57" x14ac:dyDescent="0.3">
      <c r="B455" s="6" t="s">
        <v>478</v>
      </c>
      <c r="C455" s="6">
        <v>26</v>
      </c>
      <c r="D455" s="6" t="s">
        <v>12</v>
      </c>
      <c r="E455" s="6" t="s">
        <v>102</v>
      </c>
      <c r="F455" s="6" t="s">
        <v>104</v>
      </c>
      <c r="G455" s="19">
        <v>2741</v>
      </c>
      <c r="H455" s="11">
        <v>7</v>
      </c>
      <c r="I455" s="6">
        <v>3</v>
      </c>
      <c r="J455" s="6" t="s">
        <v>9</v>
      </c>
      <c r="K455" s="5" t="s">
        <v>9</v>
      </c>
      <c r="L455" s="3" t="str">
        <f>IF(Table1[[#This Row],[Monthly Income]]&lt;3000,"Low",IF(Table1[[#This Row],[Monthly Income]]&lt;7000,"Medium","High"))</f>
        <v>Low</v>
      </c>
      <c r="AK455" s="6"/>
      <c r="AL455" s="6"/>
      <c r="AM455" s="6"/>
      <c r="AN455" s="6"/>
      <c r="AO455" s="6"/>
      <c r="AP455" s="6"/>
      <c r="AQ455" s="6"/>
      <c r="AR455" s="6"/>
      <c r="AS455" s="6"/>
      <c r="AU455" s="6"/>
      <c r="AV455" s="6"/>
      <c r="AW455" s="6"/>
      <c r="AX455" s="6"/>
      <c r="AY455" s="6"/>
      <c r="AZ455" s="6"/>
      <c r="BA455" s="6"/>
      <c r="BB455" s="6"/>
      <c r="BC455" s="6"/>
      <c r="BD455" s="6"/>
      <c r="BE455" s="6"/>
    </row>
    <row r="456" spans="2:57" x14ac:dyDescent="0.3">
      <c r="B456" s="4" t="s">
        <v>479</v>
      </c>
      <c r="C456" s="4">
        <v>29</v>
      </c>
      <c r="D456" s="4" t="s">
        <v>17</v>
      </c>
      <c r="E456" s="4" t="s">
        <v>15</v>
      </c>
      <c r="F456" s="4" t="s">
        <v>27</v>
      </c>
      <c r="G456" s="18">
        <v>4262</v>
      </c>
      <c r="H456" s="10">
        <v>3</v>
      </c>
      <c r="I456" s="4">
        <v>4</v>
      </c>
      <c r="J456" s="4" t="s">
        <v>14</v>
      </c>
      <c r="K456" s="3" t="s">
        <v>14</v>
      </c>
      <c r="L456" s="3" t="str">
        <f>IF(Table1[[#This Row],[Monthly Income]]&lt;3000,"Low",IF(Table1[[#This Row],[Monthly Income]]&lt;7000,"Medium","High"))</f>
        <v>Medium</v>
      </c>
      <c r="AK456" s="4"/>
      <c r="AL456" s="4"/>
      <c r="AM456" s="4"/>
      <c r="AN456" s="4"/>
      <c r="AO456" s="4"/>
      <c r="AP456" s="4"/>
      <c r="AQ456" s="4"/>
      <c r="AR456" s="4"/>
      <c r="AS456" s="4"/>
      <c r="AU456" s="4"/>
      <c r="AV456" s="4"/>
      <c r="AW456" s="4"/>
      <c r="AX456" s="4"/>
      <c r="AY456" s="4"/>
      <c r="AZ456" s="4"/>
      <c r="BA456" s="4"/>
      <c r="BB456" s="4"/>
      <c r="BC456" s="4"/>
      <c r="BD456" s="4"/>
      <c r="BE456" s="4"/>
    </row>
    <row r="457" spans="2:57" x14ac:dyDescent="0.3">
      <c r="B457" s="6" t="s">
        <v>480</v>
      </c>
      <c r="C457" s="6">
        <v>33</v>
      </c>
      <c r="D457" s="6" t="s">
        <v>12</v>
      </c>
      <c r="E457" s="6" t="s">
        <v>15</v>
      </c>
      <c r="F457" s="6" t="s">
        <v>45</v>
      </c>
      <c r="G457" s="19">
        <v>16184</v>
      </c>
      <c r="H457" s="11">
        <v>6</v>
      </c>
      <c r="I457" s="6">
        <v>3</v>
      </c>
      <c r="J457" s="6" t="s">
        <v>14</v>
      </c>
      <c r="K457" s="5" t="s">
        <v>14</v>
      </c>
      <c r="L457" s="3" t="str">
        <f>IF(Table1[[#This Row],[Monthly Income]]&lt;3000,"Low",IF(Table1[[#This Row],[Monthly Income]]&lt;7000,"Medium","High"))</f>
        <v>High</v>
      </c>
      <c r="AK457" s="6"/>
      <c r="AL457" s="6"/>
      <c r="AM457" s="6"/>
      <c r="AN457" s="6"/>
      <c r="AO457" s="6"/>
      <c r="AP457" s="6"/>
      <c r="AQ457" s="6"/>
      <c r="AR457" s="6"/>
      <c r="AS457" s="6"/>
      <c r="AU457" s="6"/>
      <c r="AV457" s="6"/>
      <c r="AW457" s="6"/>
      <c r="AX457" s="6"/>
      <c r="AY457" s="6"/>
      <c r="AZ457" s="6"/>
      <c r="BA457" s="6"/>
      <c r="BB457" s="6"/>
      <c r="BC457" s="6"/>
      <c r="BD457" s="6"/>
      <c r="BE457" s="6"/>
    </row>
    <row r="458" spans="2:57" x14ac:dyDescent="0.3">
      <c r="B458" s="4" t="s">
        <v>481</v>
      </c>
      <c r="C458" s="4">
        <v>31</v>
      </c>
      <c r="D458" s="4" t="s">
        <v>17</v>
      </c>
      <c r="E458" s="4" t="s">
        <v>10</v>
      </c>
      <c r="F458" s="4" t="s">
        <v>39</v>
      </c>
      <c r="G458" s="18">
        <v>11557</v>
      </c>
      <c r="H458" s="10">
        <v>5</v>
      </c>
      <c r="I458" s="4">
        <v>4</v>
      </c>
      <c r="J458" s="4" t="s">
        <v>14</v>
      </c>
      <c r="K458" s="3" t="s">
        <v>14</v>
      </c>
      <c r="L458" s="3" t="str">
        <f>IF(Table1[[#This Row],[Monthly Income]]&lt;3000,"Low",IF(Table1[[#This Row],[Monthly Income]]&lt;7000,"Medium","High"))</f>
        <v>High</v>
      </c>
      <c r="AK458" s="4"/>
      <c r="AL458" s="4"/>
      <c r="AM458" s="4"/>
      <c r="AN458" s="4"/>
      <c r="AO458" s="4"/>
      <c r="AP458" s="4"/>
      <c r="AQ458" s="4"/>
      <c r="AR458" s="4"/>
      <c r="AS458" s="4"/>
      <c r="AU458" s="4"/>
      <c r="AV458" s="4"/>
      <c r="AW458" s="4"/>
      <c r="AX458" s="4"/>
      <c r="AY458" s="4"/>
      <c r="AZ458" s="4"/>
      <c r="BA458" s="4"/>
      <c r="BB458" s="4"/>
      <c r="BC458" s="4"/>
      <c r="BD458" s="4"/>
      <c r="BE458" s="4"/>
    </row>
    <row r="459" spans="2:57" x14ac:dyDescent="0.3">
      <c r="B459" s="6" t="s">
        <v>482</v>
      </c>
      <c r="C459" s="6">
        <v>18</v>
      </c>
      <c r="D459" s="6" t="s">
        <v>17</v>
      </c>
      <c r="E459" s="6" t="s">
        <v>10</v>
      </c>
      <c r="F459" s="6" t="s">
        <v>43</v>
      </c>
      <c r="G459" s="19">
        <v>1878</v>
      </c>
      <c r="H459" s="11">
        <v>0</v>
      </c>
      <c r="I459" s="6">
        <v>2</v>
      </c>
      <c r="J459" s="6" t="s">
        <v>9</v>
      </c>
      <c r="K459" s="5" t="s">
        <v>9</v>
      </c>
      <c r="L459" s="3" t="str">
        <f>IF(Table1[[#This Row],[Monthly Income]]&lt;3000,"Low",IF(Table1[[#This Row],[Monthly Income]]&lt;7000,"Medium","High"))</f>
        <v>Low</v>
      </c>
      <c r="AK459" s="6"/>
      <c r="AL459" s="6"/>
      <c r="AM459" s="6"/>
      <c r="AN459" s="6"/>
      <c r="AO459" s="6"/>
      <c r="AP459" s="6"/>
      <c r="AQ459" s="6"/>
      <c r="AR459" s="6"/>
      <c r="AS459" s="6"/>
      <c r="AU459" s="6"/>
      <c r="AV459" s="6"/>
      <c r="AW459" s="6"/>
      <c r="AX459" s="6"/>
      <c r="AY459" s="6"/>
      <c r="AZ459" s="6"/>
      <c r="BA459" s="6"/>
      <c r="BB459" s="6"/>
      <c r="BC459" s="6"/>
      <c r="BD459" s="6"/>
      <c r="BE459" s="6"/>
    </row>
    <row r="460" spans="2:57" x14ac:dyDescent="0.3">
      <c r="B460" s="4" t="s">
        <v>483</v>
      </c>
      <c r="C460" s="4">
        <v>40</v>
      </c>
      <c r="D460" s="4" t="s">
        <v>17</v>
      </c>
      <c r="E460" s="4" t="s">
        <v>10</v>
      </c>
      <c r="F460" s="4" t="s">
        <v>13</v>
      </c>
      <c r="G460" s="18">
        <v>10932</v>
      </c>
      <c r="H460" s="10">
        <v>1</v>
      </c>
      <c r="I460" s="4">
        <v>1</v>
      </c>
      <c r="J460" s="4" t="s">
        <v>14</v>
      </c>
      <c r="K460" s="3" t="s">
        <v>14</v>
      </c>
      <c r="L460" s="3" t="str">
        <f>IF(Table1[[#This Row],[Monthly Income]]&lt;3000,"Low",IF(Table1[[#This Row],[Monthly Income]]&lt;7000,"Medium","High"))</f>
        <v>High</v>
      </c>
      <c r="AK460" s="4"/>
      <c r="AL460" s="4"/>
      <c r="AM460" s="4"/>
      <c r="AN460" s="4"/>
      <c r="AO460" s="4"/>
      <c r="AP460" s="4"/>
      <c r="AQ460" s="4"/>
      <c r="AR460" s="4"/>
      <c r="AS460" s="4"/>
      <c r="AU460" s="4"/>
      <c r="AV460" s="4"/>
      <c r="AW460" s="4"/>
      <c r="AX460" s="4"/>
      <c r="AY460" s="4"/>
      <c r="AZ460" s="4"/>
      <c r="BA460" s="4"/>
      <c r="BB460" s="4"/>
      <c r="BC460" s="4"/>
      <c r="BD460" s="4"/>
      <c r="BE460" s="4"/>
    </row>
    <row r="461" spans="2:57" x14ac:dyDescent="0.3">
      <c r="B461" s="6" t="s">
        <v>484</v>
      </c>
      <c r="C461" s="6">
        <v>41</v>
      </c>
      <c r="D461" s="6" t="s">
        <v>12</v>
      </c>
      <c r="E461" s="6" t="s">
        <v>15</v>
      </c>
      <c r="F461" s="6" t="s">
        <v>29</v>
      </c>
      <c r="G461" s="19">
        <v>6811</v>
      </c>
      <c r="H461" s="11">
        <v>8</v>
      </c>
      <c r="I461" s="6">
        <v>3</v>
      </c>
      <c r="J461" s="6" t="s">
        <v>9</v>
      </c>
      <c r="K461" s="5" t="s">
        <v>14</v>
      </c>
      <c r="L461" s="3" t="str">
        <f>IF(Table1[[#This Row],[Monthly Income]]&lt;3000,"Low",IF(Table1[[#This Row],[Monthly Income]]&lt;7000,"Medium","High"))</f>
        <v>Medium</v>
      </c>
      <c r="AK461" s="6"/>
      <c r="AL461" s="6"/>
      <c r="AM461" s="6"/>
      <c r="AN461" s="6"/>
      <c r="AO461" s="6"/>
      <c r="AP461" s="6"/>
      <c r="AQ461" s="6"/>
      <c r="AR461" s="6"/>
      <c r="AS461" s="6"/>
      <c r="AU461" s="6"/>
      <c r="AV461" s="6"/>
      <c r="AW461" s="6"/>
      <c r="AX461" s="6"/>
      <c r="AY461" s="6"/>
      <c r="AZ461" s="6"/>
      <c r="BA461" s="6"/>
      <c r="BB461" s="6"/>
      <c r="BC461" s="6"/>
      <c r="BD461" s="6"/>
      <c r="BE461" s="6"/>
    </row>
    <row r="462" spans="2:57" x14ac:dyDescent="0.3">
      <c r="B462" s="4" t="s">
        <v>485</v>
      </c>
      <c r="C462" s="4">
        <v>26</v>
      </c>
      <c r="D462" s="4" t="s">
        <v>17</v>
      </c>
      <c r="E462" s="4" t="s">
        <v>10</v>
      </c>
      <c r="F462" s="4" t="s">
        <v>13</v>
      </c>
      <c r="G462" s="18">
        <v>4306</v>
      </c>
      <c r="H462" s="10">
        <v>0</v>
      </c>
      <c r="I462" s="4">
        <v>3</v>
      </c>
      <c r="J462" s="4" t="s">
        <v>14</v>
      </c>
      <c r="K462" s="3" t="s">
        <v>14</v>
      </c>
      <c r="L462" s="3" t="str">
        <f>IF(Table1[[#This Row],[Monthly Income]]&lt;3000,"Low",IF(Table1[[#This Row],[Monthly Income]]&lt;7000,"Medium","High"))</f>
        <v>Medium</v>
      </c>
      <c r="AK462" s="4"/>
      <c r="AL462" s="4"/>
      <c r="AM462" s="4"/>
      <c r="AN462" s="4"/>
      <c r="AO462" s="4"/>
      <c r="AP462" s="4"/>
      <c r="AQ462" s="4"/>
      <c r="AR462" s="4"/>
      <c r="AS462" s="4"/>
      <c r="AU462" s="4"/>
      <c r="AV462" s="4"/>
      <c r="AW462" s="4"/>
      <c r="AX462" s="4"/>
      <c r="AY462" s="4"/>
      <c r="AZ462" s="4"/>
      <c r="BA462" s="4"/>
      <c r="BB462" s="4"/>
      <c r="BC462" s="4"/>
      <c r="BD462" s="4"/>
      <c r="BE462" s="4"/>
    </row>
    <row r="463" spans="2:57" x14ac:dyDescent="0.3">
      <c r="B463" s="6" t="s">
        <v>486</v>
      </c>
      <c r="C463" s="6">
        <v>35</v>
      </c>
      <c r="D463" s="6" t="s">
        <v>12</v>
      </c>
      <c r="E463" s="6" t="s">
        <v>10</v>
      </c>
      <c r="F463" s="6" t="s">
        <v>13</v>
      </c>
      <c r="G463" s="19">
        <v>4859</v>
      </c>
      <c r="H463" s="11">
        <v>5</v>
      </c>
      <c r="I463" s="6">
        <v>3</v>
      </c>
      <c r="J463" s="6" t="s">
        <v>14</v>
      </c>
      <c r="K463" s="5" t="s">
        <v>14</v>
      </c>
      <c r="L463" s="3" t="str">
        <f>IF(Table1[[#This Row],[Monthly Income]]&lt;3000,"Low",IF(Table1[[#This Row],[Monthly Income]]&lt;7000,"Medium","High"))</f>
        <v>Medium</v>
      </c>
      <c r="AK463" s="6"/>
      <c r="AL463" s="6"/>
      <c r="AM463" s="6"/>
      <c r="AN463" s="6"/>
      <c r="AO463" s="6"/>
      <c r="AP463" s="6"/>
      <c r="AQ463" s="6"/>
      <c r="AR463" s="6"/>
      <c r="AS463" s="6"/>
      <c r="AU463" s="6"/>
      <c r="AV463" s="6"/>
      <c r="AW463" s="6"/>
      <c r="AX463" s="6"/>
      <c r="AY463" s="6"/>
      <c r="AZ463" s="6"/>
      <c r="BA463" s="6"/>
      <c r="BB463" s="6"/>
      <c r="BC463" s="6"/>
      <c r="BD463" s="6"/>
      <c r="BE463" s="6"/>
    </row>
    <row r="464" spans="2:57" x14ac:dyDescent="0.3">
      <c r="B464" s="4" t="s">
        <v>487</v>
      </c>
      <c r="C464" s="4">
        <v>34</v>
      </c>
      <c r="D464" s="4" t="s">
        <v>17</v>
      </c>
      <c r="E464" s="4" t="s">
        <v>10</v>
      </c>
      <c r="F464" s="4" t="s">
        <v>13</v>
      </c>
      <c r="G464" s="18">
        <v>5337</v>
      </c>
      <c r="H464" s="10">
        <v>10</v>
      </c>
      <c r="I464" s="4">
        <v>4</v>
      </c>
      <c r="J464" s="4" t="s">
        <v>14</v>
      </c>
      <c r="K464" s="3" t="s">
        <v>14</v>
      </c>
      <c r="L464" s="3" t="str">
        <f>IF(Table1[[#This Row],[Monthly Income]]&lt;3000,"Low",IF(Table1[[#This Row],[Monthly Income]]&lt;7000,"Medium","High"))</f>
        <v>Medium</v>
      </c>
      <c r="AK464" s="4"/>
      <c r="AL464" s="4"/>
      <c r="AM464" s="4"/>
      <c r="AN464" s="4"/>
      <c r="AO464" s="4"/>
      <c r="AP464" s="4"/>
      <c r="AQ464" s="4"/>
      <c r="AR464" s="4"/>
      <c r="AS464" s="4"/>
      <c r="AU464" s="4"/>
      <c r="AV464" s="4"/>
      <c r="AW464" s="4"/>
      <c r="AX464" s="4"/>
      <c r="AY464" s="4"/>
      <c r="AZ464" s="4"/>
      <c r="BA464" s="4"/>
      <c r="BB464" s="4"/>
      <c r="BC464" s="4"/>
      <c r="BD464" s="4"/>
      <c r="BE464" s="4"/>
    </row>
    <row r="465" spans="2:57" x14ac:dyDescent="0.3">
      <c r="B465" s="6" t="s">
        <v>488</v>
      </c>
      <c r="C465" s="6">
        <v>26</v>
      </c>
      <c r="D465" s="6" t="s">
        <v>17</v>
      </c>
      <c r="E465" s="6" t="s">
        <v>15</v>
      </c>
      <c r="F465" s="6" t="s">
        <v>20</v>
      </c>
      <c r="G465" s="19">
        <v>2340</v>
      </c>
      <c r="H465" s="11">
        <v>1</v>
      </c>
      <c r="I465" s="6">
        <v>4</v>
      </c>
      <c r="J465" s="6" t="s">
        <v>9</v>
      </c>
      <c r="K465" s="5" t="s">
        <v>9</v>
      </c>
      <c r="L465" s="3" t="str">
        <f>IF(Table1[[#This Row],[Monthly Income]]&lt;3000,"Low",IF(Table1[[#This Row],[Monthly Income]]&lt;7000,"Medium","High"))</f>
        <v>Low</v>
      </c>
      <c r="AK465" s="6"/>
      <c r="AL465" s="6"/>
      <c r="AM465" s="6"/>
      <c r="AN465" s="6"/>
      <c r="AO465" s="6"/>
      <c r="AP465" s="6"/>
      <c r="AQ465" s="6"/>
      <c r="AR465" s="6"/>
      <c r="AS465" s="6"/>
      <c r="AU465" s="6"/>
      <c r="AV465" s="6"/>
      <c r="AW465" s="6"/>
      <c r="AX465" s="6"/>
      <c r="AY465" s="6"/>
      <c r="AZ465" s="6"/>
      <c r="BA465" s="6"/>
      <c r="BB465" s="6"/>
      <c r="BC465" s="6"/>
      <c r="BD465" s="6"/>
      <c r="BE465" s="6"/>
    </row>
    <row r="466" spans="2:57" x14ac:dyDescent="0.3">
      <c r="B466" s="4" t="s">
        <v>489</v>
      </c>
      <c r="C466" s="4">
        <v>37</v>
      </c>
      <c r="D466" s="4" t="s">
        <v>12</v>
      </c>
      <c r="E466" s="4" t="s">
        <v>15</v>
      </c>
      <c r="F466" s="4" t="s">
        <v>27</v>
      </c>
      <c r="G466" s="18">
        <v>7491</v>
      </c>
      <c r="H466" s="10">
        <v>6</v>
      </c>
      <c r="I466" s="4">
        <v>4</v>
      </c>
      <c r="J466" s="4" t="s">
        <v>14</v>
      </c>
      <c r="K466" s="3" t="s">
        <v>14</v>
      </c>
      <c r="L466" s="3" t="str">
        <f>IF(Table1[[#This Row],[Monthly Income]]&lt;3000,"Low",IF(Table1[[#This Row],[Monthly Income]]&lt;7000,"Medium","High"))</f>
        <v>High</v>
      </c>
      <c r="AK466" s="4"/>
      <c r="AL466" s="4"/>
      <c r="AM466" s="4"/>
      <c r="AN466" s="4"/>
      <c r="AO466" s="4"/>
      <c r="AP466" s="4"/>
      <c r="AQ466" s="4"/>
      <c r="AR466" s="4"/>
      <c r="AS466" s="4"/>
      <c r="AU466" s="4"/>
      <c r="AV466" s="4"/>
      <c r="AW466" s="4"/>
      <c r="AX466" s="4"/>
      <c r="AY466" s="4"/>
      <c r="AZ466" s="4"/>
      <c r="BA466" s="4"/>
      <c r="BB466" s="4"/>
      <c r="BC466" s="4"/>
      <c r="BD466" s="4"/>
      <c r="BE466" s="4"/>
    </row>
    <row r="467" spans="2:57" x14ac:dyDescent="0.3">
      <c r="B467" s="6" t="s">
        <v>490</v>
      </c>
      <c r="C467" s="6">
        <v>46</v>
      </c>
      <c r="D467" s="6" t="s">
        <v>12</v>
      </c>
      <c r="E467" s="6" t="s">
        <v>15</v>
      </c>
      <c r="F467" s="6" t="s">
        <v>29</v>
      </c>
      <c r="G467" s="19">
        <v>10527</v>
      </c>
      <c r="H467" s="11">
        <v>2</v>
      </c>
      <c r="I467" s="6">
        <v>3</v>
      </c>
      <c r="J467" s="6" t="s">
        <v>14</v>
      </c>
      <c r="K467" s="5" t="s">
        <v>14</v>
      </c>
      <c r="L467" s="3" t="str">
        <f>IF(Table1[[#This Row],[Monthly Income]]&lt;3000,"Low",IF(Table1[[#This Row],[Monthly Income]]&lt;7000,"Medium","High"))</f>
        <v>High</v>
      </c>
      <c r="AK467" s="6"/>
      <c r="AL467" s="6"/>
      <c r="AM467" s="6"/>
      <c r="AN467" s="6"/>
      <c r="AO467" s="6"/>
      <c r="AP467" s="6"/>
      <c r="AQ467" s="6"/>
      <c r="AR467" s="6"/>
      <c r="AS467" s="6"/>
      <c r="AU467" s="6"/>
      <c r="AV467" s="6"/>
      <c r="AW467" s="6"/>
      <c r="AX467" s="6"/>
      <c r="AY467" s="6"/>
      <c r="AZ467" s="6"/>
      <c r="BA467" s="6"/>
      <c r="BB467" s="6"/>
      <c r="BC467" s="6"/>
      <c r="BD467" s="6"/>
      <c r="BE467" s="6"/>
    </row>
    <row r="468" spans="2:57" x14ac:dyDescent="0.3">
      <c r="B468" s="4" t="s">
        <v>491</v>
      </c>
      <c r="C468" s="4">
        <v>41</v>
      </c>
      <c r="D468" s="4" t="s">
        <v>12</v>
      </c>
      <c r="E468" s="4" t="s">
        <v>10</v>
      </c>
      <c r="F468" s="4" t="s">
        <v>39</v>
      </c>
      <c r="G468" s="18">
        <v>16595</v>
      </c>
      <c r="H468" s="10">
        <v>18</v>
      </c>
      <c r="I468" s="4">
        <v>1</v>
      </c>
      <c r="J468" s="4" t="s">
        <v>14</v>
      </c>
      <c r="K468" s="3" t="s">
        <v>14</v>
      </c>
      <c r="L468" s="3" t="str">
        <f>IF(Table1[[#This Row],[Monthly Income]]&lt;3000,"Low",IF(Table1[[#This Row],[Monthly Income]]&lt;7000,"Medium","High"))</f>
        <v>High</v>
      </c>
      <c r="AK468" s="4"/>
      <c r="AL468" s="4"/>
      <c r="AM468" s="4"/>
      <c r="AN468" s="4"/>
      <c r="AO468" s="4"/>
      <c r="AP468" s="4"/>
      <c r="AQ468" s="4"/>
      <c r="AR468" s="4"/>
      <c r="AS468" s="4"/>
      <c r="AU468" s="4"/>
      <c r="AV468" s="4"/>
      <c r="AW468" s="4"/>
      <c r="AX468" s="4"/>
      <c r="AY468" s="4"/>
      <c r="AZ468" s="4"/>
      <c r="BA468" s="4"/>
      <c r="BB468" s="4"/>
      <c r="BC468" s="4"/>
      <c r="BD468" s="4"/>
      <c r="BE468" s="4"/>
    </row>
    <row r="469" spans="2:57" x14ac:dyDescent="0.3">
      <c r="B469" s="6" t="s">
        <v>492</v>
      </c>
      <c r="C469" s="6">
        <v>37</v>
      </c>
      <c r="D469" s="6" t="s">
        <v>17</v>
      </c>
      <c r="E469" s="6" t="s">
        <v>10</v>
      </c>
      <c r="F469" s="6" t="s">
        <v>13</v>
      </c>
      <c r="G469" s="19">
        <v>8834</v>
      </c>
      <c r="H469" s="11">
        <v>9</v>
      </c>
      <c r="I469" s="6">
        <v>2</v>
      </c>
      <c r="J469" s="6" t="s">
        <v>14</v>
      </c>
      <c r="K469" s="5" t="s">
        <v>14</v>
      </c>
      <c r="L469" s="3" t="str">
        <f>IF(Table1[[#This Row],[Monthly Income]]&lt;3000,"Low",IF(Table1[[#This Row],[Monthly Income]]&lt;7000,"Medium","High"))</f>
        <v>High</v>
      </c>
      <c r="AK469" s="6"/>
      <c r="AL469" s="6"/>
      <c r="AM469" s="6"/>
      <c r="AN469" s="6"/>
      <c r="AO469" s="6"/>
      <c r="AP469" s="6"/>
      <c r="AQ469" s="6"/>
      <c r="AR469" s="6"/>
      <c r="AS469" s="6"/>
      <c r="AU469" s="6"/>
      <c r="AV469" s="6"/>
      <c r="AW469" s="6"/>
      <c r="AX469" s="6"/>
      <c r="AY469" s="6"/>
      <c r="AZ469" s="6"/>
      <c r="BA469" s="6"/>
      <c r="BB469" s="6"/>
      <c r="BC469" s="6"/>
      <c r="BD469" s="6"/>
      <c r="BE469" s="6"/>
    </row>
    <row r="470" spans="2:57" x14ac:dyDescent="0.3">
      <c r="B470" s="4" t="s">
        <v>493</v>
      </c>
      <c r="C470" s="4">
        <v>52</v>
      </c>
      <c r="D470" s="4" t="s">
        <v>17</v>
      </c>
      <c r="E470" s="4" t="s">
        <v>15</v>
      </c>
      <c r="F470" s="4" t="s">
        <v>18</v>
      </c>
      <c r="G470" s="18">
        <v>5577</v>
      </c>
      <c r="H470" s="10">
        <v>10</v>
      </c>
      <c r="I470" s="4">
        <v>1</v>
      </c>
      <c r="J470" s="4" t="s">
        <v>9</v>
      </c>
      <c r="K470" s="3" t="s">
        <v>14</v>
      </c>
      <c r="L470" s="3" t="str">
        <f>IF(Table1[[#This Row],[Monthly Income]]&lt;3000,"Low",IF(Table1[[#This Row],[Monthly Income]]&lt;7000,"Medium","High"))</f>
        <v>Medium</v>
      </c>
      <c r="AK470" s="4"/>
      <c r="AL470" s="4"/>
      <c r="AM470" s="4"/>
      <c r="AN470" s="4"/>
      <c r="AO470" s="4"/>
      <c r="AP470" s="4"/>
      <c r="AQ470" s="4"/>
      <c r="AR470" s="4"/>
      <c r="AS470" s="4"/>
      <c r="AU470" s="4"/>
      <c r="AV470" s="4"/>
      <c r="AW470" s="4"/>
      <c r="AX470" s="4"/>
      <c r="AY470" s="4"/>
      <c r="AZ470" s="4"/>
      <c r="BA470" s="4"/>
      <c r="BB470" s="4"/>
      <c r="BC470" s="4"/>
      <c r="BD470" s="4"/>
      <c r="BE470" s="4"/>
    </row>
    <row r="471" spans="2:57" x14ac:dyDescent="0.3">
      <c r="B471" s="6" t="s">
        <v>494</v>
      </c>
      <c r="C471" s="6">
        <v>32</v>
      </c>
      <c r="D471" s="6" t="s">
        <v>17</v>
      </c>
      <c r="E471" s="6" t="s">
        <v>10</v>
      </c>
      <c r="F471" s="6" t="s">
        <v>13</v>
      </c>
      <c r="G471" s="19">
        <v>4707</v>
      </c>
      <c r="H471" s="11">
        <v>4</v>
      </c>
      <c r="I471" s="6">
        <v>3</v>
      </c>
      <c r="J471" s="6" t="s">
        <v>14</v>
      </c>
      <c r="K471" s="5" t="s">
        <v>9</v>
      </c>
      <c r="L471" s="3" t="str">
        <f>IF(Table1[[#This Row],[Monthly Income]]&lt;3000,"Low",IF(Table1[[#This Row],[Monthly Income]]&lt;7000,"Medium","High"))</f>
        <v>Medium</v>
      </c>
      <c r="AK471" s="6"/>
      <c r="AL471" s="6"/>
      <c r="AM471" s="6"/>
      <c r="AN471" s="6"/>
      <c r="AO471" s="6"/>
      <c r="AP471" s="6"/>
      <c r="AQ471" s="6"/>
      <c r="AR471" s="6"/>
      <c r="AS471" s="6"/>
      <c r="AU471" s="6"/>
      <c r="AV471" s="6"/>
      <c r="AW471" s="6"/>
      <c r="AX471" s="6"/>
      <c r="AY471" s="6"/>
      <c r="AZ471" s="6"/>
      <c r="BA471" s="6"/>
      <c r="BB471" s="6"/>
      <c r="BC471" s="6"/>
      <c r="BD471" s="6"/>
      <c r="BE471" s="6"/>
    </row>
    <row r="472" spans="2:57" x14ac:dyDescent="0.3">
      <c r="B472" s="4" t="s">
        <v>495</v>
      </c>
      <c r="C472" s="4">
        <v>24</v>
      </c>
      <c r="D472" s="4" t="s">
        <v>17</v>
      </c>
      <c r="E472" s="4" t="s">
        <v>10</v>
      </c>
      <c r="F472" s="4" t="s">
        <v>43</v>
      </c>
      <c r="G472" s="18">
        <v>2400</v>
      </c>
      <c r="H472" s="10">
        <v>2</v>
      </c>
      <c r="I472" s="4">
        <v>4</v>
      </c>
      <c r="J472" s="4" t="s">
        <v>14</v>
      </c>
      <c r="K472" s="3" t="s">
        <v>14</v>
      </c>
      <c r="L472" s="3" t="str">
        <f>IF(Table1[[#This Row],[Monthly Income]]&lt;3000,"Low",IF(Table1[[#This Row],[Monthly Income]]&lt;7000,"Medium","High"))</f>
        <v>Low</v>
      </c>
      <c r="AK472" s="4"/>
      <c r="AL472" s="4"/>
      <c r="AM472" s="4"/>
      <c r="AN472" s="4"/>
      <c r="AO472" s="4"/>
      <c r="AP472" s="4"/>
      <c r="AQ472" s="4"/>
      <c r="AR472" s="4"/>
      <c r="AS472" s="4"/>
      <c r="AU472" s="4"/>
      <c r="AV472" s="4"/>
      <c r="AW472" s="4"/>
      <c r="AX472" s="4"/>
      <c r="AY472" s="4"/>
      <c r="AZ472" s="4"/>
      <c r="BA472" s="4"/>
      <c r="BB472" s="4"/>
      <c r="BC472" s="4"/>
      <c r="BD472" s="4"/>
      <c r="BE472" s="4"/>
    </row>
    <row r="473" spans="2:57" x14ac:dyDescent="0.3">
      <c r="B473" s="6" t="s">
        <v>496</v>
      </c>
      <c r="C473" s="6">
        <v>38</v>
      </c>
      <c r="D473" s="6" t="s">
        <v>12</v>
      </c>
      <c r="E473" s="6" t="s">
        <v>15</v>
      </c>
      <c r="F473" s="6" t="s">
        <v>29</v>
      </c>
      <c r="G473" s="19">
        <v>9824</v>
      </c>
      <c r="H473" s="11">
        <v>1</v>
      </c>
      <c r="I473" s="6">
        <v>3</v>
      </c>
      <c r="J473" s="6" t="s">
        <v>14</v>
      </c>
      <c r="K473" s="5" t="s">
        <v>14</v>
      </c>
      <c r="L473" s="3" t="str">
        <f>IF(Table1[[#This Row],[Monthly Income]]&lt;3000,"Low",IF(Table1[[#This Row],[Monthly Income]]&lt;7000,"Medium","High"))</f>
        <v>High</v>
      </c>
      <c r="AK473" s="6"/>
      <c r="AL473" s="6"/>
      <c r="AM473" s="6"/>
      <c r="AN473" s="6"/>
      <c r="AO473" s="6"/>
      <c r="AP473" s="6"/>
      <c r="AQ473" s="6"/>
      <c r="AR473" s="6"/>
      <c r="AS473" s="6"/>
      <c r="AU473" s="6"/>
      <c r="AV473" s="6"/>
      <c r="AW473" s="6"/>
      <c r="AX473" s="6"/>
      <c r="AY473" s="6"/>
      <c r="AZ473" s="6"/>
      <c r="BA473" s="6"/>
      <c r="BB473" s="6"/>
      <c r="BC473" s="6"/>
      <c r="BD473" s="6"/>
      <c r="BE473" s="6"/>
    </row>
    <row r="474" spans="2:57" x14ac:dyDescent="0.3">
      <c r="B474" s="4" t="s">
        <v>497</v>
      </c>
      <c r="C474" s="4">
        <v>37</v>
      </c>
      <c r="D474" s="4" t="s">
        <v>12</v>
      </c>
      <c r="E474" s="4" t="s">
        <v>15</v>
      </c>
      <c r="F474" s="4" t="s">
        <v>27</v>
      </c>
      <c r="G474" s="18">
        <v>6447</v>
      </c>
      <c r="H474" s="10">
        <v>6</v>
      </c>
      <c r="I474" s="4">
        <v>2</v>
      </c>
      <c r="J474" s="4" t="s">
        <v>14</v>
      </c>
      <c r="K474" s="3" t="s">
        <v>14</v>
      </c>
      <c r="L474" s="3" t="str">
        <f>IF(Table1[[#This Row],[Monthly Income]]&lt;3000,"Low",IF(Table1[[#This Row],[Monthly Income]]&lt;7000,"Medium","High"))</f>
        <v>Medium</v>
      </c>
      <c r="AK474" s="4"/>
      <c r="AL474" s="4"/>
      <c r="AM474" s="4"/>
      <c r="AN474" s="4"/>
      <c r="AO474" s="4"/>
      <c r="AP474" s="4"/>
      <c r="AQ474" s="4"/>
      <c r="AR474" s="4"/>
      <c r="AS474" s="4"/>
      <c r="AU474" s="4"/>
      <c r="AV474" s="4"/>
      <c r="AW474" s="4"/>
      <c r="AX474" s="4"/>
      <c r="AY474" s="4"/>
      <c r="AZ474" s="4"/>
      <c r="BA474" s="4"/>
      <c r="BB474" s="4"/>
      <c r="BC474" s="4"/>
      <c r="BD474" s="4"/>
      <c r="BE474" s="4"/>
    </row>
    <row r="475" spans="2:57" x14ac:dyDescent="0.3">
      <c r="B475" s="6" t="s">
        <v>498</v>
      </c>
      <c r="C475" s="6">
        <v>49</v>
      </c>
      <c r="D475" s="6" t="s">
        <v>17</v>
      </c>
      <c r="E475" s="6" t="s">
        <v>15</v>
      </c>
      <c r="F475" s="6" t="s">
        <v>45</v>
      </c>
      <c r="G475" s="19">
        <v>19502</v>
      </c>
      <c r="H475" s="11">
        <v>31</v>
      </c>
      <c r="I475" s="6">
        <v>3</v>
      </c>
      <c r="J475" s="6" t="s">
        <v>9</v>
      </c>
      <c r="K475" s="5" t="s">
        <v>14</v>
      </c>
      <c r="L475" s="3" t="str">
        <f>IF(Table1[[#This Row],[Monthly Income]]&lt;3000,"Low",IF(Table1[[#This Row],[Monthly Income]]&lt;7000,"Medium","High"))</f>
        <v>High</v>
      </c>
      <c r="AK475" s="6"/>
      <c r="AL475" s="6"/>
      <c r="AM475" s="6"/>
      <c r="AN475" s="6"/>
      <c r="AO475" s="6"/>
      <c r="AP475" s="6"/>
      <c r="AQ475" s="6"/>
      <c r="AR475" s="6"/>
      <c r="AS475" s="6"/>
      <c r="AU475" s="6"/>
      <c r="AV475" s="6"/>
      <c r="AW475" s="6"/>
      <c r="AX475" s="6"/>
      <c r="AY475" s="6"/>
      <c r="AZ475" s="6"/>
      <c r="BA475" s="6"/>
      <c r="BB475" s="6"/>
      <c r="BC475" s="6"/>
      <c r="BD475" s="6"/>
      <c r="BE475" s="6"/>
    </row>
    <row r="476" spans="2:57" x14ac:dyDescent="0.3">
      <c r="B476" s="4" t="s">
        <v>499</v>
      </c>
      <c r="C476" s="4">
        <v>24</v>
      </c>
      <c r="D476" s="4" t="s">
        <v>17</v>
      </c>
      <c r="E476" s="4" t="s">
        <v>15</v>
      </c>
      <c r="F476" s="4" t="s">
        <v>18</v>
      </c>
      <c r="G476" s="18">
        <v>2725</v>
      </c>
      <c r="H476" s="10">
        <v>6</v>
      </c>
      <c r="I476" s="4">
        <v>4</v>
      </c>
      <c r="J476" s="4" t="s">
        <v>9</v>
      </c>
      <c r="K476" s="3" t="s">
        <v>14</v>
      </c>
      <c r="L476" s="3" t="str">
        <f>IF(Table1[[#This Row],[Monthly Income]]&lt;3000,"Low",IF(Table1[[#This Row],[Monthly Income]]&lt;7000,"Medium","High"))</f>
        <v>Low</v>
      </c>
      <c r="AK476" s="4"/>
      <c r="AL476" s="4"/>
      <c r="AM476" s="4"/>
      <c r="AN476" s="4"/>
      <c r="AO476" s="4"/>
      <c r="AP476" s="4"/>
      <c r="AQ476" s="4"/>
      <c r="AR476" s="4"/>
      <c r="AS476" s="4"/>
      <c r="AU476" s="4"/>
      <c r="AV476" s="4"/>
      <c r="AW476" s="4"/>
      <c r="AX476" s="4"/>
      <c r="AY476" s="4"/>
      <c r="AZ476" s="4"/>
      <c r="BA476" s="4"/>
      <c r="BB476" s="4"/>
      <c r="BC476" s="4"/>
      <c r="BD476" s="4"/>
      <c r="BE476" s="4"/>
    </row>
    <row r="477" spans="2:57" x14ac:dyDescent="0.3">
      <c r="B477" s="6" t="s">
        <v>500</v>
      </c>
      <c r="C477" s="6">
        <v>26</v>
      </c>
      <c r="D477" s="6" t="s">
        <v>17</v>
      </c>
      <c r="E477" s="6" t="s">
        <v>10</v>
      </c>
      <c r="F477" s="6" t="s">
        <v>13</v>
      </c>
      <c r="G477" s="19">
        <v>6272</v>
      </c>
      <c r="H477" s="11">
        <v>5</v>
      </c>
      <c r="I477" s="6">
        <v>2</v>
      </c>
      <c r="J477" s="6" t="s">
        <v>14</v>
      </c>
      <c r="K477" s="5" t="s">
        <v>14</v>
      </c>
      <c r="L477" s="3" t="str">
        <f>IF(Table1[[#This Row],[Monthly Income]]&lt;3000,"Low",IF(Table1[[#This Row],[Monthly Income]]&lt;7000,"Medium","High"))</f>
        <v>Medium</v>
      </c>
      <c r="AK477" s="6"/>
      <c r="AL477" s="6"/>
      <c r="AM477" s="6"/>
      <c r="AN477" s="6"/>
      <c r="AO477" s="6"/>
      <c r="AP477" s="6"/>
      <c r="AQ477" s="6"/>
      <c r="AR477" s="6"/>
      <c r="AS477" s="6"/>
      <c r="AU477" s="6"/>
      <c r="AV477" s="6"/>
      <c r="AW477" s="6"/>
      <c r="AX477" s="6"/>
      <c r="AY477" s="6"/>
      <c r="AZ477" s="6"/>
      <c r="BA477" s="6"/>
      <c r="BB477" s="6"/>
      <c r="BC477" s="6"/>
      <c r="BD477" s="6"/>
      <c r="BE477" s="6"/>
    </row>
    <row r="478" spans="2:57" x14ac:dyDescent="0.3">
      <c r="B478" s="4" t="s">
        <v>501</v>
      </c>
      <c r="C478" s="4">
        <v>24</v>
      </c>
      <c r="D478" s="4" t="s">
        <v>17</v>
      </c>
      <c r="E478" s="4" t="s">
        <v>15</v>
      </c>
      <c r="F478" s="4" t="s">
        <v>20</v>
      </c>
      <c r="G478" s="18">
        <v>2127</v>
      </c>
      <c r="H478" s="10">
        <v>1</v>
      </c>
      <c r="I478" s="4">
        <v>2</v>
      </c>
      <c r="J478" s="4" t="s">
        <v>14</v>
      </c>
      <c r="K478" s="3" t="s">
        <v>14</v>
      </c>
      <c r="L478" s="3" t="str">
        <f>IF(Table1[[#This Row],[Monthly Income]]&lt;3000,"Low",IF(Table1[[#This Row],[Monthly Income]]&lt;7000,"Medium","High"))</f>
        <v>Low</v>
      </c>
      <c r="AK478" s="4"/>
      <c r="AL478" s="4"/>
      <c r="AM478" s="4"/>
      <c r="AN478" s="4"/>
      <c r="AO478" s="4"/>
      <c r="AP478" s="4"/>
      <c r="AQ478" s="4"/>
      <c r="AR478" s="4"/>
      <c r="AS478" s="4"/>
      <c r="AU478" s="4"/>
      <c r="AV478" s="4"/>
      <c r="AW478" s="4"/>
      <c r="AX478" s="4"/>
      <c r="AY478" s="4"/>
      <c r="AZ478" s="4"/>
      <c r="BA478" s="4"/>
      <c r="BB478" s="4"/>
      <c r="BC478" s="4"/>
      <c r="BD478" s="4"/>
      <c r="BE478" s="4"/>
    </row>
    <row r="479" spans="2:57" x14ac:dyDescent="0.3">
      <c r="B479" s="6" t="s">
        <v>502</v>
      </c>
      <c r="C479" s="6">
        <v>50</v>
      </c>
      <c r="D479" s="6" t="s">
        <v>17</v>
      </c>
      <c r="E479" s="6" t="s">
        <v>102</v>
      </c>
      <c r="F479" s="6" t="s">
        <v>39</v>
      </c>
      <c r="G479" s="19">
        <v>18200</v>
      </c>
      <c r="H479" s="11">
        <v>32</v>
      </c>
      <c r="I479" s="6">
        <v>2</v>
      </c>
      <c r="J479" s="6" t="s">
        <v>14</v>
      </c>
      <c r="K479" s="5" t="s">
        <v>14</v>
      </c>
      <c r="L479" s="3" t="str">
        <f>IF(Table1[[#This Row],[Monthly Income]]&lt;3000,"Low",IF(Table1[[#This Row],[Monthly Income]]&lt;7000,"Medium","High"))</f>
        <v>High</v>
      </c>
      <c r="AK479" s="6"/>
      <c r="AL479" s="6"/>
      <c r="AM479" s="6"/>
      <c r="AN479" s="6"/>
      <c r="AO479" s="6"/>
      <c r="AP479" s="6"/>
      <c r="AQ479" s="6"/>
      <c r="AR479" s="6"/>
      <c r="AS479" s="6"/>
      <c r="AU479" s="6"/>
      <c r="AV479" s="6"/>
      <c r="AW479" s="6"/>
      <c r="AX479" s="6"/>
      <c r="AY479" s="6"/>
      <c r="AZ479" s="6"/>
      <c r="BA479" s="6"/>
      <c r="BB479" s="6"/>
      <c r="BC479" s="6"/>
      <c r="BD479" s="6"/>
      <c r="BE479" s="6"/>
    </row>
    <row r="480" spans="2:57" x14ac:dyDescent="0.3">
      <c r="B480" s="4" t="s">
        <v>503</v>
      </c>
      <c r="C480" s="4">
        <v>25</v>
      </c>
      <c r="D480" s="4" t="s">
        <v>17</v>
      </c>
      <c r="E480" s="4" t="s">
        <v>10</v>
      </c>
      <c r="F480" s="4" t="s">
        <v>43</v>
      </c>
      <c r="G480" s="18">
        <v>2096</v>
      </c>
      <c r="H480" s="10">
        <v>7</v>
      </c>
      <c r="I480" s="4">
        <v>3</v>
      </c>
      <c r="J480" s="4" t="s">
        <v>14</v>
      </c>
      <c r="K480" s="3" t="s">
        <v>14</v>
      </c>
      <c r="L480" s="3" t="str">
        <f>IF(Table1[[#This Row],[Monthly Income]]&lt;3000,"Low",IF(Table1[[#This Row],[Monthly Income]]&lt;7000,"Medium","High"))</f>
        <v>Low</v>
      </c>
      <c r="AK480" s="4"/>
      <c r="AL480" s="4"/>
      <c r="AM480" s="4"/>
      <c r="AN480" s="4"/>
      <c r="AO480" s="4"/>
      <c r="AP480" s="4"/>
      <c r="AQ480" s="4"/>
      <c r="AR480" s="4"/>
      <c r="AS480" s="4"/>
      <c r="AU480" s="4"/>
      <c r="AV480" s="4"/>
      <c r="AW480" s="4"/>
      <c r="AX480" s="4"/>
      <c r="AY480" s="4"/>
      <c r="AZ480" s="4"/>
      <c r="BA480" s="4"/>
      <c r="BB480" s="4"/>
      <c r="BC480" s="4"/>
      <c r="BD480" s="4"/>
      <c r="BE480" s="4"/>
    </row>
    <row r="481" spans="2:57" x14ac:dyDescent="0.3">
      <c r="B481" s="6" t="s">
        <v>504</v>
      </c>
      <c r="C481" s="6">
        <v>24</v>
      </c>
      <c r="D481" s="6" t="s">
        <v>12</v>
      </c>
      <c r="E481" s="6" t="s">
        <v>15</v>
      </c>
      <c r="F481" s="6" t="s">
        <v>20</v>
      </c>
      <c r="G481" s="19">
        <v>2886</v>
      </c>
      <c r="H481" s="11">
        <v>6</v>
      </c>
      <c r="I481" s="6">
        <v>3</v>
      </c>
      <c r="J481" s="6" t="s">
        <v>9</v>
      </c>
      <c r="K481" s="5" t="s">
        <v>9</v>
      </c>
      <c r="L481" s="3" t="str">
        <f>IF(Table1[[#This Row],[Monthly Income]]&lt;3000,"Low",IF(Table1[[#This Row],[Monthly Income]]&lt;7000,"Medium","High"))</f>
        <v>Low</v>
      </c>
      <c r="AK481" s="6"/>
      <c r="AL481" s="6"/>
      <c r="AM481" s="6"/>
      <c r="AN481" s="6"/>
      <c r="AO481" s="6"/>
      <c r="AP481" s="6"/>
      <c r="AQ481" s="6"/>
      <c r="AR481" s="6"/>
      <c r="AS481" s="6"/>
      <c r="AU481" s="6"/>
      <c r="AV481" s="6"/>
      <c r="AW481" s="6"/>
      <c r="AX481" s="6"/>
      <c r="AY481" s="6"/>
      <c r="AZ481" s="6"/>
      <c r="BA481" s="6"/>
      <c r="BB481" s="6"/>
      <c r="BC481" s="6"/>
      <c r="BD481" s="6"/>
      <c r="BE481" s="6"/>
    </row>
    <row r="482" spans="2:57" x14ac:dyDescent="0.3">
      <c r="B482" s="4" t="s">
        <v>505</v>
      </c>
      <c r="C482" s="4">
        <v>30</v>
      </c>
      <c r="D482" s="4" t="s">
        <v>17</v>
      </c>
      <c r="E482" s="4" t="s">
        <v>10</v>
      </c>
      <c r="F482" s="4" t="s">
        <v>43</v>
      </c>
      <c r="G482" s="18">
        <v>2033</v>
      </c>
      <c r="H482" s="10">
        <v>1</v>
      </c>
      <c r="I482" s="4">
        <v>1</v>
      </c>
      <c r="J482" s="4" t="s">
        <v>14</v>
      </c>
      <c r="K482" s="3" t="s">
        <v>9</v>
      </c>
      <c r="L482" s="3" t="str">
        <f>IF(Table1[[#This Row],[Monthly Income]]&lt;3000,"Low",IF(Table1[[#This Row],[Monthly Income]]&lt;7000,"Medium","High"))</f>
        <v>Low</v>
      </c>
      <c r="AK482" s="4"/>
      <c r="AL482" s="4"/>
      <c r="AM482" s="4"/>
      <c r="AN482" s="4"/>
      <c r="AO482" s="4"/>
      <c r="AP482" s="4"/>
      <c r="AQ482" s="4"/>
      <c r="AR482" s="4"/>
      <c r="AS482" s="4"/>
      <c r="AU482" s="4"/>
      <c r="AV482" s="4"/>
      <c r="AW482" s="4"/>
      <c r="AX482" s="4"/>
      <c r="AY482" s="4"/>
      <c r="AZ482" s="4"/>
      <c r="BA482" s="4"/>
      <c r="BB482" s="4"/>
      <c r="BC482" s="4"/>
      <c r="BD482" s="4"/>
      <c r="BE482" s="4"/>
    </row>
    <row r="483" spans="2:57" x14ac:dyDescent="0.3">
      <c r="B483" s="6" t="s">
        <v>506</v>
      </c>
      <c r="C483" s="6">
        <v>34</v>
      </c>
      <c r="D483" s="6" t="s">
        <v>17</v>
      </c>
      <c r="E483" s="6" t="s">
        <v>15</v>
      </c>
      <c r="F483" s="6" t="s">
        <v>18</v>
      </c>
      <c r="G483" s="19">
        <v>3622</v>
      </c>
      <c r="H483" s="11">
        <v>6</v>
      </c>
      <c r="I483" s="6">
        <v>4</v>
      </c>
      <c r="J483" s="6" t="s">
        <v>9</v>
      </c>
      <c r="K483" s="5" t="s">
        <v>14</v>
      </c>
      <c r="L483" s="3" t="str">
        <f>IF(Table1[[#This Row],[Monthly Income]]&lt;3000,"Low",IF(Table1[[#This Row],[Monthly Income]]&lt;7000,"Medium","High"))</f>
        <v>Medium</v>
      </c>
      <c r="AK483" s="6"/>
      <c r="AL483" s="6"/>
      <c r="AM483" s="6"/>
      <c r="AN483" s="6"/>
      <c r="AO483" s="6"/>
      <c r="AP483" s="6"/>
      <c r="AQ483" s="6"/>
      <c r="AR483" s="6"/>
      <c r="AS483" s="6"/>
      <c r="AU483" s="6"/>
      <c r="AV483" s="6"/>
      <c r="AW483" s="6"/>
      <c r="AX483" s="6"/>
      <c r="AY483" s="6"/>
      <c r="AZ483" s="6"/>
      <c r="BA483" s="6"/>
      <c r="BB483" s="6"/>
      <c r="BC483" s="6"/>
      <c r="BD483" s="6"/>
      <c r="BE483" s="6"/>
    </row>
    <row r="484" spans="2:57" x14ac:dyDescent="0.3">
      <c r="B484" s="4" t="s">
        <v>507</v>
      </c>
      <c r="C484" s="4">
        <v>31</v>
      </c>
      <c r="D484" s="4" t="s">
        <v>17</v>
      </c>
      <c r="E484" s="4" t="s">
        <v>10</v>
      </c>
      <c r="F484" s="4" t="s">
        <v>13</v>
      </c>
      <c r="G484" s="18">
        <v>4233</v>
      </c>
      <c r="H484" s="10">
        <v>3</v>
      </c>
      <c r="I484" s="4">
        <v>1</v>
      </c>
      <c r="J484" s="4" t="s">
        <v>14</v>
      </c>
      <c r="K484" s="3" t="s">
        <v>9</v>
      </c>
      <c r="L484" s="3" t="str">
        <f>IF(Table1[[#This Row],[Monthly Income]]&lt;3000,"Low",IF(Table1[[#This Row],[Monthly Income]]&lt;7000,"Medium","High"))</f>
        <v>Medium</v>
      </c>
      <c r="AK484" s="4"/>
      <c r="AL484" s="4"/>
      <c r="AM484" s="4"/>
      <c r="AN484" s="4"/>
      <c r="AO484" s="4"/>
      <c r="AP484" s="4"/>
      <c r="AQ484" s="4"/>
      <c r="AR484" s="4"/>
      <c r="AS484" s="4"/>
      <c r="AU484" s="4"/>
      <c r="AV484" s="4"/>
      <c r="AW484" s="4"/>
      <c r="AX484" s="4"/>
      <c r="AY484" s="4"/>
      <c r="AZ484" s="4"/>
      <c r="BA484" s="4"/>
      <c r="BB484" s="4"/>
      <c r="BC484" s="4"/>
      <c r="BD484" s="4"/>
      <c r="BE484" s="4"/>
    </row>
    <row r="485" spans="2:57" x14ac:dyDescent="0.3">
      <c r="B485" s="6" t="s">
        <v>508</v>
      </c>
      <c r="C485" s="6">
        <v>35</v>
      </c>
      <c r="D485" s="6" t="s">
        <v>17</v>
      </c>
      <c r="E485" s="6" t="s">
        <v>15</v>
      </c>
      <c r="F485" s="6" t="s">
        <v>20</v>
      </c>
      <c r="G485" s="19">
        <v>3681</v>
      </c>
      <c r="H485" s="11">
        <v>3</v>
      </c>
      <c r="I485" s="6">
        <v>4</v>
      </c>
      <c r="J485" s="6" t="s">
        <v>14</v>
      </c>
      <c r="K485" s="5" t="s">
        <v>14</v>
      </c>
      <c r="L485" s="3" t="str">
        <f>IF(Table1[[#This Row],[Monthly Income]]&lt;3000,"Low",IF(Table1[[#This Row],[Monthly Income]]&lt;7000,"Medium","High"))</f>
        <v>Medium</v>
      </c>
      <c r="AK485" s="6"/>
      <c r="AL485" s="6"/>
      <c r="AM485" s="6"/>
      <c r="AN485" s="6"/>
      <c r="AO485" s="6"/>
      <c r="AP485" s="6"/>
      <c r="AQ485" s="6"/>
      <c r="AR485" s="6"/>
      <c r="AS485" s="6"/>
      <c r="AU485" s="6"/>
      <c r="AV485" s="6"/>
      <c r="AW485" s="6"/>
      <c r="AX485" s="6"/>
      <c r="AY485" s="6"/>
      <c r="AZ485" s="6"/>
      <c r="BA485" s="6"/>
      <c r="BB485" s="6"/>
      <c r="BC485" s="6"/>
      <c r="BD485" s="6"/>
      <c r="BE485" s="6"/>
    </row>
    <row r="486" spans="2:57" x14ac:dyDescent="0.3">
      <c r="B486" s="4" t="s">
        <v>509</v>
      </c>
      <c r="C486" s="4">
        <v>31</v>
      </c>
      <c r="D486" s="4" t="s">
        <v>17</v>
      </c>
      <c r="E486" s="4" t="s">
        <v>10</v>
      </c>
      <c r="F486" s="4" t="s">
        <v>13</v>
      </c>
      <c r="G486" s="18">
        <v>5460</v>
      </c>
      <c r="H486" s="10">
        <v>7</v>
      </c>
      <c r="I486" s="4">
        <v>4</v>
      </c>
      <c r="J486" s="4" t="s">
        <v>14</v>
      </c>
      <c r="K486" s="3" t="s">
        <v>14</v>
      </c>
      <c r="L486" s="3" t="str">
        <f>IF(Table1[[#This Row],[Monthly Income]]&lt;3000,"Low",IF(Table1[[#This Row],[Monthly Income]]&lt;7000,"Medium","High"))</f>
        <v>Medium</v>
      </c>
      <c r="AK486" s="4"/>
      <c r="AL486" s="4"/>
      <c r="AM486" s="4"/>
      <c r="AN486" s="4"/>
      <c r="AO486" s="4"/>
      <c r="AP486" s="4"/>
      <c r="AQ486" s="4"/>
      <c r="AR486" s="4"/>
      <c r="AS486" s="4"/>
      <c r="AU486" s="4"/>
      <c r="AV486" s="4"/>
      <c r="AW486" s="4"/>
      <c r="AX486" s="4"/>
      <c r="AY486" s="4"/>
      <c r="AZ486" s="4"/>
      <c r="BA486" s="4"/>
      <c r="BB486" s="4"/>
      <c r="BC486" s="4"/>
      <c r="BD486" s="4"/>
      <c r="BE486" s="4"/>
    </row>
    <row r="487" spans="2:57" x14ac:dyDescent="0.3">
      <c r="B487" s="6" t="s">
        <v>510</v>
      </c>
      <c r="C487" s="6">
        <v>27</v>
      </c>
      <c r="D487" s="6" t="s">
        <v>12</v>
      </c>
      <c r="E487" s="6" t="s">
        <v>15</v>
      </c>
      <c r="F487" s="6" t="s">
        <v>18</v>
      </c>
      <c r="G487" s="19">
        <v>2187</v>
      </c>
      <c r="H487" s="11">
        <v>5</v>
      </c>
      <c r="I487" s="6">
        <v>3</v>
      </c>
      <c r="J487" s="6" t="s">
        <v>14</v>
      </c>
      <c r="K487" s="5" t="s">
        <v>14</v>
      </c>
      <c r="L487" s="3" t="str">
        <f>IF(Table1[[#This Row],[Monthly Income]]&lt;3000,"Low",IF(Table1[[#This Row],[Monthly Income]]&lt;7000,"Medium","High"))</f>
        <v>Low</v>
      </c>
      <c r="AK487" s="6"/>
      <c r="AL487" s="6"/>
      <c r="AM487" s="6"/>
      <c r="AN487" s="6"/>
      <c r="AO487" s="6"/>
      <c r="AP487" s="6"/>
      <c r="AQ487" s="6"/>
      <c r="AR487" s="6"/>
      <c r="AS487" s="6"/>
      <c r="AU487" s="6"/>
      <c r="AV487" s="6"/>
      <c r="AW487" s="6"/>
      <c r="AX487" s="6"/>
      <c r="AY487" s="6"/>
      <c r="AZ487" s="6"/>
      <c r="BA487" s="6"/>
      <c r="BB487" s="6"/>
      <c r="BC487" s="6"/>
      <c r="BD487" s="6"/>
      <c r="BE487" s="6"/>
    </row>
    <row r="488" spans="2:57" x14ac:dyDescent="0.3">
      <c r="B488" s="4" t="s">
        <v>511</v>
      </c>
      <c r="C488" s="4">
        <v>37</v>
      </c>
      <c r="D488" s="4" t="s">
        <v>17</v>
      </c>
      <c r="E488" s="4" t="s">
        <v>10</v>
      </c>
      <c r="F488" s="4" t="s">
        <v>13</v>
      </c>
      <c r="G488" s="18">
        <v>9602</v>
      </c>
      <c r="H488" s="10">
        <v>3</v>
      </c>
      <c r="I488" s="4">
        <v>3</v>
      </c>
      <c r="J488" s="4" t="s">
        <v>9</v>
      </c>
      <c r="K488" s="3" t="s">
        <v>14</v>
      </c>
      <c r="L488" s="3" t="str">
        <f>IF(Table1[[#This Row],[Monthly Income]]&lt;3000,"Low",IF(Table1[[#This Row],[Monthly Income]]&lt;7000,"Medium","High"))</f>
        <v>High</v>
      </c>
      <c r="AK488" s="4"/>
      <c r="AL488" s="4"/>
      <c r="AM488" s="4"/>
      <c r="AN488" s="4"/>
      <c r="AO488" s="4"/>
      <c r="AP488" s="4"/>
      <c r="AQ488" s="4"/>
      <c r="AR488" s="4"/>
      <c r="AS488" s="4"/>
      <c r="AU488" s="4"/>
      <c r="AV488" s="4"/>
      <c r="AW488" s="4"/>
      <c r="AX488" s="4"/>
      <c r="AY488" s="4"/>
      <c r="AZ488" s="4"/>
      <c r="BA488" s="4"/>
      <c r="BB488" s="4"/>
      <c r="BC488" s="4"/>
      <c r="BD488" s="4"/>
      <c r="BE488" s="4"/>
    </row>
    <row r="489" spans="2:57" x14ac:dyDescent="0.3">
      <c r="B489" s="6" t="s">
        <v>512</v>
      </c>
      <c r="C489" s="6">
        <v>20</v>
      </c>
      <c r="D489" s="6" t="s">
        <v>12</v>
      </c>
      <c r="E489" s="6" t="s">
        <v>15</v>
      </c>
      <c r="F489" s="6" t="s">
        <v>18</v>
      </c>
      <c r="G489" s="19">
        <v>2836</v>
      </c>
      <c r="H489" s="11">
        <v>1</v>
      </c>
      <c r="I489" s="6">
        <v>2</v>
      </c>
      <c r="J489" s="6" t="s">
        <v>14</v>
      </c>
      <c r="K489" s="5" t="s">
        <v>14</v>
      </c>
      <c r="L489" s="3" t="str">
        <f>IF(Table1[[#This Row],[Monthly Income]]&lt;3000,"Low",IF(Table1[[#This Row],[Monthly Income]]&lt;7000,"Medium","High"))</f>
        <v>Low</v>
      </c>
      <c r="AK489" s="6"/>
      <c r="AL489" s="6"/>
      <c r="AM489" s="6"/>
      <c r="AN489" s="6"/>
      <c r="AO489" s="6"/>
      <c r="AP489" s="6"/>
      <c r="AQ489" s="6"/>
      <c r="AR489" s="6"/>
      <c r="AS489" s="6"/>
      <c r="AU489" s="6"/>
      <c r="AV489" s="6"/>
      <c r="AW489" s="6"/>
      <c r="AX489" s="6"/>
      <c r="AY489" s="6"/>
      <c r="AZ489" s="6"/>
      <c r="BA489" s="6"/>
      <c r="BB489" s="6"/>
      <c r="BC489" s="6"/>
      <c r="BD489" s="6"/>
      <c r="BE489" s="6"/>
    </row>
    <row r="490" spans="2:57" x14ac:dyDescent="0.3">
      <c r="B490" s="4" t="s">
        <v>513</v>
      </c>
      <c r="C490" s="4">
        <v>42</v>
      </c>
      <c r="D490" s="4" t="s">
        <v>12</v>
      </c>
      <c r="E490" s="4" t="s">
        <v>15</v>
      </c>
      <c r="F490" s="4" t="s">
        <v>29</v>
      </c>
      <c r="G490" s="18">
        <v>4089</v>
      </c>
      <c r="H490" s="10">
        <v>10</v>
      </c>
      <c r="I490" s="4">
        <v>4</v>
      </c>
      <c r="J490" s="4" t="s">
        <v>14</v>
      </c>
      <c r="K490" s="3" t="s">
        <v>14</v>
      </c>
      <c r="L490" s="3" t="str">
        <f>IF(Table1[[#This Row],[Monthly Income]]&lt;3000,"Low",IF(Table1[[#This Row],[Monthly Income]]&lt;7000,"Medium","High"))</f>
        <v>Medium</v>
      </c>
      <c r="AK490" s="4"/>
      <c r="AL490" s="4"/>
      <c r="AM490" s="4"/>
      <c r="AN490" s="4"/>
      <c r="AO490" s="4"/>
      <c r="AP490" s="4"/>
      <c r="AQ490" s="4"/>
      <c r="AR490" s="4"/>
      <c r="AS490" s="4"/>
      <c r="AU490" s="4"/>
      <c r="AV490" s="4"/>
      <c r="AW490" s="4"/>
      <c r="AX490" s="4"/>
      <c r="AY490" s="4"/>
      <c r="AZ490" s="4"/>
      <c r="BA490" s="4"/>
      <c r="BB490" s="4"/>
      <c r="BC490" s="4"/>
      <c r="BD490" s="4"/>
      <c r="BE490" s="4"/>
    </row>
    <row r="491" spans="2:57" x14ac:dyDescent="0.3">
      <c r="B491" s="6" t="s">
        <v>514</v>
      </c>
      <c r="C491" s="6">
        <v>43</v>
      </c>
      <c r="D491" s="6" t="s">
        <v>17</v>
      </c>
      <c r="E491" s="6" t="s">
        <v>15</v>
      </c>
      <c r="F491" s="6" t="s">
        <v>45</v>
      </c>
      <c r="G491" s="19">
        <v>16627</v>
      </c>
      <c r="H491" s="11">
        <v>1</v>
      </c>
      <c r="I491" s="6">
        <v>4</v>
      </c>
      <c r="J491" s="6" t="s">
        <v>9</v>
      </c>
      <c r="K491" s="5" t="s">
        <v>14</v>
      </c>
      <c r="L491" s="3" t="str">
        <f>IF(Table1[[#This Row],[Monthly Income]]&lt;3000,"Low",IF(Table1[[#This Row],[Monthly Income]]&lt;7000,"Medium","High"))</f>
        <v>High</v>
      </c>
      <c r="AK491" s="6"/>
      <c r="AL491" s="6"/>
      <c r="AM491" s="6"/>
      <c r="AN491" s="6"/>
      <c r="AO491" s="6"/>
      <c r="AP491" s="6"/>
      <c r="AQ491" s="6"/>
      <c r="AR491" s="6"/>
      <c r="AS491" s="6"/>
      <c r="AU491" s="6"/>
      <c r="AV491" s="6"/>
      <c r="AW491" s="6"/>
      <c r="AX491" s="6"/>
      <c r="AY491" s="6"/>
      <c r="AZ491" s="6"/>
      <c r="BA491" s="6"/>
      <c r="BB491" s="6"/>
      <c r="BC491" s="6"/>
      <c r="BD491" s="6"/>
      <c r="BE491" s="6"/>
    </row>
    <row r="492" spans="2:57" x14ac:dyDescent="0.3">
      <c r="B492" s="4" t="s">
        <v>515</v>
      </c>
      <c r="C492" s="4">
        <v>38</v>
      </c>
      <c r="D492" s="4" t="s">
        <v>12</v>
      </c>
      <c r="E492" s="4" t="s">
        <v>15</v>
      </c>
      <c r="F492" s="4" t="s">
        <v>18</v>
      </c>
      <c r="G492" s="18">
        <v>2619</v>
      </c>
      <c r="H492" s="10">
        <v>0</v>
      </c>
      <c r="I492" s="4">
        <v>1</v>
      </c>
      <c r="J492" s="4" t="s">
        <v>14</v>
      </c>
      <c r="K492" s="3" t="s">
        <v>14</v>
      </c>
      <c r="L492" s="3" t="str">
        <f>IF(Table1[[#This Row],[Monthly Income]]&lt;3000,"Low",IF(Table1[[#This Row],[Monthly Income]]&lt;7000,"Medium","High"))</f>
        <v>Low</v>
      </c>
      <c r="AK492" s="4"/>
      <c r="AL492" s="4"/>
      <c r="AM492" s="4"/>
      <c r="AN492" s="4"/>
      <c r="AO492" s="4"/>
      <c r="AP492" s="4"/>
      <c r="AQ492" s="4"/>
      <c r="AR492" s="4"/>
      <c r="AS492" s="4"/>
      <c r="AU492" s="4"/>
      <c r="AV492" s="4"/>
      <c r="AW492" s="4"/>
      <c r="AX492" s="4"/>
      <c r="AY492" s="4"/>
      <c r="AZ492" s="4"/>
      <c r="BA492" s="4"/>
      <c r="BB492" s="4"/>
      <c r="BC492" s="4"/>
      <c r="BD492" s="4"/>
      <c r="BE492" s="4"/>
    </row>
    <row r="493" spans="2:57" x14ac:dyDescent="0.3">
      <c r="B493" s="6" t="s">
        <v>516</v>
      </c>
      <c r="C493" s="6">
        <v>43</v>
      </c>
      <c r="D493" s="6" t="s">
        <v>17</v>
      </c>
      <c r="E493" s="6" t="s">
        <v>15</v>
      </c>
      <c r="F493" s="6" t="s">
        <v>20</v>
      </c>
      <c r="G493" s="19">
        <v>5679</v>
      </c>
      <c r="H493" s="11">
        <v>8</v>
      </c>
      <c r="I493" s="6">
        <v>3</v>
      </c>
      <c r="J493" s="6" t="s">
        <v>9</v>
      </c>
      <c r="K493" s="5" t="s">
        <v>14</v>
      </c>
      <c r="L493" s="3" t="str">
        <f>IF(Table1[[#This Row],[Monthly Income]]&lt;3000,"Low",IF(Table1[[#This Row],[Monthly Income]]&lt;7000,"Medium","High"))</f>
        <v>Medium</v>
      </c>
      <c r="AK493" s="6"/>
      <c r="AL493" s="6"/>
      <c r="AM493" s="6"/>
      <c r="AN493" s="6"/>
      <c r="AO493" s="6"/>
      <c r="AP493" s="6"/>
      <c r="AQ493" s="6"/>
      <c r="AR493" s="6"/>
      <c r="AS493" s="6"/>
      <c r="AU493" s="6"/>
      <c r="AV493" s="6"/>
      <c r="AW493" s="6"/>
      <c r="AX493" s="6"/>
      <c r="AY493" s="6"/>
      <c r="AZ493" s="6"/>
      <c r="BA493" s="6"/>
      <c r="BB493" s="6"/>
      <c r="BC493" s="6"/>
      <c r="BD493" s="6"/>
      <c r="BE493" s="6"/>
    </row>
    <row r="494" spans="2:57" x14ac:dyDescent="0.3">
      <c r="B494" s="4" t="s">
        <v>517</v>
      </c>
      <c r="C494" s="4">
        <v>48</v>
      </c>
      <c r="D494" s="4" t="s">
        <v>12</v>
      </c>
      <c r="E494" s="4" t="s">
        <v>15</v>
      </c>
      <c r="F494" s="4" t="s">
        <v>39</v>
      </c>
      <c r="G494" s="18">
        <v>15402</v>
      </c>
      <c r="H494" s="10">
        <v>3</v>
      </c>
      <c r="I494" s="4">
        <v>1</v>
      </c>
      <c r="J494" s="4" t="s">
        <v>14</v>
      </c>
      <c r="K494" s="3" t="s">
        <v>14</v>
      </c>
      <c r="L494" s="3" t="str">
        <f>IF(Table1[[#This Row],[Monthly Income]]&lt;3000,"Low",IF(Table1[[#This Row],[Monthly Income]]&lt;7000,"Medium","High"))</f>
        <v>High</v>
      </c>
      <c r="AK494" s="4"/>
      <c r="AL494" s="4"/>
      <c r="AM494" s="4"/>
      <c r="AN494" s="4"/>
      <c r="AO494" s="4"/>
      <c r="AP494" s="4"/>
      <c r="AQ494" s="4"/>
      <c r="AR494" s="4"/>
      <c r="AS494" s="4"/>
      <c r="AU494" s="4"/>
      <c r="AV494" s="4"/>
      <c r="AW494" s="4"/>
      <c r="AX494" s="4"/>
      <c r="AY494" s="4"/>
      <c r="AZ494" s="4"/>
      <c r="BA494" s="4"/>
      <c r="BB494" s="4"/>
      <c r="BC494" s="4"/>
      <c r="BD494" s="4"/>
      <c r="BE494" s="4"/>
    </row>
    <row r="495" spans="2:57" x14ac:dyDescent="0.3">
      <c r="B495" s="6" t="s">
        <v>518</v>
      </c>
      <c r="C495" s="6">
        <v>44</v>
      </c>
      <c r="D495" s="6" t="s">
        <v>12</v>
      </c>
      <c r="E495" s="6" t="s">
        <v>102</v>
      </c>
      <c r="F495" s="6" t="s">
        <v>104</v>
      </c>
      <c r="G495" s="19">
        <v>5985</v>
      </c>
      <c r="H495" s="11">
        <v>2</v>
      </c>
      <c r="I495" s="6">
        <v>3</v>
      </c>
      <c r="J495" s="6" t="s">
        <v>14</v>
      </c>
      <c r="K495" s="5" t="s">
        <v>14</v>
      </c>
      <c r="L495" s="3" t="str">
        <f>IF(Table1[[#This Row],[Monthly Income]]&lt;3000,"Low",IF(Table1[[#This Row],[Monthly Income]]&lt;7000,"Medium","High"))</f>
        <v>Medium</v>
      </c>
      <c r="AK495" s="6"/>
      <c r="AL495" s="6"/>
      <c r="AM495" s="6"/>
      <c r="AN495" s="6"/>
      <c r="AO495" s="6"/>
      <c r="AP495" s="6"/>
      <c r="AQ495" s="6"/>
      <c r="AR495" s="6"/>
      <c r="AS495" s="6"/>
      <c r="AU495" s="6"/>
      <c r="AV495" s="6"/>
      <c r="AW495" s="6"/>
      <c r="AX495" s="6"/>
      <c r="AY495" s="6"/>
      <c r="AZ495" s="6"/>
      <c r="BA495" s="6"/>
      <c r="BB495" s="6"/>
      <c r="BC495" s="6"/>
      <c r="BD495" s="6"/>
      <c r="BE495" s="6"/>
    </row>
    <row r="496" spans="2:57" x14ac:dyDescent="0.3">
      <c r="B496" s="4" t="s">
        <v>519</v>
      </c>
      <c r="C496" s="4">
        <v>34</v>
      </c>
      <c r="D496" s="4" t="s">
        <v>12</v>
      </c>
      <c r="E496" s="4" t="s">
        <v>10</v>
      </c>
      <c r="F496" s="4" t="s">
        <v>43</v>
      </c>
      <c r="G496" s="18">
        <v>2579</v>
      </c>
      <c r="H496" s="10">
        <v>8</v>
      </c>
      <c r="I496" s="4">
        <v>3</v>
      </c>
      <c r="J496" s="4" t="s">
        <v>9</v>
      </c>
      <c r="K496" s="3" t="s">
        <v>14</v>
      </c>
      <c r="L496" s="3" t="str">
        <f>IF(Table1[[#This Row],[Monthly Income]]&lt;3000,"Low",IF(Table1[[#This Row],[Monthly Income]]&lt;7000,"Medium","High"))</f>
        <v>Low</v>
      </c>
      <c r="AK496" s="4"/>
      <c r="AL496" s="4"/>
      <c r="AM496" s="4"/>
      <c r="AN496" s="4"/>
      <c r="AO496" s="4"/>
      <c r="AP496" s="4"/>
      <c r="AQ496" s="4"/>
      <c r="AR496" s="4"/>
      <c r="AS496" s="4"/>
      <c r="AU496" s="4"/>
      <c r="AV496" s="4"/>
      <c r="AW496" s="4"/>
      <c r="AX496" s="4"/>
      <c r="AY496" s="4"/>
      <c r="AZ496" s="4"/>
      <c r="BA496" s="4"/>
      <c r="BB496" s="4"/>
      <c r="BC496" s="4"/>
      <c r="BD496" s="4"/>
      <c r="BE496" s="4"/>
    </row>
    <row r="497" spans="2:57" x14ac:dyDescent="0.3">
      <c r="B497" s="6" t="s">
        <v>520</v>
      </c>
      <c r="C497" s="6">
        <v>27</v>
      </c>
      <c r="D497" s="6" t="s">
        <v>17</v>
      </c>
      <c r="E497" s="6" t="s">
        <v>10</v>
      </c>
      <c r="F497" s="6" t="s">
        <v>43</v>
      </c>
      <c r="G497" s="19">
        <v>3041</v>
      </c>
      <c r="H497" s="11">
        <v>4</v>
      </c>
      <c r="I497" s="6">
        <v>1</v>
      </c>
      <c r="J497" s="6" t="s">
        <v>14</v>
      </c>
      <c r="K497" s="5" t="s">
        <v>9</v>
      </c>
      <c r="L497" s="3" t="str">
        <f>IF(Table1[[#This Row],[Monthly Income]]&lt;3000,"Low",IF(Table1[[#This Row],[Monthly Income]]&lt;7000,"Medium","High"))</f>
        <v>Medium</v>
      </c>
      <c r="AK497" s="6"/>
      <c r="AL497" s="6"/>
      <c r="AM497" s="6"/>
      <c r="AN497" s="6"/>
      <c r="AO497" s="6"/>
      <c r="AP497" s="6"/>
      <c r="AQ497" s="6"/>
      <c r="AR497" s="6"/>
      <c r="AS497" s="6"/>
      <c r="AU497" s="6"/>
      <c r="AV497" s="6"/>
      <c r="AW497" s="6"/>
      <c r="AX497" s="6"/>
      <c r="AY497" s="6"/>
      <c r="AZ497" s="6"/>
      <c r="BA497" s="6"/>
      <c r="BB497" s="6"/>
      <c r="BC497" s="6"/>
      <c r="BD497" s="6"/>
      <c r="BE497" s="6"/>
    </row>
    <row r="498" spans="2:57" x14ac:dyDescent="0.3">
      <c r="B498" s="4" t="s">
        <v>521</v>
      </c>
      <c r="C498" s="4">
        <v>21</v>
      </c>
      <c r="D498" s="4" t="s">
        <v>17</v>
      </c>
      <c r="E498" s="4" t="s">
        <v>10</v>
      </c>
      <c r="F498" s="4" t="s">
        <v>43</v>
      </c>
      <c r="G498" s="18">
        <v>3447</v>
      </c>
      <c r="H498" s="10">
        <v>3</v>
      </c>
      <c r="I498" s="4">
        <v>3</v>
      </c>
      <c r="J498" s="4" t="s">
        <v>14</v>
      </c>
      <c r="K498" s="3" t="s">
        <v>14</v>
      </c>
      <c r="L498" s="3" t="str">
        <f>IF(Table1[[#This Row],[Monthly Income]]&lt;3000,"Low",IF(Table1[[#This Row],[Monthly Income]]&lt;7000,"Medium","High"))</f>
        <v>Medium</v>
      </c>
      <c r="AK498" s="4"/>
      <c r="AL498" s="4"/>
      <c r="AM498" s="4"/>
      <c r="AN498" s="4"/>
      <c r="AO498" s="4"/>
      <c r="AP498" s="4"/>
      <c r="AQ498" s="4"/>
      <c r="AR498" s="4"/>
      <c r="AS498" s="4"/>
      <c r="AU498" s="4"/>
      <c r="AV498" s="4"/>
      <c r="AW498" s="4"/>
      <c r="AX498" s="4"/>
      <c r="AY498" s="4"/>
      <c r="AZ498" s="4"/>
      <c r="BA498" s="4"/>
      <c r="BB498" s="4"/>
      <c r="BC498" s="4"/>
      <c r="BD498" s="4"/>
      <c r="BE498" s="4"/>
    </row>
    <row r="499" spans="2:57" x14ac:dyDescent="0.3">
      <c r="B499" s="6" t="s">
        <v>522</v>
      </c>
      <c r="C499" s="6">
        <v>44</v>
      </c>
      <c r="D499" s="6" t="s">
        <v>17</v>
      </c>
      <c r="E499" s="6" t="s">
        <v>15</v>
      </c>
      <c r="F499" s="6" t="s">
        <v>39</v>
      </c>
      <c r="G499" s="19">
        <v>19513</v>
      </c>
      <c r="H499" s="11">
        <v>2</v>
      </c>
      <c r="I499" s="6">
        <v>4</v>
      </c>
      <c r="J499" s="6" t="s">
        <v>9</v>
      </c>
      <c r="K499" s="5" t="s">
        <v>14</v>
      </c>
      <c r="L499" s="3" t="str">
        <f>IF(Table1[[#This Row],[Monthly Income]]&lt;3000,"Low",IF(Table1[[#This Row],[Monthly Income]]&lt;7000,"Medium","High"))</f>
        <v>High</v>
      </c>
      <c r="AK499" s="6"/>
      <c r="AL499" s="6"/>
      <c r="AM499" s="6"/>
      <c r="AN499" s="6"/>
      <c r="AO499" s="6"/>
      <c r="AP499" s="6"/>
      <c r="AQ499" s="6"/>
      <c r="AR499" s="6"/>
      <c r="AS499" s="6"/>
      <c r="AU499" s="6"/>
      <c r="AV499" s="6"/>
      <c r="AW499" s="6"/>
      <c r="AX499" s="6"/>
      <c r="AY499" s="6"/>
      <c r="AZ499" s="6"/>
      <c r="BA499" s="6"/>
      <c r="BB499" s="6"/>
      <c r="BC499" s="6"/>
      <c r="BD499" s="6"/>
      <c r="BE499" s="6"/>
    </row>
    <row r="500" spans="2:57" x14ac:dyDescent="0.3">
      <c r="B500" s="4" t="s">
        <v>523</v>
      </c>
      <c r="C500" s="4">
        <v>22</v>
      </c>
      <c r="D500" s="4" t="s">
        <v>17</v>
      </c>
      <c r="E500" s="4" t="s">
        <v>15</v>
      </c>
      <c r="F500" s="4" t="s">
        <v>18</v>
      </c>
      <c r="G500" s="18">
        <v>2773</v>
      </c>
      <c r="H500" s="10">
        <v>2</v>
      </c>
      <c r="I500" s="4">
        <v>3</v>
      </c>
      <c r="J500" s="4" t="s">
        <v>14</v>
      </c>
      <c r="K500" s="3" t="s">
        <v>14</v>
      </c>
      <c r="L500" s="3" t="str">
        <f>IF(Table1[[#This Row],[Monthly Income]]&lt;3000,"Low",IF(Table1[[#This Row],[Monthly Income]]&lt;7000,"Medium","High"))</f>
        <v>Low</v>
      </c>
      <c r="AK500" s="4"/>
      <c r="AL500" s="4"/>
      <c r="AM500" s="4"/>
      <c r="AN500" s="4"/>
      <c r="AO500" s="4"/>
      <c r="AP500" s="4"/>
      <c r="AQ500" s="4"/>
      <c r="AR500" s="4"/>
      <c r="AS500" s="4"/>
      <c r="AU500" s="4"/>
      <c r="AV500" s="4"/>
      <c r="AW500" s="4"/>
      <c r="AX500" s="4"/>
      <c r="AY500" s="4"/>
      <c r="AZ500" s="4"/>
      <c r="BA500" s="4"/>
      <c r="BB500" s="4"/>
      <c r="BC500" s="4"/>
      <c r="BD500" s="4"/>
      <c r="BE500" s="4"/>
    </row>
    <row r="501" spans="2:57" x14ac:dyDescent="0.3">
      <c r="B501" s="6" t="s">
        <v>524</v>
      </c>
      <c r="C501" s="6">
        <v>33</v>
      </c>
      <c r="D501" s="6" t="s">
        <v>17</v>
      </c>
      <c r="E501" s="6" t="s">
        <v>10</v>
      </c>
      <c r="F501" s="6" t="s">
        <v>13</v>
      </c>
      <c r="G501" s="19">
        <v>7104</v>
      </c>
      <c r="H501" s="11">
        <v>5</v>
      </c>
      <c r="I501" s="6">
        <v>3</v>
      </c>
      <c r="J501" s="6" t="s">
        <v>14</v>
      </c>
      <c r="K501" s="5" t="s">
        <v>14</v>
      </c>
      <c r="L501" s="3" t="str">
        <f>IF(Table1[[#This Row],[Monthly Income]]&lt;3000,"Low",IF(Table1[[#This Row],[Monthly Income]]&lt;7000,"Medium","High"))</f>
        <v>High</v>
      </c>
      <c r="AK501" s="6"/>
      <c r="AL501" s="6"/>
      <c r="AM501" s="6"/>
      <c r="AN501" s="6"/>
      <c r="AO501" s="6"/>
      <c r="AP501" s="6"/>
      <c r="AQ501" s="6"/>
      <c r="AR501" s="6"/>
      <c r="AS501" s="6"/>
      <c r="AU501" s="6"/>
      <c r="AV501" s="6"/>
      <c r="AW501" s="6"/>
      <c r="AX501" s="6"/>
      <c r="AY501" s="6"/>
      <c r="AZ501" s="6"/>
      <c r="BA501" s="6"/>
      <c r="BB501" s="6"/>
      <c r="BC501" s="6"/>
      <c r="BD501" s="6"/>
      <c r="BE501" s="6"/>
    </row>
    <row r="502" spans="2:57" x14ac:dyDescent="0.3">
      <c r="B502" s="4" t="s">
        <v>525</v>
      </c>
      <c r="C502" s="4">
        <v>32</v>
      </c>
      <c r="D502" s="4" t="s">
        <v>12</v>
      </c>
      <c r="E502" s="4" t="s">
        <v>15</v>
      </c>
      <c r="F502" s="4" t="s">
        <v>18</v>
      </c>
      <c r="G502" s="18">
        <v>6322</v>
      </c>
      <c r="H502" s="10">
        <v>6</v>
      </c>
      <c r="I502" s="4">
        <v>4</v>
      </c>
      <c r="J502" s="4" t="s">
        <v>9</v>
      </c>
      <c r="K502" s="3" t="s">
        <v>14</v>
      </c>
      <c r="L502" s="3" t="str">
        <f>IF(Table1[[#This Row],[Monthly Income]]&lt;3000,"Low",IF(Table1[[#This Row],[Monthly Income]]&lt;7000,"Medium","High"))</f>
        <v>Medium</v>
      </c>
      <c r="AK502" s="4"/>
      <c r="AL502" s="4"/>
      <c r="AM502" s="4"/>
      <c r="AN502" s="4"/>
      <c r="AO502" s="4"/>
      <c r="AP502" s="4"/>
      <c r="AQ502" s="4"/>
      <c r="AR502" s="4"/>
      <c r="AS502" s="4"/>
      <c r="AU502" s="4"/>
      <c r="AV502" s="4"/>
      <c r="AW502" s="4"/>
      <c r="AX502" s="4"/>
      <c r="AY502" s="4"/>
      <c r="AZ502" s="4"/>
      <c r="BA502" s="4"/>
      <c r="BB502" s="4"/>
      <c r="BC502" s="4"/>
      <c r="BD502" s="4"/>
      <c r="BE502" s="4"/>
    </row>
    <row r="503" spans="2:57" x14ac:dyDescent="0.3">
      <c r="B503" s="6" t="s">
        <v>526</v>
      </c>
      <c r="C503" s="6">
        <v>30</v>
      </c>
      <c r="D503" s="6" t="s">
        <v>12</v>
      </c>
      <c r="E503" s="6" t="s">
        <v>15</v>
      </c>
      <c r="F503" s="6" t="s">
        <v>18</v>
      </c>
      <c r="G503" s="19">
        <v>2083</v>
      </c>
      <c r="H503" s="11">
        <v>1</v>
      </c>
      <c r="I503" s="6">
        <v>3</v>
      </c>
      <c r="J503" s="6" t="s">
        <v>14</v>
      </c>
      <c r="K503" s="5" t="s">
        <v>14</v>
      </c>
      <c r="L503" s="3" t="str">
        <f>IF(Table1[[#This Row],[Monthly Income]]&lt;3000,"Low",IF(Table1[[#This Row],[Monthly Income]]&lt;7000,"Medium","High"))</f>
        <v>Low</v>
      </c>
      <c r="AK503" s="6"/>
      <c r="AL503" s="6"/>
      <c r="AM503" s="6"/>
      <c r="AN503" s="6"/>
      <c r="AO503" s="6"/>
      <c r="AP503" s="6"/>
      <c r="AQ503" s="6"/>
      <c r="AR503" s="6"/>
      <c r="AS503" s="6"/>
      <c r="AU503" s="6"/>
      <c r="AV503" s="6"/>
      <c r="AW503" s="6"/>
      <c r="AX503" s="6"/>
      <c r="AY503" s="6"/>
      <c r="AZ503" s="6"/>
      <c r="BA503" s="6"/>
      <c r="BB503" s="6"/>
      <c r="BC503" s="6"/>
      <c r="BD503" s="6"/>
      <c r="BE503" s="6"/>
    </row>
    <row r="504" spans="2:57" x14ac:dyDescent="0.3">
      <c r="B504" s="4" t="s">
        <v>527</v>
      </c>
      <c r="C504" s="4">
        <v>53</v>
      </c>
      <c r="D504" s="4" t="s">
        <v>12</v>
      </c>
      <c r="E504" s="4" t="s">
        <v>10</v>
      </c>
      <c r="F504" s="4" t="s">
        <v>13</v>
      </c>
      <c r="G504" s="18">
        <v>8381</v>
      </c>
      <c r="H504" s="10">
        <v>14</v>
      </c>
      <c r="I504" s="4">
        <v>1</v>
      </c>
      <c r="J504" s="4" t="s">
        <v>14</v>
      </c>
      <c r="K504" s="3" t="s">
        <v>14</v>
      </c>
      <c r="L504" s="3" t="str">
        <f>IF(Table1[[#This Row],[Monthly Income]]&lt;3000,"Low",IF(Table1[[#This Row],[Monthly Income]]&lt;7000,"Medium","High"))</f>
        <v>High</v>
      </c>
      <c r="AK504" s="4"/>
      <c r="AL504" s="4"/>
      <c r="AM504" s="4"/>
      <c r="AN504" s="4"/>
      <c r="AO504" s="4"/>
      <c r="AP504" s="4"/>
      <c r="AQ504" s="4"/>
      <c r="AR504" s="4"/>
      <c r="AS504" s="4"/>
      <c r="AU504" s="4"/>
      <c r="AV504" s="4"/>
      <c r="AW504" s="4"/>
      <c r="AX504" s="4"/>
      <c r="AY504" s="4"/>
      <c r="AZ504" s="4"/>
      <c r="BA504" s="4"/>
      <c r="BB504" s="4"/>
      <c r="BC504" s="4"/>
      <c r="BD504" s="4"/>
      <c r="BE504" s="4"/>
    </row>
    <row r="505" spans="2:57" x14ac:dyDescent="0.3">
      <c r="B505" s="6" t="s">
        <v>528</v>
      </c>
      <c r="C505" s="6">
        <v>34</v>
      </c>
      <c r="D505" s="6" t="s">
        <v>17</v>
      </c>
      <c r="E505" s="6" t="s">
        <v>15</v>
      </c>
      <c r="F505" s="6" t="s">
        <v>18</v>
      </c>
      <c r="G505" s="19">
        <v>2691</v>
      </c>
      <c r="H505" s="11">
        <v>10</v>
      </c>
      <c r="I505" s="6">
        <v>4</v>
      </c>
      <c r="J505" s="6" t="s">
        <v>14</v>
      </c>
      <c r="K505" s="5" t="s">
        <v>14</v>
      </c>
      <c r="L505" s="3" t="str">
        <f>IF(Table1[[#This Row],[Monthly Income]]&lt;3000,"Low",IF(Table1[[#This Row],[Monthly Income]]&lt;7000,"Medium","High"))</f>
        <v>Low</v>
      </c>
      <c r="AK505" s="6"/>
      <c r="AL505" s="6"/>
      <c r="AM505" s="6"/>
      <c r="AN505" s="6"/>
      <c r="AO505" s="6"/>
      <c r="AP505" s="6"/>
      <c r="AQ505" s="6"/>
      <c r="AR505" s="6"/>
      <c r="AS505" s="6"/>
      <c r="AU505" s="6"/>
      <c r="AV505" s="6"/>
      <c r="AW505" s="6"/>
      <c r="AX505" s="6"/>
      <c r="AY505" s="6"/>
      <c r="AZ505" s="6"/>
      <c r="BA505" s="6"/>
      <c r="BB505" s="6"/>
      <c r="BC505" s="6"/>
      <c r="BD505" s="6"/>
      <c r="BE505" s="6"/>
    </row>
    <row r="506" spans="2:57" x14ac:dyDescent="0.3">
      <c r="B506" s="4" t="s">
        <v>529</v>
      </c>
      <c r="C506" s="4">
        <v>45</v>
      </c>
      <c r="D506" s="4" t="s">
        <v>12</v>
      </c>
      <c r="E506" s="4" t="s">
        <v>10</v>
      </c>
      <c r="F506" s="4" t="s">
        <v>13</v>
      </c>
      <c r="G506" s="18">
        <v>4286</v>
      </c>
      <c r="H506" s="10">
        <v>1</v>
      </c>
      <c r="I506" s="4">
        <v>1</v>
      </c>
      <c r="J506" s="4" t="s">
        <v>14</v>
      </c>
      <c r="K506" s="3" t="s">
        <v>9</v>
      </c>
      <c r="L506" s="3" t="str">
        <f>IF(Table1[[#This Row],[Monthly Income]]&lt;3000,"Low",IF(Table1[[#This Row],[Monthly Income]]&lt;7000,"Medium","High"))</f>
        <v>Medium</v>
      </c>
      <c r="AK506" s="4"/>
      <c r="AL506" s="4"/>
      <c r="AM506" s="4"/>
      <c r="AN506" s="4"/>
      <c r="AO506" s="4"/>
      <c r="AP506" s="4"/>
      <c r="AQ506" s="4"/>
      <c r="AR506" s="4"/>
      <c r="AS506" s="4"/>
      <c r="AU506" s="4"/>
      <c r="AV506" s="4"/>
      <c r="AW506" s="4"/>
      <c r="AX506" s="4"/>
      <c r="AY506" s="4"/>
      <c r="AZ506" s="4"/>
      <c r="BA506" s="4"/>
      <c r="BB506" s="4"/>
      <c r="BC506" s="4"/>
      <c r="BD506" s="4"/>
      <c r="BE506" s="4"/>
    </row>
    <row r="507" spans="2:57" x14ac:dyDescent="0.3">
      <c r="B507" s="6" t="s">
        <v>530</v>
      </c>
      <c r="C507" s="6">
        <v>26</v>
      </c>
      <c r="D507" s="6" t="s">
        <v>12</v>
      </c>
      <c r="E507" s="6" t="s">
        <v>15</v>
      </c>
      <c r="F507" s="6" t="s">
        <v>20</v>
      </c>
      <c r="G507" s="19">
        <v>2659</v>
      </c>
      <c r="H507" s="11">
        <v>3</v>
      </c>
      <c r="I507" s="6">
        <v>4</v>
      </c>
      <c r="J507" s="6" t="s">
        <v>9</v>
      </c>
      <c r="K507" s="5" t="s">
        <v>14</v>
      </c>
      <c r="L507" s="3" t="str">
        <f>IF(Table1[[#This Row],[Monthly Income]]&lt;3000,"Low",IF(Table1[[#This Row],[Monthly Income]]&lt;7000,"Medium","High"))</f>
        <v>Low</v>
      </c>
      <c r="AK507" s="6"/>
      <c r="AL507" s="6"/>
      <c r="AM507" s="6"/>
      <c r="AN507" s="6"/>
      <c r="AO507" s="6"/>
      <c r="AP507" s="6"/>
      <c r="AQ507" s="6"/>
      <c r="AR507" s="6"/>
      <c r="AS507" s="6"/>
      <c r="AU507" s="6"/>
      <c r="AV507" s="6"/>
      <c r="AW507" s="6"/>
      <c r="AX507" s="6"/>
      <c r="AY507" s="6"/>
      <c r="AZ507" s="6"/>
      <c r="BA507" s="6"/>
      <c r="BB507" s="6"/>
      <c r="BC507" s="6"/>
      <c r="BD507" s="6"/>
      <c r="BE507" s="6"/>
    </row>
    <row r="508" spans="2:57" x14ac:dyDescent="0.3">
      <c r="B508" s="4" t="s">
        <v>531</v>
      </c>
      <c r="C508" s="4">
        <v>37</v>
      </c>
      <c r="D508" s="4" t="s">
        <v>17</v>
      </c>
      <c r="E508" s="4" t="s">
        <v>15</v>
      </c>
      <c r="F508" s="4" t="s">
        <v>27</v>
      </c>
      <c r="G508" s="18">
        <v>9434</v>
      </c>
      <c r="H508" s="10">
        <v>10</v>
      </c>
      <c r="I508" s="4">
        <v>3</v>
      </c>
      <c r="J508" s="4" t="s">
        <v>14</v>
      </c>
      <c r="K508" s="3" t="s">
        <v>14</v>
      </c>
      <c r="L508" s="3" t="str">
        <f>IF(Table1[[#This Row],[Monthly Income]]&lt;3000,"Low",IF(Table1[[#This Row],[Monthly Income]]&lt;7000,"Medium","High"))</f>
        <v>High</v>
      </c>
      <c r="AK508" s="4"/>
      <c r="AL508" s="4"/>
      <c r="AM508" s="4"/>
      <c r="AN508" s="4"/>
      <c r="AO508" s="4"/>
      <c r="AP508" s="4"/>
      <c r="AQ508" s="4"/>
      <c r="AR508" s="4"/>
      <c r="AS508" s="4"/>
      <c r="AU508" s="4"/>
      <c r="AV508" s="4"/>
      <c r="AW508" s="4"/>
      <c r="AX508" s="4"/>
      <c r="AY508" s="4"/>
      <c r="AZ508" s="4"/>
      <c r="BA508" s="4"/>
      <c r="BB508" s="4"/>
      <c r="BC508" s="4"/>
      <c r="BD508" s="4"/>
      <c r="BE508" s="4"/>
    </row>
    <row r="509" spans="2:57" x14ac:dyDescent="0.3">
      <c r="B509" s="6" t="s">
        <v>532</v>
      </c>
      <c r="C509" s="6">
        <v>29</v>
      </c>
      <c r="D509" s="6" t="s">
        <v>12</v>
      </c>
      <c r="E509" s="6" t="s">
        <v>10</v>
      </c>
      <c r="F509" s="6" t="s">
        <v>13</v>
      </c>
      <c r="G509" s="19">
        <v>5561</v>
      </c>
      <c r="H509" s="11">
        <v>6</v>
      </c>
      <c r="I509" s="6">
        <v>3</v>
      </c>
      <c r="J509" s="6" t="s">
        <v>14</v>
      </c>
      <c r="K509" s="5" t="s">
        <v>14</v>
      </c>
      <c r="L509" s="3" t="str">
        <f>IF(Table1[[#This Row],[Monthly Income]]&lt;3000,"Low",IF(Table1[[#This Row],[Monthly Income]]&lt;7000,"Medium","High"))</f>
        <v>Medium</v>
      </c>
      <c r="AK509" s="6"/>
      <c r="AL509" s="6"/>
      <c r="AM509" s="6"/>
      <c r="AN509" s="6"/>
      <c r="AO509" s="6"/>
      <c r="AP509" s="6"/>
      <c r="AQ509" s="6"/>
      <c r="AR509" s="6"/>
      <c r="AS509" s="6"/>
      <c r="AU509" s="6"/>
      <c r="AV509" s="6"/>
      <c r="AW509" s="6"/>
      <c r="AX509" s="6"/>
      <c r="AY509" s="6"/>
      <c r="AZ509" s="6"/>
      <c r="BA509" s="6"/>
      <c r="BB509" s="6"/>
      <c r="BC509" s="6"/>
      <c r="BD509" s="6"/>
      <c r="BE509" s="6"/>
    </row>
    <row r="510" spans="2:57" x14ac:dyDescent="0.3">
      <c r="B510" s="4" t="s">
        <v>533</v>
      </c>
      <c r="C510" s="4">
        <v>35</v>
      </c>
      <c r="D510" s="4" t="s">
        <v>17</v>
      </c>
      <c r="E510" s="4" t="s">
        <v>15</v>
      </c>
      <c r="F510" s="4" t="s">
        <v>18</v>
      </c>
      <c r="G510" s="18">
        <v>6646</v>
      </c>
      <c r="H510" s="10">
        <v>17</v>
      </c>
      <c r="I510" s="4">
        <v>4</v>
      </c>
      <c r="J510" s="4" t="s">
        <v>14</v>
      </c>
      <c r="K510" s="3" t="s">
        <v>14</v>
      </c>
      <c r="L510" s="3" t="str">
        <f>IF(Table1[[#This Row],[Monthly Income]]&lt;3000,"Low",IF(Table1[[#This Row],[Monthly Income]]&lt;7000,"Medium","High"))</f>
        <v>Medium</v>
      </c>
      <c r="AK510" s="4"/>
      <c r="AL510" s="4"/>
      <c r="AM510" s="4"/>
      <c r="AN510" s="4"/>
      <c r="AO510" s="4"/>
      <c r="AP510" s="4"/>
      <c r="AQ510" s="4"/>
      <c r="AR510" s="4"/>
      <c r="AS510" s="4"/>
      <c r="AU510" s="4"/>
      <c r="AV510" s="4"/>
      <c r="AW510" s="4"/>
      <c r="AX510" s="4"/>
      <c r="AY510" s="4"/>
      <c r="AZ510" s="4"/>
      <c r="BA510" s="4"/>
      <c r="BB510" s="4"/>
      <c r="BC510" s="4"/>
      <c r="BD510" s="4"/>
      <c r="BE510" s="4"/>
    </row>
    <row r="511" spans="2:57" x14ac:dyDescent="0.3">
      <c r="B511" s="6" t="s">
        <v>534</v>
      </c>
      <c r="C511" s="6">
        <v>33</v>
      </c>
      <c r="D511" s="6" t="s">
        <v>17</v>
      </c>
      <c r="E511" s="6" t="s">
        <v>15</v>
      </c>
      <c r="F511" s="6" t="s">
        <v>29</v>
      </c>
      <c r="G511" s="19">
        <v>7725</v>
      </c>
      <c r="H511" s="11">
        <v>13</v>
      </c>
      <c r="I511" s="6">
        <v>4</v>
      </c>
      <c r="J511" s="6" t="s">
        <v>14</v>
      </c>
      <c r="K511" s="5" t="s">
        <v>14</v>
      </c>
      <c r="L511" s="3" t="str">
        <f>IF(Table1[[#This Row],[Monthly Income]]&lt;3000,"Low",IF(Table1[[#This Row],[Monthly Income]]&lt;7000,"Medium","High"))</f>
        <v>High</v>
      </c>
      <c r="AK511" s="6"/>
      <c r="AL511" s="6"/>
      <c r="AM511" s="6"/>
      <c r="AN511" s="6"/>
      <c r="AO511" s="6"/>
      <c r="AP511" s="6"/>
      <c r="AQ511" s="6"/>
      <c r="AR511" s="6"/>
      <c r="AS511" s="6"/>
      <c r="AU511" s="6"/>
      <c r="AV511" s="6"/>
      <c r="AW511" s="6"/>
      <c r="AX511" s="6"/>
      <c r="AY511" s="6"/>
      <c r="AZ511" s="6"/>
      <c r="BA511" s="6"/>
      <c r="BB511" s="6"/>
      <c r="BC511" s="6"/>
      <c r="BD511" s="6"/>
      <c r="BE511" s="6"/>
    </row>
    <row r="512" spans="2:57" x14ac:dyDescent="0.3">
      <c r="B512" s="4" t="s">
        <v>535</v>
      </c>
      <c r="C512" s="4">
        <v>54</v>
      </c>
      <c r="D512" s="4" t="s">
        <v>17</v>
      </c>
      <c r="E512" s="4" t="s">
        <v>102</v>
      </c>
      <c r="F512" s="4" t="s">
        <v>104</v>
      </c>
      <c r="G512" s="18">
        <v>10725</v>
      </c>
      <c r="H512" s="10">
        <v>9</v>
      </c>
      <c r="I512" s="4">
        <v>2</v>
      </c>
      <c r="J512" s="4" t="s">
        <v>14</v>
      </c>
      <c r="K512" s="3" t="s">
        <v>14</v>
      </c>
      <c r="L512" s="3" t="str">
        <f>IF(Table1[[#This Row],[Monthly Income]]&lt;3000,"Low",IF(Table1[[#This Row],[Monthly Income]]&lt;7000,"Medium","High"))</f>
        <v>High</v>
      </c>
      <c r="AK512" s="4"/>
      <c r="AL512" s="4"/>
      <c r="AM512" s="4"/>
      <c r="AN512" s="4"/>
      <c r="AO512" s="4"/>
      <c r="AP512" s="4"/>
      <c r="AQ512" s="4"/>
      <c r="AR512" s="4"/>
      <c r="AS512" s="4"/>
      <c r="AU512" s="4"/>
      <c r="AV512" s="4"/>
      <c r="AW512" s="4"/>
      <c r="AX512" s="4"/>
      <c r="AY512" s="4"/>
      <c r="AZ512" s="4"/>
      <c r="BA512" s="4"/>
      <c r="BB512" s="4"/>
      <c r="BC512" s="4"/>
      <c r="BD512" s="4"/>
      <c r="BE512" s="4"/>
    </row>
    <row r="513" spans="2:57" x14ac:dyDescent="0.3">
      <c r="B513" s="6" t="s">
        <v>536</v>
      </c>
      <c r="C513" s="6">
        <v>36</v>
      </c>
      <c r="D513" s="6" t="s">
        <v>17</v>
      </c>
      <c r="E513" s="6" t="s">
        <v>15</v>
      </c>
      <c r="F513" s="6" t="s">
        <v>27</v>
      </c>
      <c r="G513" s="19">
        <v>8847</v>
      </c>
      <c r="H513" s="11">
        <v>3</v>
      </c>
      <c r="I513" s="6">
        <v>2</v>
      </c>
      <c r="J513" s="6" t="s">
        <v>9</v>
      </c>
      <c r="K513" s="5" t="s">
        <v>14</v>
      </c>
      <c r="L513" s="3" t="str">
        <f>IF(Table1[[#This Row],[Monthly Income]]&lt;3000,"Low",IF(Table1[[#This Row],[Monthly Income]]&lt;7000,"Medium","High"))</f>
        <v>High</v>
      </c>
      <c r="AK513" s="6"/>
      <c r="AL513" s="6"/>
      <c r="AM513" s="6"/>
      <c r="AN513" s="6"/>
      <c r="AO513" s="6"/>
      <c r="AP513" s="6"/>
      <c r="AQ513" s="6"/>
      <c r="AR513" s="6"/>
      <c r="AS513" s="6"/>
      <c r="AU513" s="6"/>
      <c r="AV513" s="6"/>
      <c r="AW513" s="6"/>
      <c r="AX513" s="6"/>
      <c r="AY513" s="6"/>
      <c r="AZ513" s="6"/>
      <c r="BA513" s="6"/>
      <c r="BB513" s="6"/>
      <c r="BC513" s="6"/>
      <c r="BD513" s="6"/>
      <c r="BE513" s="6"/>
    </row>
    <row r="514" spans="2:57" x14ac:dyDescent="0.3">
      <c r="B514" s="4" t="s">
        <v>537</v>
      </c>
      <c r="C514" s="4">
        <v>27</v>
      </c>
      <c r="D514" s="4" t="s">
        <v>17</v>
      </c>
      <c r="E514" s="4" t="s">
        <v>15</v>
      </c>
      <c r="F514" s="4" t="s">
        <v>18</v>
      </c>
      <c r="G514" s="18">
        <v>2045</v>
      </c>
      <c r="H514" s="10">
        <v>4</v>
      </c>
      <c r="I514" s="4">
        <v>4</v>
      </c>
      <c r="J514" s="4" t="s">
        <v>14</v>
      </c>
      <c r="K514" s="3" t="s">
        <v>14</v>
      </c>
      <c r="L514" s="3" t="str">
        <f>IF(Table1[[#This Row],[Monthly Income]]&lt;3000,"Low",IF(Table1[[#This Row],[Monthly Income]]&lt;7000,"Medium","High"))</f>
        <v>Low</v>
      </c>
      <c r="AK514" s="4"/>
      <c r="AL514" s="4"/>
      <c r="AM514" s="4"/>
      <c r="AN514" s="4"/>
      <c r="AO514" s="4"/>
      <c r="AP514" s="4"/>
      <c r="AQ514" s="4"/>
      <c r="AR514" s="4"/>
      <c r="AS514" s="4"/>
      <c r="AU514" s="4"/>
      <c r="AV514" s="4"/>
      <c r="AW514" s="4"/>
      <c r="AX514" s="4"/>
      <c r="AY514" s="4"/>
      <c r="AZ514" s="4"/>
      <c r="BA514" s="4"/>
      <c r="BB514" s="4"/>
      <c r="BC514" s="4"/>
      <c r="BD514" s="4"/>
      <c r="BE514" s="4"/>
    </row>
    <row r="515" spans="2:57" x14ac:dyDescent="0.3">
      <c r="B515" s="6" t="s">
        <v>538</v>
      </c>
      <c r="C515" s="6">
        <v>20</v>
      </c>
      <c r="D515" s="6" t="s">
        <v>17</v>
      </c>
      <c r="E515" s="6" t="s">
        <v>15</v>
      </c>
      <c r="F515" s="6" t="s">
        <v>18</v>
      </c>
      <c r="G515" s="19">
        <v>1009</v>
      </c>
      <c r="H515" s="11">
        <v>1</v>
      </c>
      <c r="I515" s="6">
        <v>3</v>
      </c>
      <c r="J515" s="6" t="s">
        <v>9</v>
      </c>
      <c r="K515" s="5" t="s">
        <v>9</v>
      </c>
      <c r="L515" s="3" t="str">
        <f>IF(Table1[[#This Row],[Monthly Income]]&lt;3000,"Low",IF(Table1[[#This Row],[Monthly Income]]&lt;7000,"Medium","High"))</f>
        <v>Low</v>
      </c>
      <c r="AK515" s="6"/>
      <c r="AL515" s="6"/>
      <c r="AM515" s="6"/>
      <c r="AN515" s="6"/>
      <c r="AO515" s="6"/>
      <c r="AP515" s="6"/>
      <c r="AQ515" s="6"/>
      <c r="AR515" s="6"/>
      <c r="AS515" s="6"/>
      <c r="AU515" s="6"/>
      <c r="AV515" s="6"/>
      <c r="AW515" s="6"/>
      <c r="AX515" s="6"/>
      <c r="AY515" s="6"/>
      <c r="AZ515" s="6"/>
      <c r="BA515" s="6"/>
      <c r="BB515" s="6"/>
      <c r="BC515" s="6"/>
      <c r="BD515" s="6"/>
      <c r="BE515" s="6"/>
    </row>
    <row r="516" spans="2:57" x14ac:dyDescent="0.3">
      <c r="B516" s="4" t="s">
        <v>539</v>
      </c>
      <c r="C516" s="4">
        <v>33</v>
      </c>
      <c r="D516" s="4" t="s">
        <v>17</v>
      </c>
      <c r="E516" s="4" t="s">
        <v>15</v>
      </c>
      <c r="F516" s="4" t="s">
        <v>18</v>
      </c>
      <c r="G516" s="18">
        <v>3348</v>
      </c>
      <c r="H516" s="10">
        <v>10</v>
      </c>
      <c r="I516" s="4">
        <v>1</v>
      </c>
      <c r="J516" s="4" t="s">
        <v>9</v>
      </c>
      <c r="K516" s="3" t="s">
        <v>9</v>
      </c>
      <c r="L516" s="3" t="str">
        <f>IF(Table1[[#This Row],[Monthly Income]]&lt;3000,"Low",IF(Table1[[#This Row],[Monthly Income]]&lt;7000,"Medium","High"))</f>
        <v>Medium</v>
      </c>
      <c r="AK516" s="4"/>
      <c r="AL516" s="4"/>
      <c r="AM516" s="4"/>
      <c r="AN516" s="4"/>
      <c r="AO516" s="4"/>
      <c r="AP516" s="4"/>
      <c r="AQ516" s="4"/>
      <c r="AR516" s="4"/>
      <c r="AS516" s="4"/>
      <c r="AU516" s="4"/>
      <c r="AV516" s="4"/>
      <c r="AW516" s="4"/>
      <c r="AX516" s="4"/>
      <c r="AY516" s="4"/>
      <c r="AZ516" s="4"/>
      <c r="BA516" s="4"/>
      <c r="BB516" s="4"/>
      <c r="BC516" s="4"/>
      <c r="BD516" s="4"/>
      <c r="BE516" s="4"/>
    </row>
    <row r="517" spans="2:57" x14ac:dyDescent="0.3">
      <c r="B517" s="6" t="s">
        <v>540</v>
      </c>
      <c r="C517" s="6">
        <v>35</v>
      </c>
      <c r="D517" s="6" t="s">
        <v>17</v>
      </c>
      <c r="E517" s="6" t="s">
        <v>15</v>
      </c>
      <c r="F517" s="6" t="s">
        <v>20</v>
      </c>
      <c r="G517" s="19">
        <v>1281</v>
      </c>
      <c r="H517" s="11">
        <v>1</v>
      </c>
      <c r="I517" s="6">
        <v>3</v>
      </c>
      <c r="J517" s="6" t="s">
        <v>14</v>
      </c>
      <c r="K517" s="5" t="s">
        <v>14</v>
      </c>
      <c r="L517" s="3" t="str">
        <f>IF(Table1[[#This Row],[Monthly Income]]&lt;3000,"Low",IF(Table1[[#This Row],[Monthly Income]]&lt;7000,"Medium","High"))</f>
        <v>Low</v>
      </c>
      <c r="AK517" s="6"/>
      <c r="AL517" s="6"/>
      <c r="AM517" s="6"/>
      <c r="AN517" s="6"/>
      <c r="AO517" s="6"/>
      <c r="AP517" s="6"/>
      <c r="AQ517" s="6"/>
      <c r="AR517" s="6"/>
      <c r="AS517" s="6"/>
      <c r="AU517" s="6"/>
      <c r="AV517" s="6"/>
      <c r="AW517" s="6"/>
      <c r="AX517" s="6"/>
      <c r="AY517" s="6"/>
      <c r="AZ517" s="6"/>
      <c r="BA517" s="6"/>
      <c r="BB517" s="6"/>
      <c r="BC517" s="6"/>
      <c r="BD517" s="6"/>
      <c r="BE517" s="6"/>
    </row>
    <row r="518" spans="2:57" x14ac:dyDescent="0.3">
      <c r="B518" s="4" t="s">
        <v>541</v>
      </c>
      <c r="C518" s="4">
        <v>23</v>
      </c>
      <c r="D518" s="4" t="s">
        <v>17</v>
      </c>
      <c r="E518" s="4" t="s">
        <v>15</v>
      </c>
      <c r="F518" s="4" t="s">
        <v>18</v>
      </c>
      <c r="G518" s="18">
        <v>2819</v>
      </c>
      <c r="H518" s="10">
        <v>3</v>
      </c>
      <c r="I518" s="4">
        <v>1</v>
      </c>
      <c r="J518" s="4" t="s">
        <v>14</v>
      </c>
      <c r="K518" s="3" t="s">
        <v>14</v>
      </c>
      <c r="L518" s="3" t="str">
        <f>IF(Table1[[#This Row],[Monthly Income]]&lt;3000,"Low",IF(Table1[[#This Row],[Monthly Income]]&lt;7000,"Medium","High"))</f>
        <v>Low</v>
      </c>
      <c r="AK518" s="4"/>
      <c r="AL518" s="4"/>
      <c r="AM518" s="4"/>
      <c r="AN518" s="4"/>
      <c r="AO518" s="4"/>
      <c r="AP518" s="4"/>
      <c r="AQ518" s="4"/>
      <c r="AR518" s="4"/>
      <c r="AS518" s="4"/>
      <c r="AU518" s="4"/>
      <c r="AV518" s="4"/>
      <c r="AW518" s="4"/>
      <c r="AX518" s="4"/>
      <c r="AY518" s="4"/>
      <c r="AZ518" s="4"/>
      <c r="BA518" s="4"/>
      <c r="BB518" s="4"/>
      <c r="BC518" s="4"/>
      <c r="BD518" s="4"/>
      <c r="BE518" s="4"/>
    </row>
    <row r="519" spans="2:57" x14ac:dyDescent="0.3">
      <c r="B519" s="6" t="s">
        <v>542</v>
      </c>
      <c r="C519" s="6">
        <v>25</v>
      </c>
      <c r="D519" s="6" t="s">
        <v>17</v>
      </c>
      <c r="E519" s="6" t="s">
        <v>10</v>
      </c>
      <c r="F519" s="6" t="s">
        <v>13</v>
      </c>
      <c r="G519" s="19">
        <v>4851</v>
      </c>
      <c r="H519" s="11">
        <v>3</v>
      </c>
      <c r="I519" s="6">
        <v>2</v>
      </c>
      <c r="J519" s="6" t="s">
        <v>14</v>
      </c>
      <c r="K519" s="5" t="s">
        <v>14</v>
      </c>
      <c r="L519" s="3" t="str">
        <f>IF(Table1[[#This Row],[Monthly Income]]&lt;3000,"Low",IF(Table1[[#This Row],[Monthly Income]]&lt;7000,"Medium","High"))</f>
        <v>Medium</v>
      </c>
      <c r="AK519" s="6"/>
      <c r="AL519" s="6"/>
      <c r="AM519" s="6"/>
      <c r="AN519" s="6"/>
      <c r="AO519" s="6"/>
      <c r="AP519" s="6"/>
      <c r="AQ519" s="6"/>
      <c r="AR519" s="6"/>
      <c r="AS519" s="6"/>
      <c r="AU519" s="6"/>
      <c r="AV519" s="6"/>
      <c r="AW519" s="6"/>
      <c r="AX519" s="6"/>
      <c r="AY519" s="6"/>
      <c r="AZ519" s="6"/>
      <c r="BA519" s="6"/>
      <c r="BB519" s="6"/>
      <c r="BC519" s="6"/>
      <c r="BD519" s="6"/>
      <c r="BE519" s="6"/>
    </row>
    <row r="520" spans="2:57" x14ac:dyDescent="0.3">
      <c r="B520" s="4" t="s">
        <v>543</v>
      </c>
      <c r="C520" s="4">
        <v>38</v>
      </c>
      <c r="D520" s="4" t="s">
        <v>12</v>
      </c>
      <c r="E520" s="4" t="s">
        <v>10</v>
      </c>
      <c r="F520" s="4" t="s">
        <v>13</v>
      </c>
      <c r="G520" s="18">
        <v>4028</v>
      </c>
      <c r="H520" s="10">
        <v>7</v>
      </c>
      <c r="I520" s="4">
        <v>4</v>
      </c>
      <c r="J520" s="4" t="s">
        <v>14</v>
      </c>
      <c r="K520" s="3" t="s">
        <v>14</v>
      </c>
      <c r="L520" s="3" t="str">
        <f>IF(Table1[[#This Row],[Monthly Income]]&lt;3000,"Low",IF(Table1[[#This Row],[Monthly Income]]&lt;7000,"Medium","High"))</f>
        <v>Medium</v>
      </c>
      <c r="AK520" s="4"/>
      <c r="AL520" s="4"/>
      <c r="AM520" s="4"/>
      <c r="AN520" s="4"/>
      <c r="AO520" s="4"/>
      <c r="AP520" s="4"/>
      <c r="AQ520" s="4"/>
      <c r="AR520" s="4"/>
      <c r="AS520" s="4"/>
      <c r="AU520" s="4"/>
      <c r="AV520" s="4"/>
      <c r="AW520" s="4"/>
      <c r="AX520" s="4"/>
      <c r="AY520" s="4"/>
      <c r="AZ520" s="4"/>
      <c r="BA520" s="4"/>
      <c r="BB520" s="4"/>
      <c r="BC520" s="4"/>
      <c r="BD520" s="4"/>
      <c r="BE520" s="4"/>
    </row>
    <row r="521" spans="2:57" x14ac:dyDescent="0.3">
      <c r="B521" s="6" t="s">
        <v>544</v>
      </c>
      <c r="C521" s="6">
        <v>29</v>
      </c>
      <c r="D521" s="6" t="s">
        <v>17</v>
      </c>
      <c r="E521" s="6" t="s">
        <v>15</v>
      </c>
      <c r="F521" s="6" t="s">
        <v>18</v>
      </c>
      <c r="G521" s="19">
        <v>2720</v>
      </c>
      <c r="H521" s="11">
        <v>10</v>
      </c>
      <c r="I521" s="6">
        <v>4</v>
      </c>
      <c r="J521" s="6" t="s">
        <v>14</v>
      </c>
      <c r="K521" s="5" t="s">
        <v>14</v>
      </c>
      <c r="L521" s="3" t="str">
        <f>IF(Table1[[#This Row],[Monthly Income]]&lt;3000,"Low",IF(Table1[[#This Row],[Monthly Income]]&lt;7000,"Medium","High"))</f>
        <v>Low</v>
      </c>
      <c r="AK521" s="6"/>
      <c r="AL521" s="6"/>
      <c r="AM521" s="6"/>
      <c r="AN521" s="6"/>
      <c r="AO521" s="6"/>
      <c r="AP521" s="6"/>
      <c r="AQ521" s="6"/>
      <c r="AR521" s="6"/>
      <c r="AS521" s="6"/>
      <c r="AU521" s="6"/>
      <c r="AV521" s="6"/>
      <c r="AW521" s="6"/>
      <c r="AX521" s="6"/>
      <c r="AY521" s="6"/>
      <c r="AZ521" s="6"/>
      <c r="BA521" s="6"/>
      <c r="BB521" s="6"/>
      <c r="BC521" s="6"/>
      <c r="BD521" s="6"/>
      <c r="BE521" s="6"/>
    </row>
    <row r="522" spans="2:57" x14ac:dyDescent="0.3">
      <c r="B522" s="4" t="s">
        <v>545</v>
      </c>
      <c r="C522" s="4">
        <v>48</v>
      </c>
      <c r="D522" s="4" t="s">
        <v>17</v>
      </c>
      <c r="E522" s="4" t="s">
        <v>10</v>
      </c>
      <c r="F522" s="4" t="s">
        <v>13</v>
      </c>
      <c r="G522" s="18">
        <v>8120</v>
      </c>
      <c r="H522" s="10">
        <v>2</v>
      </c>
      <c r="I522" s="4">
        <v>2</v>
      </c>
      <c r="J522" s="4" t="s">
        <v>14</v>
      </c>
      <c r="K522" s="3" t="s">
        <v>14</v>
      </c>
      <c r="L522" s="3" t="str">
        <f>IF(Table1[[#This Row],[Monthly Income]]&lt;3000,"Low",IF(Table1[[#This Row],[Monthly Income]]&lt;7000,"Medium","High"))</f>
        <v>High</v>
      </c>
      <c r="AK522" s="4"/>
      <c r="AL522" s="4"/>
      <c r="AM522" s="4"/>
      <c r="AN522" s="4"/>
      <c r="AO522" s="4"/>
      <c r="AP522" s="4"/>
      <c r="AQ522" s="4"/>
      <c r="AR522" s="4"/>
      <c r="AS522" s="4"/>
      <c r="AU522" s="4"/>
      <c r="AV522" s="4"/>
      <c r="AW522" s="4"/>
      <c r="AX522" s="4"/>
      <c r="AY522" s="4"/>
      <c r="AZ522" s="4"/>
      <c r="BA522" s="4"/>
      <c r="BB522" s="4"/>
      <c r="BC522" s="4"/>
      <c r="BD522" s="4"/>
      <c r="BE522" s="4"/>
    </row>
    <row r="523" spans="2:57" x14ac:dyDescent="0.3">
      <c r="B523" s="6" t="s">
        <v>546</v>
      </c>
      <c r="C523" s="6">
        <v>27</v>
      </c>
      <c r="D523" s="6" t="s">
        <v>12</v>
      </c>
      <c r="E523" s="6" t="s">
        <v>10</v>
      </c>
      <c r="F523" s="6" t="s">
        <v>13</v>
      </c>
      <c r="G523" s="19">
        <v>4647</v>
      </c>
      <c r="H523" s="11">
        <v>6</v>
      </c>
      <c r="I523" s="6">
        <v>4</v>
      </c>
      <c r="J523" s="6" t="s">
        <v>9</v>
      </c>
      <c r="K523" s="5" t="s">
        <v>14</v>
      </c>
      <c r="L523" s="3" t="str">
        <f>IF(Table1[[#This Row],[Monthly Income]]&lt;3000,"Low",IF(Table1[[#This Row],[Monthly Income]]&lt;7000,"Medium","High"))</f>
        <v>Medium</v>
      </c>
      <c r="AK523" s="6"/>
      <c r="AL523" s="6"/>
      <c r="AM523" s="6"/>
      <c r="AN523" s="6"/>
      <c r="AO523" s="6"/>
      <c r="AP523" s="6"/>
      <c r="AQ523" s="6"/>
      <c r="AR523" s="6"/>
      <c r="AS523" s="6"/>
      <c r="AU523" s="6"/>
      <c r="AV523" s="6"/>
      <c r="AW523" s="6"/>
      <c r="AX523" s="6"/>
      <c r="AY523" s="6"/>
      <c r="AZ523" s="6"/>
      <c r="BA523" s="6"/>
      <c r="BB523" s="6"/>
      <c r="BC523" s="6"/>
      <c r="BD523" s="6"/>
      <c r="BE523" s="6"/>
    </row>
    <row r="524" spans="2:57" x14ac:dyDescent="0.3">
      <c r="B524" s="4" t="s">
        <v>547</v>
      </c>
      <c r="C524" s="4">
        <v>37</v>
      </c>
      <c r="D524" s="4" t="s">
        <v>17</v>
      </c>
      <c r="E524" s="4" t="s">
        <v>15</v>
      </c>
      <c r="F524" s="4" t="s">
        <v>18</v>
      </c>
      <c r="G524" s="18">
        <v>4680</v>
      </c>
      <c r="H524" s="10">
        <v>1</v>
      </c>
      <c r="I524" s="4">
        <v>4</v>
      </c>
      <c r="J524" s="4" t="s">
        <v>14</v>
      </c>
      <c r="K524" s="3" t="s">
        <v>14</v>
      </c>
      <c r="L524" s="3" t="str">
        <f>IF(Table1[[#This Row],[Monthly Income]]&lt;3000,"Low",IF(Table1[[#This Row],[Monthly Income]]&lt;7000,"Medium","High"))</f>
        <v>Medium</v>
      </c>
      <c r="AK524" s="4"/>
      <c r="AL524" s="4"/>
      <c r="AM524" s="4"/>
      <c r="AN524" s="4"/>
      <c r="AO524" s="4"/>
      <c r="AP524" s="4"/>
      <c r="AQ524" s="4"/>
      <c r="AR524" s="4"/>
      <c r="AS524" s="4"/>
      <c r="AU524" s="4"/>
      <c r="AV524" s="4"/>
      <c r="AW524" s="4"/>
      <c r="AX524" s="4"/>
      <c r="AY524" s="4"/>
      <c r="AZ524" s="4"/>
      <c r="BA524" s="4"/>
      <c r="BB524" s="4"/>
      <c r="BC524" s="4"/>
      <c r="BD524" s="4"/>
      <c r="BE524" s="4"/>
    </row>
    <row r="525" spans="2:57" x14ac:dyDescent="0.3">
      <c r="B525" s="6" t="s">
        <v>548</v>
      </c>
      <c r="C525" s="6">
        <v>50</v>
      </c>
      <c r="D525" s="6" t="s">
        <v>17</v>
      </c>
      <c r="E525" s="6" t="s">
        <v>15</v>
      </c>
      <c r="F525" s="6" t="s">
        <v>20</v>
      </c>
      <c r="G525" s="19">
        <v>3221</v>
      </c>
      <c r="H525" s="11">
        <v>20</v>
      </c>
      <c r="I525" s="6">
        <v>3</v>
      </c>
      <c r="J525" s="6" t="s">
        <v>9</v>
      </c>
      <c r="K525" s="5" t="s">
        <v>14</v>
      </c>
      <c r="L525" s="3" t="str">
        <f>IF(Table1[[#This Row],[Monthly Income]]&lt;3000,"Low",IF(Table1[[#This Row],[Monthly Income]]&lt;7000,"Medium","High"))</f>
        <v>Medium</v>
      </c>
      <c r="AK525" s="6"/>
      <c r="AL525" s="6"/>
      <c r="AM525" s="6"/>
      <c r="AN525" s="6"/>
      <c r="AO525" s="6"/>
      <c r="AP525" s="6"/>
      <c r="AQ525" s="6"/>
      <c r="AR525" s="6"/>
      <c r="AS525" s="6"/>
      <c r="AU525" s="6"/>
      <c r="AV525" s="6"/>
      <c r="AW525" s="6"/>
      <c r="AX525" s="6"/>
      <c r="AY525" s="6"/>
      <c r="AZ525" s="6"/>
      <c r="BA525" s="6"/>
      <c r="BB525" s="6"/>
      <c r="BC525" s="6"/>
      <c r="BD525" s="6"/>
      <c r="BE525" s="6"/>
    </row>
    <row r="526" spans="2:57" x14ac:dyDescent="0.3">
      <c r="B526" s="4" t="s">
        <v>549</v>
      </c>
      <c r="C526" s="4">
        <v>34</v>
      </c>
      <c r="D526" s="4" t="s">
        <v>12</v>
      </c>
      <c r="E526" s="4" t="s">
        <v>15</v>
      </c>
      <c r="F526" s="4" t="s">
        <v>29</v>
      </c>
      <c r="G526" s="18">
        <v>8621</v>
      </c>
      <c r="H526" s="10">
        <v>8</v>
      </c>
      <c r="I526" s="4">
        <v>2</v>
      </c>
      <c r="J526" s="4" t="s">
        <v>14</v>
      </c>
      <c r="K526" s="3" t="s">
        <v>14</v>
      </c>
      <c r="L526" s="3" t="str">
        <f>IF(Table1[[#This Row],[Monthly Income]]&lt;3000,"Low",IF(Table1[[#This Row],[Monthly Income]]&lt;7000,"Medium","High"))</f>
        <v>High</v>
      </c>
      <c r="AK526" s="4"/>
      <c r="AL526" s="4"/>
      <c r="AM526" s="4"/>
      <c r="AN526" s="4"/>
      <c r="AO526" s="4"/>
      <c r="AP526" s="4"/>
      <c r="AQ526" s="4"/>
      <c r="AR526" s="4"/>
      <c r="AS526" s="4"/>
      <c r="AU526" s="4"/>
      <c r="AV526" s="4"/>
      <c r="AW526" s="4"/>
      <c r="AX526" s="4"/>
      <c r="AY526" s="4"/>
      <c r="AZ526" s="4"/>
      <c r="BA526" s="4"/>
      <c r="BB526" s="4"/>
      <c r="BC526" s="4"/>
      <c r="BD526" s="4"/>
      <c r="BE526" s="4"/>
    </row>
    <row r="527" spans="2:57" x14ac:dyDescent="0.3">
      <c r="B527" s="6" t="s">
        <v>550</v>
      </c>
      <c r="C527" s="6">
        <v>24</v>
      </c>
      <c r="D527" s="6" t="s">
        <v>12</v>
      </c>
      <c r="E527" s="6" t="s">
        <v>10</v>
      </c>
      <c r="F527" s="6" t="s">
        <v>13</v>
      </c>
      <c r="G527" s="19">
        <v>4577</v>
      </c>
      <c r="H527" s="11">
        <v>2</v>
      </c>
      <c r="I527" s="6">
        <v>3</v>
      </c>
      <c r="J527" s="6" t="s">
        <v>14</v>
      </c>
      <c r="K527" s="5" t="s">
        <v>9</v>
      </c>
      <c r="L527" s="3" t="str">
        <f>IF(Table1[[#This Row],[Monthly Income]]&lt;3000,"Low",IF(Table1[[#This Row],[Monthly Income]]&lt;7000,"Medium","High"))</f>
        <v>Medium</v>
      </c>
      <c r="AK527" s="6"/>
      <c r="AL527" s="6"/>
      <c r="AM527" s="6"/>
      <c r="AN527" s="6"/>
      <c r="AO527" s="6"/>
      <c r="AP527" s="6"/>
      <c r="AQ527" s="6"/>
      <c r="AR527" s="6"/>
      <c r="AS527" s="6"/>
      <c r="AU527" s="6"/>
      <c r="AV527" s="6"/>
      <c r="AW527" s="6"/>
      <c r="AX527" s="6"/>
      <c r="AY527" s="6"/>
      <c r="AZ527" s="6"/>
      <c r="BA527" s="6"/>
      <c r="BB527" s="6"/>
      <c r="BC527" s="6"/>
      <c r="BD527" s="6"/>
      <c r="BE527" s="6"/>
    </row>
    <row r="528" spans="2:57" x14ac:dyDescent="0.3">
      <c r="B528" s="4" t="s">
        <v>551</v>
      </c>
      <c r="C528" s="4">
        <v>39</v>
      </c>
      <c r="D528" s="4" t="s">
        <v>12</v>
      </c>
      <c r="E528" s="4" t="s">
        <v>15</v>
      </c>
      <c r="F528" s="4" t="s">
        <v>29</v>
      </c>
      <c r="G528" s="18">
        <v>4553</v>
      </c>
      <c r="H528" s="10">
        <v>20</v>
      </c>
      <c r="I528" s="4">
        <v>3</v>
      </c>
      <c r="J528" s="4" t="s">
        <v>14</v>
      </c>
      <c r="K528" s="3" t="s">
        <v>14</v>
      </c>
      <c r="L528" s="3" t="str">
        <f>IF(Table1[[#This Row],[Monthly Income]]&lt;3000,"Low",IF(Table1[[#This Row],[Monthly Income]]&lt;7000,"Medium","High"))</f>
        <v>Medium</v>
      </c>
      <c r="AK528" s="4"/>
      <c r="AL528" s="4"/>
      <c r="AM528" s="4"/>
      <c r="AN528" s="4"/>
      <c r="AO528" s="4"/>
      <c r="AP528" s="4"/>
      <c r="AQ528" s="4"/>
      <c r="AR528" s="4"/>
      <c r="AS528" s="4"/>
      <c r="AU528" s="4"/>
      <c r="AV528" s="4"/>
      <c r="AW528" s="4"/>
      <c r="AX528" s="4"/>
      <c r="AY528" s="4"/>
      <c r="AZ528" s="4"/>
      <c r="BA528" s="4"/>
      <c r="BB528" s="4"/>
      <c r="BC528" s="4"/>
      <c r="BD528" s="4"/>
      <c r="BE528" s="4"/>
    </row>
    <row r="529" spans="2:57" x14ac:dyDescent="0.3">
      <c r="B529" s="6" t="s">
        <v>552</v>
      </c>
      <c r="C529" s="6">
        <v>32</v>
      </c>
      <c r="D529" s="6" t="s">
        <v>17</v>
      </c>
      <c r="E529" s="6" t="s">
        <v>10</v>
      </c>
      <c r="F529" s="6" t="s">
        <v>13</v>
      </c>
      <c r="G529" s="19">
        <v>5396</v>
      </c>
      <c r="H529" s="11">
        <v>10</v>
      </c>
      <c r="I529" s="6">
        <v>4</v>
      </c>
      <c r="J529" s="6" t="s">
        <v>14</v>
      </c>
      <c r="K529" s="5" t="s">
        <v>14</v>
      </c>
      <c r="L529" s="3" t="str">
        <f>IF(Table1[[#This Row],[Monthly Income]]&lt;3000,"Low",IF(Table1[[#This Row],[Monthly Income]]&lt;7000,"Medium","High"))</f>
        <v>Medium</v>
      </c>
      <c r="AK529" s="6"/>
      <c r="AL529" s="6"/>
      <c r="AM529" s="6"/>
      <c r="AN529" s="6"/>
      <c r="AO529" s="6"/>
      <c r="AP529" s="6"/>
      <c r="AQ529" s="6"/>
      <c r="AR529" s="6"/>
      <c r="AS529" s="6"/>
      <c r="AU529" s="6"/>
      <c r="AV529" s="6"/>
      <c r="AW529" s="6"/>
      <c r="AX529" s="6"/>
      <c r="AY529" s="6"/>
      <c r="AZ529" s="6"/>
      <c r="BA529" s="6"/>
      <c r="BB529" s="6"/>
      <c r="BC529" s="6"/>
      <c r="BD529" s="6"/>
      <c r="BE529" s="6"/>
    </row>
    <row r="530" spans="2:57" x14ac:dyDescent="0.3">
      <c r="B530" s="4" t="s">
        <v>553</v>
      </c>
      <c r="C530" s="4">
        <v>50</v>
      </c>
      <c r="D530" s="4" t="s">
        <v>17</v>
      </c>
      <c r="E530" s="4" t="s">
        <v>10</v>
      </c>
      <c r="F530" s="4" t="s">
        <v>13</v>
      </c>
      <c r="G530" s="18">
        <v>6796</v>
      </c>
      <c r="H530" s="10">
        <v>4</v>
      </c>
      <c r="I530" s="4">
        <v>3</v>
      </c>
      <c r="J530" s="4" t="s">
        <v>9</v>
      </c>
      <c r="K530" s="3" t="s">
        <v>9</v>
      </c>
      <c r="L530" s="3" t="str">
        <f>IF(Table1[[#This Row],[Monthly Income]]&lt;3000,"Low",IF(Table1[[#This Row],[Monthly Income]]&lt;7000,"Medium","High"))</f>
        <v>Medium</v>
      </c>
      <c r="AK530" s="4"/>
      <c r="AL530" s="4"/>
      <c r="AM530" s="4"/>
      <c r="AN530" s="4"/>
      <c r="AO530" s="4"/>
      <c r="AP530" s="4"/>
      <c r="AQ530" s="4"/>
      <c r="AR530" s="4"/>
      <c r="AS530" s="4"/>
      <c r="AU530" s="4"/>
      <c r="AV530" s="4"/>
      <c r="AW530" s="4"/>
      <c r="AX530" s="4"/>
      <c r="AY530" s="4"/>
      <c r="AZ530" s="4"/>
      <c r="BA530" s="4"/>
      <c r="BB530" s="4"/>
      <c r="BC530" s="4"/>
      <c r="BD530" s="4"/>
      <c r="BE530" s="4"/>
    </row>
    <row r="531" spans="2:57" x14ac:dyDescent="0.3">
      <c r="B531" s="6" t="s">
        <v>554</v>
      </c>
      <c r="C531" s="6">
        <v>38</v>
      </c>
      <c r="D531" s="6" t="s">
        <v>12</v>
      </c>
      <c r="E531" s="6" t="s">
        <v>15</v>
      </c>
      <c r="F531" s="6" t="s">
        <v>29</v>
      </c>
      <c r="G531" s="19">
        <v>7625</v>
      </c>
      <c r="H531" s="11">
        <v>9</v>
      </c>
      <c r="I531" s="6">
        <v>4</v>
      </c>
      <c r="J531" s="6" t="s">
        <v>14</v>
      </c>
      <c r="K531" s="5" t="s">
        <v>14</v>
      </c>
      <c r="L531" s="3" t="str">
        <f>IF(Table1[[#This Row],[Monthly Income]]&lt;3000,"Low",IF(Table1[[#This Row],[Monthly Income]]&lt;7000,"Medium","High"))</f>
        <v>High</v>
      </c>
      <c r="AK531" s="6"/>
      <c r="AL531" s="6"/>
      <c r="AM531" s="6"/>
      <c r="AN531" s="6"/>
      <c r="AO531" s="6"/>
      <c r="AP531" s="6"/>
      <c r="AQ531" s="6"/>
      <c r="AR531" s="6"/>
      <c r="AS531" s="6"/>
      <c r="AU531" s="6"/>
      <c r="AV531" s="6"/>
      <c r="AW531" s="6"/>
      <c r="AX531" s="6"/>
      <c r="AY531" s="6"/>
      <c r="AZ531" s="6"/>
      <c r="BA531" s="6"/>
      <c r="BB531" s="6"/>
      <c r="BC531" s="6"/>
      <c r="BD531" s="6"/>
      <c r="BE531" s="6"/>
    </row>
    <row r="532" spans="2:57" x14ac:dyDescent="0.3">
      <c r="B532" s="4" t="s">
        <v>555</v>
      </c>
      <c r="C532" s="4">
        <v>27</v>
      </c>
      <c r="D532" s="4" t="s">
        <v>12</v>
      </c>
      <c r="E532" s="4" t="s">
        <v>15</v>
      </c>
      <c r="F532" s="4" t="s">
        <v>27</v>
      </c>
      <c r="G532" s="18">
        <v>7412</v>
      </c>
      <c r="H532" s="10">
        <v>9</v>
      </c>
      <c r="I532" s="4">
        <v>1</v>
      </c>
      <c r="J532" s="4" t="s">
        <v>14</v>
      </c>
      <c r="K532" s="3" t="s">
        <v>14</v>
      </c>
      <c r="L532" s="3" t="str">
        <f>IF(Table1[[#This Row],[Monthly Income]]&lt;3000,"Low",IF(Table1[[#This Row],[Monthly Income]]&lt;7000,"Medium","High"))</f>
        <v>High</v>
      </c>
      <c r="AK532" s="4"/>
      <c r="AL532" s="4"/>
      <c r="AM532" s="4"/>
      <c r="AN532" s="4"/>
      <c r="AO532" s="4"/>
      <c r="AP532" s="4"/>
      <c r="AQ532" s="4"/>
      <c r="AR532" s="4"/>
      <c r="AS532" s="4"/>
      <c r="AU532" s="4"/>
      <c r="AV532" s="4"/>
      <c r="AW532" s="4"/>
      <c r="AX532" s="4"/>
      <c r="AY532" s="4"/>
      <c r="AZ532" s="4"/>
      <c r="BA532" s="4"/>
      <c r="BB532" s="4"/>
      <c r="BC532" s="4"/>
      <c r="BD532" s="4"/>
      <c r="BE532" s="4"/>
    </row>
    <row r="533" spans="2:57" x14ac:dyDescent="0.3">
      <c r="B533" s="6" t="s">
        <v>556</v>
      </c>
      <c r="C533" s="6">
        <v>32</v>
      </c>
      <c r="D533" s="6" t="s">
        <v>12</v>
      </c>
      <c r="E533" s="6" t="s">
        <v>15</v>
      </c>
      <c r="F533" s="6" t="s">
        <v>45</v>
      </c>
      <c r="G533" s="19">
        <v>11159</v>
      </c>
      <c r="H533" s="11">
        <v>7</v>
      </c>
      <c r="I533" s="6">
        <v>4</v>
      </c>
      <c r="J533" s="6" t="s">
        <v>14</v>
      </c>
      <c r="K533" s="5" t="s">
        <v>14</v>
      </c>
      <c r="L533" s="3" t="str">
        <f>IF(Table1[[#This Row],[Monthly Income]]&lt;3000,"Low",IF(Table1[[#This Row],[Monthly Income]]&lt;7000,"Medium","High"))</f>
        <v>High</v>
      </c>
      <c r="AK533" s="6"/>
      <c r="AL533" s="6"/>
      <c r="AM533" s="6"/>
      <c r="AN533" s="6"/>
      <c r="AO533" s="6"/>
      <c r="AP533" s="6"/>
      <c r="AQ533" s="6"/>
      <c r="AR533" s="6"/>
      <c r="AS533" s="6"/>
      <c r="AU533" s="6"/>
      <c r="AV533" s="6"/>
      <c r="AW533" s="6"/>
      <c r="AX533" s="6"/>
      <c r="AY533" s="6"/>
      <c r="AZ533" s="6"/>
      <c r="BA533" s="6"/>
      <c r="BB533" s="6"/>
      <c r="BC533" s="6"/>
      <c r="BD533" s="6"/>
      <c r="BE533" s="6"/>
    </row>
    <row r="534" spans="2:57" x14ac:dyDescent="0.3">
      <c r="B534" s="4" t="s">
        <v>557</v>
      </c>
      <c r="C534" s="4">
        <v>47</v>
      </c>
      <c r="D534" s="4" t="s">
        <v>17</v>
      </c>
      <c r="E534" s="4" t="s">
        <v>10</v>
      </c>
      <c r="F534" s="4" t="s">
        <v>13</v>
      </c>
      <c r="G534" s="18">
        <v>4960</v>
      </c>
      <c r="H534" s="10">
        <v>7</v>
      </c>
      <c r="I534" s="4">
        <v>1</v>
      </c>
      <c r="J534" s="4" t="s">
        <v>14</v>
      </c>
      <c r="K534" s="3" t="s">
        <v>14</v>
      </c>
      <c r="L534" s="3" t="str">
        <f>IF(Table1[[#This Row],[Monthly Income]]&lt;3000,"Low",IF(Table1[[#This Row],[Monthly Income]]&lt;7000,"Medium","High"))</f>
        <v>Medium</v>
      </c>
      <c r="AK534" s="4"/>
      <c r="AL534" s="4"/>
      <c r="AM534" s="4"/>
      <c r="AN534" s="4"/>
      <c r="AO534" s="4"/>
      <c r="AP534" s="4"/>
      <c r="AQ534" s="4"/>
      <c r="AR534" s="4"/>
      <c r="AS534" s="4"/>
      <c r="AU534" s="4"/>
      <c r="AV534" s="4"/>
      <c r="AW534" s="4"/>
      <c r="AX534" s="4"/>
      <c r="AY534" s="4"/>
      <c r="AZ534" s="4"/>
      <c r="BA534" s="4"/>
      <c r="BB534" s="4"/>
      <c r="BC534" s="4"/>
      <c r="BD534" s="4"/>
      <c r="BE534" s="4"/>
    </row>
    <row r="535" spans="2:57" x14ac:dyDescent="0.3">
      <c r="B535" s="6" t="s">
        <v>558</v>
      </c>
      <c r="C535" s="6">
        <v>40</v>
      </c>
      <c r="D535" s="6" t="s">
        <v>17</v>
      </c>
      <c r="E535" s="6" t="s">
        <v>10</v>
      </c>
      <c r="F535" s="6" t="s">
        <v>13</v>
      </c>
      <c r="G535" s="19">
        <v>10475</v>
      </c>
      <c r="H535" s="11">
        <v>18</v>
      </c>
      <c r="I535" s="6">
        <v>1</v>
      </c>
      <c r="J535" s="6" t="s">
        <v>9</v>
      </c>
      <c r="K535" s="5" t="s">
        <v>14</v>
      </c>
      <c r="L535" s="3" t="str">
        <f>IF(Table1[[#This Row],[Monthly Income]]&lt;3000,"Low",IF(Table1[[#This Row],[Monthly Income]]&lt;7000,"Medium","High"))</f>
        <v>High</v>
      </c>
      <c r="AK535" s="6"/>
      <c r="AL535" s="6"/>
      <c r="AM535" s="6"/>
      <c r="AN535" s="6"/>
      <c r="AO535" s="6"/>
      <c r="AP535" s="6"/>
      <c r="AQ535" s="6"/>
      <c r="AR535" s="6"/>
      <c r="AS535" s="6"/>
      <c r="AU535" s="6"/>
      <c r="AV535" s="6"/>
      <c r="AW535" s="6"/>
      <c r="AX535" s="6"/>
      <c r="AY535" s="6"/>
      <c r="AZ535" s="6"/>
      <c r="BA535" s="6"/>
      <c r="BB535" s="6"/>
      <c r="BC535" s="6"/>
      <c r="BD535" s="6"/>
      <c r="BE535" s="6"/>
    </row>
    <row r="536" spans="2:57" x14ac:dyDescent="0.3">
      <c r="B536" s="4" t="s">
        <v>559</v>
      </c>
      <c r="C536" s="4">
        <v>53</v>
      </c>
      <c r="D536" s="4" t="s">
        <v>17</v>
      </c>
      <c r="E536" s="4" t="s">
        <v>15</v>
      </c>
      <c r="F536" s="4" t="s">
        <v>45</v>
      </c>
      <c r="G536" s="18">
        <v>14814</v>
      </c>
      <c r="H536" s="10">
        <v>5</v>
      </c>
      <c r="I536" s="4">
        <v>3</v>
      </c>
      <c r="J536" s="4" t="s">
        <v>14</v>
      </c>
      <c r="K536" s="3" t="s">
        <v>14</v>
      </c>
      <c r="L536" s="3" t="str">
        <f>IF(Table1[[#This Row],[Monthly Income]]&lt;3000,"Low",IF(Table1[[#This Row],[Monthly Income]]&lt;7000,"Medium","High"))</f>
        <v>High</v>
      </c>
      <c r="AK536" s="4"/>
      <c r="AL536" s="4"/>
      <c r="AM536" s="4"/>
      <c r="AN536" s="4"/>
      <c r="AO536" s="4"/>
      <c r="AP536" s="4"/>
      <c r="AQ536" s="4"/>
      <c r="AR536" s="4"/>
      <c r="AS536" s="4"/>
      <c r="AU536" s="4"/>
      <c r="AV536" s="4"/>
      <c r="AW536" s="4"/>
      <c r="AX536" s="4"/>
      <c r="AY536" s="4"/>
      <c r="AZ536" s="4"/>
      <c r="BA536" s="4"/>
      <c r="BB536" s="4"/>
      <c r="BC536" s="4"/>
      <c r="BD536" s="4"/>
      <c r="BE536" s="4"/>
    </row>
    <row r="537" spans="2:57" x14ac:dyDescent="0.3">
      <c r="B537" s="6" t="s">
        <v>560</v>
      </c>
      <c r="C537" s="6">
        <v>41</v>
      </c>
      <c r="D537" s="6" t="s">
        <v>17</v>
      </c>
      <c r="E537" s="6" t="s">
        <v>102</v>
      </c>
      <c r="F537" s="6" t="s">
        <v>39</v>
      </c>
      <c r="G537" s="19">
        <v>19141</v>
      </c>
      <c r="H537" s="11">
        <v>21</v>
      </c>
      <c r="I537" s="6">
        <v>4</v>
      </c>
      <c r="J537" s="6" t="s">
        <v>14</v>
      </c>
      <c r="K537" s="5" t="s">
        <v>14</v>
      </c>
      <c r="L537" s="3" t="str">
        <f>IF(Table1[[#This Row],[Monthly Income]]&lt;3000,"Low",IF(Table1[[#This Row],[Monthly Income]]&lt;7000,"Medium","High"))</f>
        <v>High</v>
      </c>
      <c r="AK537" s="6"/>
      <c r="AL537" s="6"/>
      <c r="AM537" s="6"/>
      <c r="AN537" s="6"/>
      <c r="AO537" s="6"/>
      <c r="AP537" s="6"/>
      <c r="AQ537" s="6"/>
      <c r="AR537" s="6"/>
      <c r="AS537" s="6"/>
      <c r="AU537" s="6"/>
      <c r="AV537" s="6"/>
      <c r="AW537" s="6"/>
      <c r="AX537" s="6"/>
      <c r="AY537" s="6"/>
      <c r="AZ537" s="6"/>
      <c r="BA537" s="6"/>
      <c r="BB537" s="6"/>
      <c r="BC537" s="6"/>
      <c r="BD537" s="6"/>
      <c r="BE537" s="6"/>
    </row>
    <row r="538" spans="2:57" x14ac:dyDescent="0.3">
      <c r="B538" s="4" t="s">
        <v>561</v>
      </c>
      <c r="C538" s="4">
        <v>60</v>
      </c>
      <c r="D538" s="4" t="s">
        <v>17</v>
      </c>
      <c r="E538" s="4" t="s">
        <v>10</v>
      </c>
      <c r="F538" s="4" t="s">
        <v>13</v>
      </c>
      <c r="G538" s="18">
        <v>5405</v>
      </c>
      <c r="H538" s="10">
        <v>2</v>
      </c>
      <c r="I538" s="4">
        <v>1</v>
      </c>
      <c r="J538" s="4" t="s">
        <v>14</v>
      </c>
      <c r="K538" s="3" t="s">
        <v>14</v>
      </c>
      <c r="L538" s="3" t="str">
        <f>IF(Table1[[#This Row],[Monthly Income]]&lt;3000,"Low",IF(Table1[[#This Row],[Monthly Income]]&lt;7000,"Medium","High"))</f>
        <v>Medium</v>
      </c>
      <c r="AK538" s="4"/>
      <c r="AL538" s="4"/>
      <c r="AM538" s="4"/>
      <c r="AN538" s="4"/>
      <c r="AO538" s="4"/>
      <c r="AP538" s="4"/>
      <c r="AQ538" s="4"/>
      <c r="AR538" s="4"/>
      <c r="AS538" s="4"/>
      <c r="AU538" s="4"/>
      <c r="AV538" s="4"/>
      <c r="AW538" s="4"/>
      <c r="AX538" s="4"/>
      <c r="AY538" s="4"/>
      <c r="AZ538" s="4"/>
      <c r="BA538" s="4"/>
      <c r="BB538" s="4"/>
      <c r="BC538" s="4"/>
      <c r="BD538" s="4"/>
      <c r="BE538" s="4"/>
    </row>
    <row r="539" spans="2:57" x14ac:dyDescent="0.3">
      <c r="B539" s="6" t="s">
        <v>562</v>
      </c>
      <c r="C539" s="6">
        <v>27</v>
      </c>
      <c r="D539" s="6" t="s">
        <v>17</v>
      </c>
      <c r="E539" s="6" t="s">
        <v>15</v>
      </c>
      <c r="F539" s="6" t="s">
        <v>27</v>
      </c>
      <c r="G539" s="19">
        <v>8793</v>
      </c>
      <c r="H539" s="11">
        <v>9</v>
      </c>
      <c r="I539" s="6">
        <v>1</v>
      </c>
      <c r="J539" s="6" t="s">
        <v>14</v>
      </c>
      <c r="K539" s="5" t="s">
        <v>14</v>
      </c>
      <c r="L539" s="3" t="str">
        <f>IF(Table1[[#This Row],[Monthly Income]]&lt;3000,"Low",IF(Table1[[#This Row],[Monthly Income]]&lt;7000,"Medium","High"))</f>
        <v>High</v>
      </c>
      <c r="AK539" s="6"/>
      <c r="AL539" s="6"/>
      <c r="AM539" s="6"/>
      <c r="AN539" s="6"/>
      <c r="AO539" s="6"/>
      <c r="AP539" s="6"/>
      <c r="AQ539" s="6"/>
      <c r="AR539" s="6"/>
      <c r="AS539" s="6"/>
      <c r="AU539" s="6"/>
      <c r="AV539" s="6"/>
      <c r="AW539" s="6"/>
      <c r="AX539" s="6"/>
      <c r="AY539" s="6"/>
      <c r="AZ539" s="6"/>
      <c r="BA539" s="6"/>
      <c r="BB539" s="6"/>
      <c r="BC539" s="6"/>
      <c r="BD539" s="6"/>
      <c r="BE539" s="6"/>
    </row>
    <row r="540" spans="2:57" x14ac:dyDescent="0.3">
      <c r="B540" s="4" t="s">
        <v>563</v>
      </c>
      <c r="C540" s="4">
        <v>41</v>
      </c>
      <c r="D540" s="4" t="s">
        <v>17</v>
      </c>
      <c r="E540" s="4" t="s">
        <v>102</v>
      </c>
      <c r="F540" s="4" t="s">
        <v>39</v>
      </c>
      <c r="G540" s="18">
        <v>19189</v>
      </c>
      <c r="H540" s="10">
        <v>22</v>
      </c>
      <c r="I540" s="4">
        <v>3</v>
      </c>
      <c r="J540" s="4" t="s">
        <v>14</v>
      </c>
      <c r="K540" s="3" t="s">
        <v>14</v>
      </c>
      <c r="L540" s="3" t="str">
        <f>IF(Table1[[#This Row],[Monthly Income]]&lt;3000,"Low",IF(Table1[[#This Row],[Monthly Income]]&lt;7000,"Medium","High"))</f>
        <v>High</v>
      </c>
      <c r="AK540" s="4"/>
      <c r="AL540" s="4"/>
      <c r="AM540" s="4"/>
      <c r="AN540" s="4"/>
      <c r="AO540" s="4"/>
      <c r="AP540" s="4"/>
      <c r="AQ540" s="4"/>
      <c r="AR540" s="4"/>
      <c r="AS540" s="4"/>
      <c r="AU540" s="4"/>
      <c r="AV540" s="4"/>
      <c r="AW540" s="4"/>
      <c r="AX540" s="4"/>
      <c r="AY540" s="4"/>
      <c r="AZ540" s="4"/>
      <c r="BA540" s="4"/>
      <c r="BB540" s="4"/>
      <c r="BC540" s="4"/>
      <c r="BD540" s="4"/>
      <c r="BE540" s="4"/>
    </row>
    <row r="541" spans="2:57" x14ac:dyDescent="0.3">
      <c r="B541" s="6" t="s">
        <v>564</v>
      </c>
      <c r="C541" s="6">
        <v>50</v>
      </c>
      <c r="D541" s="6" t="s">
        <v>17</v>
      </c>
      <c r="E541" s="6" t="s">
        <v>10</v>
      </c>
      <c r="F541" s="6" t="s">
        <v>43</v>
      </c>
      <c r="G541" s="19">
        <v>3875</v>
      </c>
      <c r="H541" s="11">
        <v>2</v>
      </c>
      <c r="I541" s="6">
        <v>2</v>
      </c>
      <c r="J541" s="6" t="s">
        <v>14</v>
      </c>
      <c r="K541" s="5" t="s">
        <v>14</v>
      </c>
      <c r="L541" s="3" t="str">
        <f>IF(Table1[[#This Row],[Monthly Income]]&lt;3000,"Low",IF(Table1[[#This Row],[Monthly Income]]&lt;7000,"Medium","High"))</f>
        <v>Medium</v>
      </c>
      <c r="AK541" s="6"/>
      <c r="AL541" s="6"/>
      <c r="AM541" s="6"/>
      <c r="AN541" s="6"/>
      <c r="AO541" s="6"/>
      <c r="AP541" s="6"/>
      <c r="AQ541" s="6"/>
      <c r="AR541" s="6"/>
      <c r="AS541" s="6"/>
      <c r="AU541" s="6"/>
      <c r="AV541" s="6"/>
      <c r="AW541" s="6"/>
      <c r="AX541" s="6"/>
      <c r="AY541" s="6"/>
      <c r="AZ541" s="6"/>
      <c r="BA541" s="6"/>
      <c r="BB541" s="6"/>
      <c r="BC541" s="6"/>
      <c r="BD541" s="6"/>
      <c r="BE541" s="6"/>
    </row>
    <row r="542" spans="2:57" x14ac:dyDescent="0.3">
      <c r="B542" s="4" t="s">
        <v>565</v>
      </c>
      <c r="C542" s="4">
        <v>28</v>
      </c>
      <c r="D542" s="4" t="s">
        <v>12</v>
      </c>
      <c r="E542" s="4" t="s">
        <v>15</v>
      </c>
      <c r="F542" s="4" t="s">
        <v>18</v>
      </c>
      <c r="G542" s="18">
        <v>2216</v>
      </c>
      <c r="H542" s="10">
        <v>7</v>
      </c>
      <c r="I542" s="4">
        <v>2</v>
      </c>
      <c r="J542" s="4" t="s">
        <v>9</v>
      </c>
      <c r="K542" s="3" t="s">
        <v>9</v>
      </c>
      <c r="L542" s="3" t="str">
        <f>IF(Table1[[#This Row],[Monthly Income]]&lt;3000,"Low",IF(Table1[[#This Row],[Monthly Income]]&lt;7000,"Medium","High"))</f>
        <v>Low</v>
      </c>
      <c r="AK542" s="4"/>
      <c r="AL542" s="4"/>
      <c r="AM542" s="4"/>
      <c r="AN542" s="4"/>
      <c r="AO542" s="4"/>
      <c r="AP542" s="4"/>
      <c r="AQ542" s="4"/>
      <c r="AR542" s="4"/>
      <c r="AS542" s="4"/>
      <c r="AU542" s="4"/>
      <c r="AV542" s="4"/>
      <c r="AW542" s="4"/>
      <c r="AX542" s="4"/>
      <c r="AY542" s="4"/>
      <c r="AZ542" s="4"/>
      <c r="BA542" s="4"/>
      <c r="BB542" s="4"/>
      <c r="BC542" s="4"/>
      <c r="BD542" s="4"/>
      <c r="BE542" s="4"/>
    </row>
    <row r="543" spans="2:57" x14ac:dyDescent="0.3">
      <c r="B543" s="6" t="s">
        <v>566</v>
      </c>
      <c r="C543" s="6">
        <v>36</v>
      </c>
      <c r="D543" s="6" t="s">
        <v>12</v>
      </c>
      <c r="E543" s="6" t="s">
        <v>15</v>
      </c>
      <c r="F543" s="6" t="s">
        <v>45</v>
      </c>
      <c r="G543" s="19">
        <v>11713</v>
      </c>
      <c r="H543" s="11">
        <v>8</v>
      </c>
      <c r="I543" s="6">
        <v>1</v>
      </c>
      <c r="J543" s="6" t="s">
        <v>14</v>
      </c>
      <c r="K543" s="5" t="s">
        <v>14</v>
      </c>
      <c r="L543" s="3" t="str">
        <f>IF(Table1[[#This Row],[Monthly Income]]&lt;3000,"Low",IF(Table1[[#This Row],[Monthly Income]]&lt;7000,"Medium","High"))</f>
        <v>High</v>
      </c>
      <c r="AK543" s="6"/>
      <c r="AL543" s="6"/>
      <c r="AM543" s="6"/>
      <c r="AN543" s="6"/>
      <c r="AO543" s="6"/>
      <c r="AP543" s="6"/>
      <c r="AQ543" s="6"/>
      <c r="AR543" s="6"/>
      <c r="AS543" s="6"/>
      <c r="AU543" s="6"/>
      <c r="AV543" s="6"/>
      <c r="AW543" s="6"/>
      <c r="AX543" s="6"/>
      <c r="AY543" s="6"/>
      <c r="AZ543" s="6"/>
      <c r="BA543" s="6"/>
      <c r="BB543" s="6"/>
      <c r="BC543" s="6"/>
      <c r="BD543" s="6"/>
      <c r="BE543" s="6"/>
    </row>
    <row r="544" spans="2:57" x14ac:dyDescent="0.3">
      <c r="B544" s="4" t="s">
        <v>567</v>
      </c>
      <c r="C544" s="4">
        <v>38</v>
      </c>
      <c r="D544" s="4" t="s">
        <v>12</v>
      </c>
      <c r="E544" s="4" t="s">
        <v>15</v>
      </c>
      <c r="F544" s="4" t="s">
        <v>27</v>
      </c>
      <c r="G544" s="18">
        <v>7861</v>
      </c>
      <c r="H544" s="10">
        <v>1</v>
      </c>
      <c r="I544" s="4">
        <v>3</v>
      </c>
      <c r="J544" s="4" t="s">
        <v>9</v>
      </c>
      <c r="K544" s="3" t="s">
        <v>14</v>
      </c>
      <c r="L544" s="3" t="str">
        <f>IF(Table1[[#This Row],[Monthly Income]]&lt;3000,"Low",IF(Table1[[#This Row],[Monthly Income]]&lt;7000,"Medium","High"))</f>
        <v>High</v>
      </c>
      <c r="AK544" s="4"/>
      <c r="AL544" s="4"/>
      <c r="AM544" s="4"/>
      <c r="AN544" s="4"/>
      <c r="AO544" s="4"/>
      <c r="AP544" s="4"/>
      <c r="AQ544" s="4"/>
      <c r="AR544" s="4"/>
      <c r="AS544" s="4"/>
      <c r="AU544" s="4"/>
      <c r="AV544" s="4"/>
      <c r="AW544" s="4"/>
      <c r="AX544" s="4"/>
      <c r="AY544" s="4"/>
      <c r="AZ544" s="4"/>
      <c r="BA544" s="4"/>
      <c r="BB544" s="4"/>
      <c r="BC544" s="4"/>
      <c r="BD544" s="4"/>
      <c r="BE544" s="4"/>
    </row>
    <row r="545" spans="2:57" x14ac:dyDescent="0.3">
      <c r="B545" s="6" t="s">
        <v>568</v>
      </c>
      <c r="C545" s="6">
        <v>44</v>
      </c>
      <c r="D545" s="6" t="s">
        <v>17</v>
      </c>
      <c r="E545" s="6" t="s">
        <v>15</v>
      </c>
      <c r="F545" s="6" t="s">
        <v>20</v>
      </c>
      <c r="G545" s="19">
        <v>3708</v>
      </c>
      <c r="H545" s="11">
        <v>5</v>
      </c>
      <c r="I545" s="6">
        <v>3</v>
      </c>
      <c r="J545" s="6" t="s">
        <v>14</v>
      </c>
      <c r="K545" s="5" t="s">
        <v>14</v>
      </c>
      <c r="L545" s="3" t="str">
        <f>IF(Table1[[#This Row],[Monthly Income]]&lt;3000,"Low",IF(Table1[[#This Row],[Monthly Income]]&lt;7000,"Medium","High"))</f>
        <v>Medium</v>
      </c>
      <c r="AK545" s="6"/>
      <c r="AL545" s="6"/>
      <c r="AM545" s="6"/>
      <c r="AN545" s="6"/>
      <c r="AO545" s="6"/>
      <c r="AP545" s="6"/>
      <c r="AQ545" s="6"/>
      <c r="AR545" s="6"/>
      <c r="AS545" s="6"/>
      <c r="AU545" s="6"/>
      <c r="AV545" s="6"/>
      <c r="AW545" s="6"/>
      <c r="AX545" s="6"/>
      <c r="AY545" s="6"/>
      <c r="AZ545" s="6"/>
      <c r="BA545" s="6"/>
      <c r="BB545" s="6"/>
      <c r="BC545" s="6"/>
      <c r="BD545" s="6"/>
      <c r="BE545" s="6"/>
    </row>
    <row r="546" spans="2:57" x14ac:dyDescent="0.3">
      <c r="B546" s="4" t="s">
        <v>569</v>
      </c>
      <c r="C546" s="4">
        <v>47</v>
      </c>
      <c r="D546" s="4" t="s">
        <v>12</v>
      </c>
      <c r="E546" s="4" t="s">
        <v>10</v>
      </c>
      <c r="F546" s="4" t="s">
        <v>13</v>
      </c>
      <c r="G546" s="18">
        <v>13770</v>
      </c>
      <c r="H546" s="10">
        <v>22</v>
      </c>
      <c r="I546" s="4">
        <v>3</v>
      </c>
      <c r="J546" s="4" t="s">
        <v>9</v>
      </c>
      <c r="K546" s="3" t="s">
        <v>14</v>
      </c>
      <c r="L546" s="3" t="str">
        <f>IF(Table1[[#This Row],[Monthly Income]]&lt;3000,"Low",IF(Table1[[#This Row],[Monthly Income]]&lt;7000,"Medium","High"))</f>
        <v>High</v>
      </c>
      <c r="AK546" s="4"/>
      <c r="AL546" s="4"/>
      <c r="AM546" s="4"/>
      <c r="AN546" s="4"/>
      <c r="AO546" s="4"/>
      <c r="AP546" s="4"/>
      <c r="AQ546" s="4"/>
      <c r="AR546" s="4"/>
      <c r="AS546" s="4"/>
      <c r="AU546" s="4"/>
      <c r="AV546" s="4"/>
      <c r="AW546" s="4"/>
      <c r="AX546" s="4"/>
      <c r="AY546" s="4"/>
      <c r="AZ546" s="4"/>
      <c r="BA546" s="4"/>
      <c r="BB546" s="4"/>
      <c r="BC546" s="4"/>
      <c r="BD546" s="4"/>
      <c r="BE546" s="4"/>
    </row>
    <row r="547" spans="2:57" x14ac:dyDescent="0.3">
      <c r="B547" s="6" t="s">
        <v>570</v>
      </c>
      <c r="C547" s="6">
        <v>30</v>
      </c>
      <c r="D547" s="6" t="s">
        <v>17</v>
      </c>
      <c r="E547" s="6" t="s">
        <v>10</v>
      </c>
      <c r="F547" s="6" t="s">
        <v>13</v>
      </c>
      <c r="G547" s="19">
        <v>5304</v>
      </c>
      <c r="H547" s="11">
        <v>8</v>
      </c>
      <c r="I547" s="6">
        <v>4</v>
      </c>
      <c r="J547" s="6" t="s">
        <v>14</v>
      </c>
      <c r="K547" s="5" t="s">
        <v>14</v>
      </c>
      <c r="L547" s="3" t="str">
        <f>IF(Table1[[#This Row],[Monthly Income]]&lt;3000,"Low",IF(Table1[[#This Row],[Monthly Income]]&lt;7000,"Medium","High"))</f>
        <v>Medium</v>
      </c>
      <c r="AK547" s="6"/>
      <c r="AL547" s="6"/>
      <c r="AM547" s="6"/>
      <c r="AN547" s="6"/>
      <c r="AO547" s="6"/>
      <c r="AP547" s="6"/>
      <c r="AQ547" s="6"/>
      <c r="AR547" s="6"/>
      <c r="AS547" s="6"/>
      <c r="AU547" s="6"/>
      <c r="AV547" s="6"/>
      <c r="AW547" s="6"/>
      <c r="AX547" s="6"/>
      <c r="AY547" s="6"/>
      <c r="AZ547" s="6"/>
      <c r="BA547" s="6"/>
      <c r="BB547" s="6"/>
      <c r="BC547" s="6"/>
      <c r="BD547" s="6"/>
      <c r="BE547" s="6"/>
    </row>
    <row r="548" spans="2:57" x14ac:dyDescent="0.3">
      <c r="B548" s="4" t="s">
        <v>571</v>
      </c>
      <c r="C548" s="4">
        <v>29</v>
      </c>
      <c r="D548" s="4" t="s">
        <v>17</v>
      </c>
      <c r="E548" s="4" t="s">
        <v>10</v>
      </c>
      <c r="F548" s="4" t="s">
        <v>43</v>
      </c>
      <c r="G548" s="18">
        <v>2642</v>
      </c>
      <c r="H548" s="10">
        <v>1</v>
      </c>
      <c r="I548" s="4">
        <v>3</v>
      </c>
      <c r="J548" s="4" t="s">
        <v>14</v>
      </c>
      <c r="K548" s="3" t="s">
        <v>14</v>
      </c>
      <c r="L548" s="3" t="str">
        <f>IF(Table1[[#This Row],[Monthly Income]]&lt;3000,"Low",IF(Table1[[#This Row],[Monthly Income]]&lt;7000,"Medium","High"))</f>
        <v>Low</v>
      </c>
      <c r="AK548" s="4"/>
      <c r="AL548" s="4"/>
      <c r="AM548" s="4"/>
      <c r="AN548" s="4"/>
      <c r="AO548" s="4"/>
      <c r="AP548" s="4"/>
      <c r="AQ548" s="4"/>
      <c r="AR548" s="4"/>
      <c r="AS548" s="4"/>
      <c r="AU548" s="4"/>
      <c r="AV548" s="4"/>
      <c r="AW548" s="4"/>
      <c r="AX548" s="4"/>
      <c r="AY548" s="4"/>
      <c r="AZ548" s="4"/>
      <c r="BA548" s="4"/>
      <c r="BB548" s="4"/>
      <c r="BC548" s="4"/>
      <c r="BD548" s="4"/>
      <c r="BE548" s="4"/>
    </row>
    <row r="549" spans="2:57" x14ac:dyDescent="0.3">
      <c r="B549" s="6" t="s">
        <v>572</v>
      </c>
      <c r="C549" s="6">
        <v>42</v>
      </c>
      <c r="D549" s="6" t="s">
        <v>17</v>
      </c>
      <c r="E549" s="6" t="s">
        <v>15</v>
      </c>
      <c r="F549" s="6" t="s">
        <v>18</v>
      </c>
      <c r="G549" s="19">
        <v>2759</v>
      </c>
      <c r="H549" s="11">
        <v>2</v>
      </c>
      <c r="I549" s="6">
        <v>3</v>
      </c>
      <c r="J549" s="6" t="s">
        <v>9</v>
      </c>
      <c r="K549" s="5" t="s">
        <v>9</v>
      </c>
      <c r="L549" s="3" t="str">
        <f>IF(Table1[[#This Row],[Monthly Income]]&lt;3000,"Low",IF(Table1[[#This Row],[Monthly Income]]&lt;7000,"Medium","High"))</f>
        <v>Low</v>
      </c>
      <c r="AK549" s="6"/>
      <c r="AL549" s="6"/>
      <c r="AM549" s="6"/>
      <c r="AN549" s="6"/>
      <c r="AO549" s="6"/>
      <c r="AP549" s="6"/>
      <c r="AQ549" s="6"/>
      <c r="AR549" s="6"/>
      <c r="AS549" s="6"/>
      <c r="AU549" s="6"/>
      <c r="AV549" s="6"/>
      <c r="AW549" s="6"/>
      <c r="AX549" s="6"/>
      <c r="AY549" s="6"/>
      <c r="AZ549" s="6"/>
      <c r="BA549" s="6"/>
      <c r="BB549" s="6"/>
      <c r="BC549" s="6"/>
      <c r="BD549" s="6"/>
      <c r="BE549" s="6"/>
    </row>
    <row r="550" spans="2:57" x14ac:dyDescent="0.3">
      <c r="B550" s="4" t="s">
        <v>573</v>
      </c>
      <c r="C550" s="4">
        <v>43</v>
      </c>
      <c r="D550" s="4" t="s">
        <v>17</v>
      </c>
      <c r="E550" s="4" t="s">
        <v>10</v>
      </c>
      <c r="F550" s="4" t="s">
        <v>13</v>
      </c>
      <c r="G550" s="18">
        <v>6804</v>
      </c>
      <c r="H550" s="10">
        <v>2</v>
      </c>
      <c r="I550" s="4">
        <v>4</v>
      </c>
      <c r="J550" s="4" t="s">
        <v>14</v>
      </c>
      <c r="K550" s="3" t="s">
        <v>14</v>
      </c>
      <c r="L550" s="3" t="str">
        <f>IF(Table1[[#This Row],[Monthly Income]]&lt;3000,"Low",IF(Table1[[#This Row],[Monthly Income]]&lt;7000,"Medium","High"))</f>
        <v>Medium</v>
      </c>
      <c r="AK550" s="4"/>
      <c r="AL550" s="4"/>
      <c r="AM550" s="4"/>
      <c r="AN550" s="4"/>
      <c r="AO550" s="4"/>
      <c r="AP550" s="4"/>
      <c r="AQ550" s="4"/>
      <c r="AR550" s="4"/>
      <c r="AS550" s="4"/>
      <c r="AU550" s="4"/>
      <c r="AV550" s="4"/>
      <c r="AW550" s="4"/>
      <c r="AX550" s="4"/>
      <c r="AY550" s="4"/>
      <c r="AZ550" s="4"/>
      <c r="BA550" s="4"/>
      <c r="BB550" s="4"/>
      <c r="BC550" s="4"/>
      <c r="BD550" s="4"/>
      <c r="BE550" s="4"/>
    </row>
    <row r="551" spans="2:57" x14ac:dyDescent="0.3">
      <c r="B551" s="6" t="s">
        <v>574</v>
      </c>
      <c r="C551" s="6">
        <v>34</v>
      </c>
      <c r="D551" s="6" t="s">
        <v>12</v>
      </c>
      <c r="E551" s="6" t="s">
        <v>15</v>
      </c>
      <c r="F551" s="6" t="s">
        <v>29</v>
      </c>
      <c r="G551" s="19">
        <v>6142</v>
      </c>
      <c r="H551" s="11">
        <v>5</v>
      </c>
      <c r="I551" s="6">
        <v>3</v>
      </c>
      <c r="J551" s="6" t="s">
        <v>14</v>
      </c>
      <c r="K551" s="5" t="s">
        <v>14</v>
      </c>
      <c r="L551" s="3" t="str">
        <f>IF(Table1[[#This Row],[Monthly Income]]&lt;3000,"Low",IF(Table1[[#This Row],[Monthly Income]]&lt;7000,"Medium","High"))</f>
        <v>Medium</v>
      </c>
      <c r="AK551" s="6"/>
      <c r="AL551" s="6"/>
      <c r="AM551" s="6"/>
      <c r="AN551" s="6"/>
      <c r="AO551" s="6"/>
      <c r="AP551" s="6"/>
      <c r="AQ551" s="6"/>
      <c r="AR551" s="6"/>
      <c r="AS551" s="6"/>
      <c r="AU551" s="6"/>
      <c r="AV551" s="6"/>
      <c r="AW551" s="6"/>
      <c r="AX551" s="6"/>
      <c r="AY551" s="6"/>
      <c r="AZ551" s="6"/>
      <c r="BA551" s="6"/>
      <c r="BB551" s="6"/>
      <c r="BC551" s="6"/>
      <c r="BD551" s="6"/>
      <c r="BE551" s="6"/>
    </row>
    <row r="552" spans="2:57" x14ac:dyDescent="0.3">
      <c r="B552" s="4" t="s">
        <v>575</v>
      </c>
      <c r="C552" s="4">
        <v>23</v>
      </c>
      <c r="D552" s="4" t="s">
        <v>17</v>
      </c>
      <c r="E552" s="4" t="s">
        <v>15</v>
      </c>
      <c r="F552" s="4" t="s">
        <v>20</v>
      </c>
      <c r="G552" s="18">
        <v>2500</v>
      </c>
      <c r="H552" s="10">
        <v>4</v>
      </c>
      <c r="I552" s="4">
        <v>1</v>
      </c>
      <c r="J552" s="4" t="s">
        <v>14</v>
      </c>
      <c r="K552" s="3" t="s">
        <v>14</v>
      </c>
      <c r="L552" s="3" t="str">
        <f>IF(Table1[[#This Row],[Monthly Income]]&lt;3000,"Low",IF(Table1[[#This Row],[Monthly Income]]&lt;7000,"Medium","High"))</f>
        <v>Low</v>
      </c>
      <c r="AK552" s="4"/>
      <c r="AL552" s="4"/>
      <c r="AM552" s="4"/>
      <c r="AN552" s="4"/>
      <c r="AO552" s="4"/>
      <c r="AP552" s="4"/>
      <c r="AQ552" s="4"/>
      <c r="AR552" s="4"/>
      <c r="AS552" s="4"/>
      <c r="AU552" s="4"/>
      <c r="AV552" s="4"/>
      <c r="AW552" s="4"/>
      <c r="AX552" s="4"/>
      <c r="AY552" s="4"/>
      <c r="AZ552" s="4"/>
      <c r="BA552" s="4"/>
      <c r="BB552" s="4"/>
      <c r="BC552" s="4"/>
      <c r="BD552" s="4"/>
      <c r="BE552" s="4"/>
    </row>
    <row r="553" spans="2:57" x14ac:dyDescent="0.3">
      <c r="B553" s="6" t="s">
        <v>576</v>
      </c>
      <c r="C553" s="6">
        <v>39</v>
      </c>
      <c r="D553" s="6" t="s">
        <v>12</v>
      </c>
      <c r="E553" s="6" t="s">
        <v>102</v>
      </c>
      <c r="F553" s="6" t="s">
        <v>104</v>
      </c>
      <c r="G553" s="19">
        <v>6389</v>
      </c>
      <c r="H553" s="11">
        <v>8</v>
      </c>
      <c r="I553" s="6">
        <v>2</v>
      </c>
      <c r="J553" s="6" t="s">
        <v>14</v>
      </c>
      <c r="K553" s="5" t="s">
        <v>14</v>
      </c>
      <c r="L553" s="3" t="str">
        <f>IF(Table1[[#This Row],[Monthly Income]]&lt;3000,"Low",IF(Table1[[#This Row],[Monthly Income]]&lt;7000,"Medium","High"))</f>
        <v>Medium</v>
      </c>
      <c r="AK553" s="6"/>
      <c r="AL553" s="6"/>
      <c r="AM553" s="6"/>
      <c r="AN553" s="6"/>
      <c r="AO553" s="6"/>
      <c r="AP553" s="6"/>
      <c r="AQ553" s="6"/>
      <c r="AR553" s="6"/>
      <c r="AS553" s="6"/>
      <c r="AU553" s="6"/>
      <c r="AV553" s="6"/>
      <c r="AW553" s="6"/>
      <c r="AX553" s="6"/>
      <c r="AY553" s="6"/>
      <c r="AZ553" s="6"/>
      <c r="BA553" s="6"/>
      <c r="BB553" s="6"/>
      <c r="BC553" s="6"/>
      <c r="BD553" s="6"/>
      <c r="BE553" s="6"/>
    </row>
    <row r="554" spans="2:57" x14ac:dyDescent="0.3">
      <c r="B554" s="4" t="s">
        <v>577</v>
      </c>
      <c r="C554" s="4">
        <v>56</v>
      </c>
      <c r="D554" s="4" t="s">
        <v>17</v>
      </c>
      <c r="E554" s="4" t="s">
        <v>15</v>
      </c>
      <c r="F554" s="4" t="s">
        <v>29</v>
      </c>
      <c r="G554" s="18">
        <v>11103</v>
      </c>
      <c r="H554" s="10">
        <v>10</v>
      </c>
      <c r="I554" s="4">
        <v>4</v>
      </c>
      <c r="J554" s="4" t="s">
        <v>14</v>
      </c>
      <c r="K554" s="3" t="s">
        <v>14</v>
      </c>
      <c r="L554" s="3" t="str">
        <f>IF(Table1[[#This Row],[Monthly Income]]&lt;3000,"Low",IF(Table1[[#This Row],[Monthly Income]]&lt;7000,"Medium","High"))</f>
        <v>High</v>
      </c>
      <c r="AK554" s="4"/>
      <c r="AL554" s="4"/>
      <c r="AM554" s="4"/>
      <c r="AN554" s="4"/>
      <c r="AO554" s="4"/>
      <c r="AP554" s="4"/>
      <c r="AQ554" s="4"/>
      <c r="AR554" s="4"/>
      <c r="AS554" s="4"/>
      <c r="AU554" s="4"/>
      <c r="AV554" s="4"/>
      <c r="AW554" s="4"/>
      <c r="AX554" s="4"/>
      <c r="AY554" s="4"/>
      <c r="AZ554" s="4"/>
      <c r="BA554" s="4"/>
      <c r="BB554" s="4"/>
      <c r="BC554" s="4"/>
      <c r="BD554" s="4"/>
      <c r="BE554" s="4"/>
    </row>
    <row r="555" spans="2:57" x14ac:dyDescent="0.3">
      <c r="B555" s="6" t="s">
        <v>578</v>
      </c>
      <c r="C555" s="6">
        <v>40</v>
      </c>
      <c r="D555" s="6" t="s">
        <v>12</v>
      </c>
      <c r="E555" s="6" t="s">
        <v>15</v>
      </c>
      <c r="F555" s="6" t="s">
        <v>18</v>
      </c>
      <c r="G555" s="19">
        <v>2342</v>
      </c>
      <c r="H555" s="11">
        <v>4</v>
      </c>
      <c r="I555" s="6">
        <v>4</v>
      </c>
      <c r="J555" s="6" t="s">
        <v>9</v>
      </c>
      <c r="K555" s="5" t="s">
        <v>14</v>
      </c>
      <c r="L555" s="3" t="str">
        <f>IF(Table1[[#This Row],[Monthly Income]]&lt;3000,"Low",IF(Table1[[#This Row],[Monthly Income]]&lt;7000,"Medium","High"))</f>
        <v>Low</v>
      </c>
      <c r="AK555" s="6"/>
      <c r="AL555" s="6"/>
      <c r="AM555" s="6"/>
      <c r="AN555" s="6"/>
      <c r="AO555" s="6"/>
      <c r="AP555" s="6"/>
      <c r="AQ555" s="6"/>
      <c r="AR555" s="6"/>
      <c r="AS555" s="6"/>
      <c r="AU555" s="6"/>
      <c r="AV555" s="6"/>
      <c r="AW555" s="6"/>
      <c r="AX555" s="6"/>
      <c r="AY555" s="6"/>
      <c r="AZ555" s="6"/>
      <c r="BA555" s="6"/>
      <c r="BB555" s="6"/>
      <c r="BC555" s="6"/>
      <c r="BD555" s="6"/>
      <c r="BE555" s="6"/>
    </row>
    <row r="556" spans="2:57" x14ac:dyDescent="0.3">
      <c r="B556" s="4" t="s">
        <v>579</v>
      </c>
      <c r="C556" s="4">
        <v>27</v>
      </c>
      <c r="D556" s="4" t="s">
        <v>12</v>
      </c>
      <c r="E556" s="4" t="s">
        <v>15</v>
      </c>
      <c r="F556" s="4" t="s">
        <v>29</v>
      </c>
      <c r="G556" s="18">
        <v>6811</v>
      </c>
      <c r="H556" s="10">
        <v>7</v>
      </c>
      <c r="I556" s="4">
        <v>1</v>
      </c>
      <c r="J556" s="4" t="s">
        <v>14</v>
      </c>
      <c r="K556" s="3" t="s">
        <v>14</v>
      </c>
      <c r="L556" s="3" t="str">
        <f>IF(Table1[[#This Row],[Monthly Income]]&lt;3000,"Low",IF(Table1[[#This Row],[Monthly Income]]&lt;7000,"Medium","High"))</f>
        <v>Medium</v>
      </c>
      <c r="AK556" s="4"/>
      <c r="AL556" s="4"/>
      <c r="AM556" s="4"/>
      <c r="AN556" s="4"/>
      <c r="AO556" s="4"/>
      <c r="AP556" s="4"/>
      <c r="AQ556" s="4"/>
      <c r="AR556" s="4"/>
      <c r="AS556" s="4"/>
      <c r="AU556" s="4"/>
      <c r="AV556" s="4"/>
      <c r="AW556" s="4"/>
      <c r="AX556" s="4"/>
      <c r="AY556" s="4"/>
      <c r="AZ556" s="4"/>
      <c r="BA556" s="4"/>
      <c r="BB556" s="4"/>
      <c r="BC556" s="4"/>
      <c r="BD556" s="4"/>
      <c r="BE556" s="4"/>
    </row>
    <row r="557" spans="2:57" x14ac:dyDescent="0.3">
      <c r="B557" s="6" t="s">
        <v>580</v>
      </c>
      <c r="C557" s="6">
        <v>29</v>
      </c>
      <c r="D557" s="6" t="s">
        <v>17</v>
      </c>
      <c r="E557" s="6" t="s">
        <v>10</v>
      </c>
      <c r="F557" s="6" t="s">
        <v>43</v>
      </c>
      <c r="G557" s="19">
        <v>2297</v>
      </c>
      <c r="H557" s="11">
        <v>2</v>
      </c>
      <c r="I557" s="6">
        <v>2</v>
      </c>
      <c r="J557" s="6" t="s">
        <v>14</v>
      </c>
      <c r="K557" s="5" t="s">
        <v>14</v>
      </c>
      <c r="L557" s="3" t="str">
        <f>IF(Table1[[#This Row],[Monthly Income]]&lt;3000,"Low",IF(Table1[[#This Row],[Monthly Income]]&lt;7000,"Medium","High"))</f>
        <v>Low</v>
      </c>
      <c r="AK557" s="6"/>
      <c r="AL557" s="6"/>
      <c r="AM557" s="6"/>
      <c r="AN557" s="6"/>
      <c r="AO557" s="6"/>
      <c r="AP557" s="6"/>
      <c r="AQ557" s="6"/>
      <c r="AR557" s="6"/>
      <c r="AS557" s="6"/>
      <c r="AU557" s="6"/>
      <c r="AV557" s="6"/>
      <c r="AW557" s="6"/>
      <c r="AX557" s="6"/>
      <c r="AY557" s="6"/>
      <c r="AZ557" s="6"/>
      <c r="BA557" s="6"/>
      <c r="BB557" s="6"/>
      <c r="BC557" s="6"/>
      <c r="BD557" s="6"/>
      <c r="BE557" s="6"/>
    </row>
    <row r="558" spans="2:57" x14ac:dyDescent="0.3">
      <c r="B558" s="4" t="s">
        <v>581</v>
      </c>
      <c r="C558" s="4">
        <v>53</v>
      </c>
      <c r="D558" s="4" t="s">
        <v>17</v>
      </c>
      <c r="E558" s="4" t="s">
        <v>15</v>
      </c>
      <c r="F558" s="4" t="s">
        <v>20</v>
      </c>
      <c r="G558" s="18">
        <v>2450</v>
      </c>
      <c r="H558" s="10">
        <v>2</v>
      </c>
      <c r="I558" s="4">
        <v>4</v>
      </c>
      <c r="J558" s="4" t="s">
        <v>14</v>
      </c>
      <c r="K558" s="3" t="s">
        <v>14</v>
      </c>
      <c r="L558" s="3" t="str">
        <f>IF(Table1[[#This Row],[Monthly Income]]&lt;3000,"Low",IF(Table1[[#This Row],[Monthly Income]]&lt;7000,"Medium","High"))</f>
        <v>Low</v>
      </c>
      <c r="AK558" s="4"/>
      <c r="AL558" s="4"/>
      <c r="AM558" s="4"/>
      <c r="AN558" s="4"/>
      <c r="AO558" s="4"/>
      <c r="AP558" s="4"/>
      <c r="AQ558" s="4"/>
      <c r="AR558" s="4"/>
      <c r="AS558" s="4"/>
      <c r="AU558" s="4"/>
      <c r="AV558" s="4"/>
      <c r="AW558" s="4"/>
      <c r="AX558" s="4"/>
      <c r="AY558" s="4"/>
      <c r="AZ558" s="4"/>
      <c r="BA558" s="4"/>
      <c r="BB558" s="4"/>
      <c r="BC558" s="4"/>
      <c r="BD558" s="4"/>
      <c r="BE558" s="4"/>
    </row>
    <row r="559" spans="2:57" x14ac:dyDescent="0.3">
      <c r="B559" s="6" t="s">
        <v>582</v>
      </c>
      <c r="C559" s="6">
        <v>35</v>
      </c>
      <c r="D559" s="6" t="s">
        <v>12</v>
      </c>
      <c r="E559" s="6" t="s">
        <v>15</v>
      </c>
      <c r="F559" s="6" t="s">
        <v>29</v>
      </c>
      <c r="G559" s="19">
        <v>5093</v>
      </c>
      <c r="H559" s="11">
        <v>1</v>
      </c>
      <c r="I559" s="6">
        <v>1</v>
      </c>
      <c r="J559" s="6" t="s">
        <v>14</v>
      </c>
      <c r="K559" s="5" t="s">
        <v>14</v>
      </c>
      <c r="L559" s="3" t="str">
        <f>IF(Table1[[#This Row],[Monthly Income]]&lt;3000,"Low",IF(Table1[[#This Row],[Monthly Income]]&lt;7000,"Medium","High"))</f>
        <v>Medium</v>
      </c>
      <c r="AK559" s="6"/>
      <c r="AL559" s="6"/>
      <c r="AM559" s="6"/>
      <c r="AN559" s="6"/>
      <c r="AO559" s="6"/>
      <c r="AP559" s="6"/>
      <c r="AQ559" s="6"/>
      <c r="AR559" s="6"/>
      <c r="AS559" s="6"/>
      <c r="AU559" s="6"/>
      <c r="AV559" s="6"/>
      <c r="AW559" s="6"/>
      <c r="AX559" s="6"/>
      <c r="AY559" s="6"/>
      <c r="AZ559" s="6"/>
      <c r="BA559" s="6"/>
      <c r="BB559" s="6"/>
      <c r="BC559" s="6"/>
      <c r="BD559" s="6"/>
      <c r="BE559" s="6"/>
    </row>
    <row r="560" spans="2:57" x14ac:dyDescent="0.3">
      <c r="B560" s="4" t="s">
        <v>583</v>
      </c>
      <c r="C560" s="4">
        <v>32</v>
      </c>
      <c r="D560" s="4" t="s">
        <v>17</v>
      </c>
      <c r="E560" s="4" t="s">
        <v>15</v>
      </c>
      <c r="F560" s="4" t="s">
        <v>20</v>
      </c>
      <c r="G560" s="18">
        <v>5309</v>
      </c>
      <c r="H560" s="10">
        <v>10</v>
      </c>
      <c r="I560" s="4">
        <v>4</v>
      </c>
      <c r="J560" s="4" t="s">
        <v>14</v>
      </c>
      <c r="K560" s="3" t="s">
        <v>14</v>
      </c>
      <c r="L560" s="3" t="str">
        <f>IF(Table1[[#This Row],[Monthly Income]]&lt;3000,"Low",IF(Table1[[#This Row],[Monthly Income]]&lt;7000,"Medium","High"))</f>
        <v>Medium</v>
      </c>
      <c r="AK560" s="4"/>
      <c r="AL560" s="4"/>
      <c r="AM560" s="4"/>
      <c r="AN560" s="4"/>
      <c r="AO560" s="4"/>
      <c r="AP560" s="4"/>
      <c r="AQ560" s="4"/>
      <c r="AR560" s="4"/>
      <c r="AS560" s="4"/>
      <c r="AU560" s="4"/>
      <c r="AV560" s="4"/>
      <c r="AW560" s="4"/>
      <c r="AX560" s="4"/>
      <c r="AY560" s="4"/>
      <c r="AZ560" s="4"/>
      <c r="BA560" s="4"/>
      <c r="BB560" s="4"/>
      <c r="BC560" s="4"/>
      <c r="BD560" s="4"/>
      <c r="BE560" s="4"/>
    </row>
    <row r="561" spans="2:57" x14ac:dyDescent="0.3">
      <c r="B561" s="6" t="s">
        <v>584</v>
      </c>
      <c r="C561" s="6">
        <v>38</v>
      </c>
      <c r="D561" s="6" t="s">
        <v>17</v>
      </c>
      <c r="E561" s="6" t="s">
        <v>15</v>
      </c>
      <c r="F561" s="6" t="s">
        <v>18</v>
      </c>
      <c r="G561" s="19">
        <v>3057</v>
      </c>
      <c r="H561" s="11">
        <v>1</v>
      </c>
      <c r="I561" s="6">
        <v>3</v>
      </c>
      <c r="J561" s="6" t="s">
        <v>9</v>
      </c>
      <c r="K561" s="5" t="s">
        <v>14</v>
      </c>
      <c r="L561" s="3" t="str">
        <f>IF(Table1[[#This Row],[Monthly Income]]&lt;3000,"Low",IF(Table1[[#This Row],[Monthly Income]]&lt;7000,"Medium","High"))</f>
        <v>Medium</v>
      </c>
      <c r="AK561" s="6"/>
      <c r="AL561" s="6"/>
      <c r="AM561" s="6"/>
      <c r="AN561" s="6"/>
      <c r="AO561" s="6"/>
      <c r="AP561" s="6"/>
      <c r="AQ561" s="6"/>
      <c r="AR561" s="6"/>
      <c r="AS561" s="6"/>
      <c r="AU561" s="6"/>
      <c r="AV561" s="6"/>
      <c r="AW561" s="6"/>
      <c r="AX561" s="6"/>
      <c r="AY561" s="6"/>
      <c r="AZ561" s="6"/>
      <c r="BA561" s="6"/>
      <c r="BB561" s="6"/>
      <c r="BC561" s="6"/>
      <c r="BD561" s="6"/>
      <c r="BE561" s="6"/>
    </row>
    <row r="562" spans="2:57" x14ac:dyDescent="0.3">
      <c r="B562" s="4" t="s">
        <v>585</v>
      </c>
      <c r="C562" s="4">
        <v>34</v>
      </c>
      <c r="D562" s="4" t="s">
        <v>12</v>
      </c>
      <c r="E562" s="4" t="s">
        <v>15</v>
      </c>
      <c r="F562" s="4" t="s">
        <v>27</v>
      </c>
      <c r="G562" s="18">
        <v>5121</v>
      </c>
      <c r="H562" s="10">
        <v>0</v>
      </c>
      <c r="I562" s="4">
        <v>1</v>
      </c>
      <c r="J562" s="4" t="s">
        <v>14</v>
      </c>
      <c r="K562" s="3" t="s">
        <v>14</v>
      </c>
      <c r="L562" s="3" t="str">
        <f>IF(Table1[[#This Row],[Monthly Income]]&lt;3000,"Low",IF(Table1[[#This Row],[Monthly Income]]&lt;7000,"Medium","High"))</f>
        <v>Medium</v>
      </c>
      <c r="AK562" s="4"/>
      <c r="AL562" s="4"/>
      <c r="AM562" s="4"/>
      <c r="AN562" s="4"/>
      <c r="AO562" s="4"/>
      <c r="AP562" s="4"/>
      <c r="AQ562" s="4"/>
      <c r="AR562" s="4"/>
      <c r="AS562" s="4"/>
      <c r="AU562" s="4"/>
      <c r="AV562" s="4"/>
      <c r="AW562" s="4"/>
      <c r="AX562" s="4"/>
      <c r="AY562" s="4"/>
      <c r="AZ562" s="4"/>
      <c r="BA562" s="4"/>
      <c r="BB562" s="4"/>
      <c r="BC562" s="4"/>
      <c r="BD562" s="4"/>
      <c r="BE562" s="4"/>
    </row>
    <row r="563" spans="2:57" x14ac:dyDescent="0.3">
      <c r="B563" s="6" t="s">
        <v>586</v>
      </c>
      <c r="C563" s="6">
        <v>52</v>
      </c>
      <c r="D563" s="6" t="s">
        <v>17</v>
      </c>
      <c r="E563" s="6" t="s">
        <v>10</v>
      </c>
      <c r="F563" s="6" t="s">
        <v>39</v>
      </c>
      <c r="G563" s="19">
        <v>16856</v>
      </c>
      <c r="H563" s="11">
        <v>34</v>
      </c>
      <c r="I563" s="6">
        <v>1</v>
      </c>
      <c r="J563" s="6" t="s">
        <v>14</v>
      </c>
      <c r="K563" s="5" t="s">
        <v>14</v>
      </c>
      <c r="L563" s="3" t="str">
        <f>IF(Table1[[#This Row],[Monthly Income]]&lt;3000,"Low",IF(Table1[[#This Row],[Monthly Income]]&lt;7000,"Medium","High"))</f>
        <v>High</v>
      </c>
      <c r="AK563" s="6"/>
      <c r="AL563" s="6"/>
      <c r="AM563" s="6"/>
      <c r="AN563" s="6"/>
      <c r="AO563" s="6"/>
      <c r="AP563" s="6"/>
      <c r="AQ563" s="6"/>
      <c r="AR563" s="6"/>
      <c r="AS563" s="6"/>
      <c r="AU563" s="6"/>
      <c r="AV563" s="6"/>
      <c r="AW563" s="6"/>
      <c r="AX563" s="6"/>
      <c r="AY563" s="6"/>
      <c r="AZ563" s="6"/>
      <c r="BA563" s="6"/>
      <c r="BB563" s="6"/>
      <c r="BC563" s="6"/>
      <c r="BD563" s="6"/>
      <c r="BE563" s="6"/>
    </row>
    <row r="564" spans="2:57" x14ac:dyDescent="0.3">
      <c r="B564" s="4" t="s">
        <v>587</v>
      </c>
      <c r="C564" s="4">
        <v>33</v>
      </c>
      <c r="D564" s="4" t="s">
        <v>17</v>
      </c>
      <c r="E564" s="4" t="s">
        <v>15</v>
      </c>
      <c r="F564" s="4" t="s">
        <v>18</v>
      </c>
      <c r="G564" s="18">
        <v>2686</v>
      </c>
      <c r="H564" s="10">
        <v>10</v>
      </c>
      <c r="I564" s="4">
        <v>4</v>
      </c>
      <c r="J564" s="4" t="s">
        <v>9</v>
      </c>
      <c r="K564" s="3" t="s">
        <v>9</v>
      </c>
      <c r="L564" s="3" t="str">
        <f>IF(Table1[[#This Row],[Monthly Income]]&lt;3000,"Low",IF(Table1[[#This Row],[Monthly Income]]&lt;7000,"Medium","High"))</f>
        <v>Low</v>
      </c>
      <c r="AK564" s="4"/>
      <c r="AL564" s="4"/>
      <c r="AM564" s="4"/>
      <c r="AN564" s="4"/>
      <c r="AO564" s="4"/>
      <c r="AP564" s="4"/>
      <c r="AQ564" s="4"/>
      <c r="AR564" s="4"/>
      <c r="AS564" s="4"/>
      <c r="AU564" s="4"/>
      <c r="AV564" s="4"/>
      <c r="AW564" s="4"/>
      <c r="AX564" s="4"/>
      <c r="AY564" s="4"/>
      <c r="AZ564" s="4"/>
      <c r="BA564" s="4"/>
      <c r="BB564" s="4"/>
      <c r="BC564" s="4"/>
      <c r="BD564" s="4"/>
      <c r="BE564" s="4"/>
    </row>
    <row r="565" spans="2:57" x14ac:dyDescent="0.3">
      <c r="B565" s="6" t="s">
        <v>588</v>
      </c>
      <c r="C565" s="6">
        <v>25</v>
      </c>
      <c r="D565" s="6" t="s">
        <v>12</v>
      </c>
      <c r="E565" s="6" t="s">
        <v>10</v>
      </c>
      <c r="F565" s="6" t="s">
        <v>13</v>
      </c>
      <c r="G565" s="19">
        <v>6180</v>
      </c>
      <c r="H565" s="11">
        <v>6</v>
      </c>
      <c r="I565" s="6">
        <v>4</v>
      </c>
      <c r="J565" s="6" t="s">
        <v>14</v>
      </c>
      <c r="K565" s="5" t="s">
        <v>14</v>
      </c>
      <c r="L565" s="3" t="str">
        <f>IF(Table1[[#This Row],[Monthly Income]]&lt;3000,"Low",IF(Table1[[#This Row],[Monthly Income]]&lt;7000,"Medium","High"))</f>
        <v>Medium</v>
      </c>
      <c r="AK565" s="6"/>
      <c r="AL565" s="6"/>
      <c r="AM565" s="6"/>
      <c r="AN565" s="6"/>
      <c r="AO565" s="6"/>
      <c r="AP565" s="6"/>
      <c r="AQ565" s="6"/>
      <c r="AR565" s="6"/>
      <c r="AS565" s="6"/>
      <c r="AU565" s="6"/>
      <c r="AV565" s="6"/>
      <c r="AW565" s="6"/>
      <c r="AX565" s="6"/>
      <c r="AY565" s="6"/>
      <c r="AZ565" s="6"/>
      <c r="BA565" s="6"/>
      <c r="BB565" s="6"/>
      <c r="BC565" s="6"/>
      <c r="BD565" s="6"/>
      <c r="BE565" s="6"/>
    </row>
    <row r="566" spans="2:57" x14ac:dyDescent="0.3">
      <c r="B566" s="4" t="s">
        <v>589</v>
      </c>
      <c r="C566" s="4">
        <v>45</v>
      </c>
      <c r="D566" s="4" t="s">
        <v>17</v>
      </c>
      <c r="E566" s="4" t="s">
        <v>10</v>
      </c>
      <c r="F566" s="4" t="s">
        <v>43</v>
      </c>
      <c r="G566" s="18">
        <v>6632</v>
      </c>
      <c r="H566" s="10">
        <v>8</v>
      </c>
      <c r="I566" s="4">
        <v>3</v>
      </c>
      <c r="J566" s="4" t="s">
        <v>14</v>
      </c>
      <c r="K566" s="3" t="s">
        <v>14</v>
      </c>
      <c r="L566" s="3" t="str">
        <f>IF(Table1[[#This Row],[Monthly Income]]&lt;3000,"Low",IF(Table1[[#This Row],[Monthly Income]]&lt;7000,"Medium","High"))</f>
        <v>Medium</v>
      </c>
      <c r="AK566" s="4"/>
      <c r="AL566" s="4"/>
      <c r="AM566" s="4"/>
      <c r="AN566" s="4"/>
      <c r="AO566" s="4"/>
      <c r="AP566" s="4"/>
      <c r="AQ566" s="4"/>
      <c r="AR566" s="4"/>
      <c r="AS566" s="4"/>
      <c r="AU566" s="4"/>
      <c r="AV566" s="4"/>
      <c r="AW566" s="4"/>
      <c r="AX566" s="4"/>
      <c r="AY566" s="4"/>
      <c r="AZ566" s="4"/>
      <c r="BA566" s="4"/>
      <c r="BB566" s="4"/>
      <c r="BC566" s="4"/>
      <c r="BD566" s="4"/>
      <c r="BE566" s="4"/>
    </row>
    <row r="567" spans="2:57" x14ac:dyDescent="0.3">
      <c r="B567" s="6" t="s">
        <v>590</v>
      </c>
      <c r="C567" s="6">
        <v>23</v>
      </c>
      <c r="D567" s="6" t="s">
        <v>17</v>
      </c>
      <c r="E567" s="6" t="s">
        <v>15</v>
      </c>
      <c r="F567" s="6" t="s">
        <v>18</v>
      </c>
      <c r="G567" s="19">
        <v>3505</v>
      </c>
      <c r="H567" s="11">
        <v>2</v>
      </c>
      <c r="I567" s="6">
        <v>3</v>
      </c>
      <c r="J567" s="6" t="s">
        <v>14</v>
      </c>
      <c r="K567" s="5" t="s">
        <v>14</v>
      </c>
      <c r="L567" s="3" t="str">
        <f>IF(Table1[[#This Row],[Monthly Income]]&lt;3000,"Low",IF(Table1[[#This Row],[Monthly Income]]&lt;7000,"Medium","High"))</f>
        <v>Medium</v>
      </c>
      <c r="AK567" s="6"/>
      <c r="AL567" s="6"/>
      <c r="AM567" s="6"/>
      <c r="AN567" s="6"/>
      <c r="AO567" s="6"/>
      <c r="AP567" s="6"/>
      <c r="AQ567" s="6"/>
      <c r="AR567" s="6"/>
      <c r="AS567" s="6"/>
      <c r="AU567" s="6"/>
      <c r="AV567" s="6"/>
      <c r="AW567" s="6"/>
      <c r="AX567" s="6"/>
      <c r="AY567" s="6"/>
      <c r="AZ567" s="6"/>
      <c r="BA567" s="6"/>
      <c r="BB567" s="6"/>
      <c r="BC567" s="6"/>
      <c r="BD567" s="6"/>
      <c r="BE567" s="6"/>
    </row>
    <row r="568" spans="2:57" x14ac:dyDescent="0.3">
      <c r="B568" s="4" t="s">
        <v>591</v>
      </c>
      <c r="C568" s="4">
        <v>47</v>
      </c>
      <c r="D568" s="4" t="s">
        <v>12</v>
      </c>
      <c r="E568" s="4" t="s">
        <v>10</v>
      </c>
      <c r="F568" s="4" t="s">
        <v>13</v>
      </c>
      <c r="G568" s="18">
        <v>6397</v>
      </c>
      <c r="H568" s="10">
        <v>5</v>
      </c>
      <c r="I568" s="4">
        <v>3</v>
      </c>
      <c r="J568" s="4" t="s">
        <v>9</v>
      </c>
      <c r="K568" s="3" t="s">
        <v>9</v>
      </c>
      <c r="L568" s="3" t="str">
        <f>IF(Table1[[#This Row],[Monthly Income]]&lt;3000,"Low",IF(Table1[[#This Row],[Monthly Income]]&lt;7000,"Medium","High"))</f>
        <v>Medium</v>
      </c>
      <c r="AK568" s="4"/>
      <c r="AL568" s="4"/>
      <c r="AM568" s="4"/>
      <c r="AN568" s="4"/>
      <c r="AO568" s="4"/>
      <c r="AP568" s="4"/>
      <c r="AQ568" s="4"/>
      <c r="AR568" s="4"/>
      <c r="AS568" s="4"/>
      <c r="AU568" s="4"/>
      <c r="AV568" s="4"/>
      <c r="AW568" s="4"/>
      <c r="AX568" s="4"/>
      <c r="AY568" s="4"/>
      <c r="AZ568" s="4"/>
      <c r="BA568" s="4"/>
      <c r="BB568" s="4"/>
      <c r="BC568" s="4"/>
      <c r="BD568" s="4"/>
      <c r="BE568" s="4"/>
    </row>
    <row r="569" spans="2:57" x14ac:dyDescent="0.3">
      <c r="B569" s="6" t="s">
        <v>592</v>
      </c>
      <c r="C569" s="6">
        <v>34</v>
      </c>
      <c r="D569" s="6" t="s">
        <v>17</v>
      </c>
      <c r="E569" s="6" t="s">
        <v>10</v>
      </c>
      <c r="F569" s="6" t="s">
        <v>13</v>
      </c>
      <c r="G569" s="19">
        <v>6274</v>
      </c>
      <c r="H569" s="11">
        <v>6</v>
      </c>
      <c r="I569" s="6">
        <v>4</v>
      </c>
      <c r="J569" s="6" t="s">
        <v>14</v>
      </c>
      <c r="K569" s="5" t="s">
        <v>14</v>
      </c>
      <c r="L569" s="3" t="str">
        <f>IF(Table1[[#This Row],[Monthly Income]]&lt;3000,"Low",IF(Table1[[#This Row],[Monthly Income]]&lt;7000,"Medium","High"))</f>
        <v>Medium</v>
      </c>
      <c r="AK569" s="6"/>
      <c r="AL569" s="6"/>
      <c r="AM569" s="6"/>
      <c r="AN569" s="6"/>
      <c r="AO569" s="6"/>
      <c r="AP569" s="6"/>
      <c r="AQ569" s="6"/>
      <c r="AR569" s="6"/>
      <c r="AS569" s="6"/>
      <c r="AU569" s="6"/>
      <c r="AV569" s="6"/>
      <c r="AW569" s="6"/>
      <c r="AX569" s="6"/>
      <c r="AY569" s="6"/>
      <c r="AZ569" s="6"/>
      <c r="BA569" s="6"/>
      <c r="BB569" s="6"/>
      <c r="BC569" s="6"/>
      <c r="BD569" s="6"/>
      <c r="BE569" s="6"/>
    </row>
    <row r="570" spans="2:57" x14ac:dyDescent="0.3">
      <c r="B570" s="4" t="s">
        <v>593</v>
      </c>
      <c r="C570" s="4">
        <v>55</v>
      </c>
      <c r="D570" s="4" t="s">
        <v>17</v>
      </c>
      <c r="E570" s="4" t="s">
        <v>15</v>
      </c>
      <c r="F570" s="4" t="s">
        <v>39</v>
      </c>
      <c r="G570" s="18">
        <v>19859</v>
      </c>
      <c r="H570" s="10">
        <v>5</v>
      </c>
      <c r="I570" s="4">
        <v>1</v>
      </c>
      <c r="J570" s="4" t="s">
        <v>9</v>
      </c>
      <c r="K570" s="3" t="s">
        <v>9</v>
      </c>
      <c r="L570" s="3" t="str">
        <f>IF(Table1[[#This Row],[Monthly Income]]&lt;3000,"Low",IF(Table1[[#This Row],[Monthly Income]]&lt;7000,"Medium","High"))</f>
        <v>High</v>
      </c>
      <c r="AK570" s="4"/>
      <c r="AL570" s="4"/>
      <c r="AM570" s="4"/>
      <c r="AN570" s="4"/>
      <c r="AO570" s="4"/>
      <c r="AP570" s="4"/>
      <c r="AQ570" s="4"/>
      <c r="AR570" s="4"/>
      <c r="AS570" s="4"/>
      <c r="AU570" s="4"/>
      <c r="AV570" s="4"/>
      <c r="AW570" s="4"/>
      <c r="AX570" s="4"/>
      <c r="AY570" s="4"/>
      <c r="AZ570" s="4"/>
      <c r="BA570" s="4"/>
      <c r="BB570" s="4"/>
      <c r="BC570" s="4"/>
      <c r="BD570" s="4"/>
      <c r="BE570" s="4"/>
    </row>
    <row r="571" spans="2:57" x14ac:dyDescent="0.3">
      <c r="B571" s="6" t="s">
        <v>594</v>
      </c>
      <c r="C571" s="6">
        <v>36</v>
      </c>
      <c r="D571" s="6" t="s">
        <v>17</v>
      </c>
      <c r="E571" s="6" t="s">
        <v>10</v>
      </c>
      <c r="F571" s="6" t="s">
        <v>13</v>
      </c>
      <c r="G571" s="19">
        <v>7587</v>
      </c>
      <c r="H571" s="11">
        <v>10</v>
      </c>
      <c r="I571" s="6">
        <v>1</v>
      </c>
      <c r="J571" s="6" t="s">
        <v>14</v>
      </c>
      <c r="K571" s="5" t="s">
        <v>14</v>
      </c>
      <c r="L571" s="3" t="str">
        <f>IF(Table1[[#This Row],[Monthly Income]]&lt;3000,"Low",IF(Table1[[#This Row],[Monthly Income]]&lt;7000,"Medium","High"))</f>
        <v>High</v>
      </c>
      <c r="AK571" s="6"/>
      <c r="AL571" s="6"/>
      <c r="AM571" s="6"/>
      <c r="AN571" s="6"/>
      <c r="AO571" s="6"/>
      <c r="AP571" s="6"/>
      <c r="AQ571" s="6"/>
      <c r="AR571" s="6"/>
      <c r="AS571" s="6"/>
      <c r="AU571" s="6"/>
      <c r="AV571" s="6"/>
      <c r="AW571" s="6"/>
      <c r="AX571" s="6"/>
      <c r="AY571" s="6"/>
      <c r="AZ571" s="6"/>
      <c r="BA571" s="6"/>
      <c r="BB571" s="6"/>
      <c r="BC571" s="6"/>
      <c r="BD571" s="6"/>
      <c r="BE571" s="6"/>
    </row>
    <row r="572" spans="2:57" x14ac:dyDescent="0.3">
      <c r="B572" s="4" t="s">
        <v>595</v>
      </c>
      <c r="C572" s="4">
        <v>52</v>
      </c>
      <c r="D572" s="4" t="s">
        <v>17</v>
      </c>
      <c r="E572" s="4" t="s">
        <v>15</v>
      </c>
      <c r="F572" s="4" t="s">
        <v>18</v>
      </c>
      <c r="G572" s="18">
        <v>4258</v>
      </c>
      <c r="H572" s="10">
        <v>4</v>
      </c>
      <c r="I572" s="4">
        <v>4</v>
      </c>
      <c r="J572" s="4" t="s">
        <v>14</v>
      </c>
      <c r="K572" s="3" t="s">
        <v>14</v>
      </c>
      <c r="L572" s="3" t="str">
        <f>IF(Table1[[#This Row],[Monthly Income]]&lt;3000,"Low",IF(Table1[[#This Row],[Monthly Income]]&lt;7000,"Medium","High"))</f>
        <v>Medium</v>
      </c>
      <c r="AK572" s="4"/>
      <c r="AL572" s="4"/>
      <c r="AM572" s="4"/>
      <c r="AN572" s="4"/>
      <c r="AO572" s="4"/>
      <c r="AP572" s="4"/>
      <c r="AQ572" s="4"/>
      <c r="AR572" s="4"/>
      <c r="AS572" s="4"/>
      <c r="AU572" s="4"/>
      <c r="AV572" s="4"/>
      <c r="AW572" s="4"/>
      <c r="AX572" s="4"/>
      <c r="AY572" s="4"/>
      <c r="AZ572" s="4"/>
      <c r="BA572" s="4"/>
      <c r="BB572" s="4"/>
      <c r="BC572" s="4"/>
      <c r="BD572" s="4"/>
      <c r="BE572" s="4"/>
    </row>
    <row r="573" spans="2:57" x14ac:dyDescent="0.3">
      <c r="B573" s="6" t="s">
        <v>596</v>
      </c>
      <c r="C573" s="6">
        <v>26</v>
      </c>
      <c r="D573" s="6" t="s">
        <v>12</v>
      </c>
      <c r="E573" s="6" t="s">
        <v>15</v>
      </c>
      <c r="F573" s="6" t="s">
        <v>20</v>
      </c>
      <c r="G573" s="19">
        <v>4364</v>
      </c>
      <c r="H573" s="11">
        <v>2</v>
      </c>
      <c r="I573" s="6">
        <v>4</v>
      </c>
      <c r="J573" s="6" t="s">
        <v>14</v>
      </c>
      <c r="K573" s="5" t="s">
        <v>14</v>
      </c>
      <c r="L573" s="3" t="str">
        <f>IF(Table1[[#This Row],[Monthly Income]]&lt;3000,"Low",IF(Table1[[#This Row],[Monthly Income]]&lt;7000,"Medium","High"))</f>
        <v>Medium</v>
      </c>
      <c r="AK573" s="6"/>
      <c r="AL573" s="6"/>
      <c r="AM573" s="6"/>
      <c r="AN573" s="6"/>
      <c r="AO573" s="6"/>
      <c r="AP573" s="6"/>
      <c r="AQ573" s="6"/>
      <c r="AR573" s="6"/>
      <c r="AS573" s="6"/>
      <c r="AU573" s="6"/>
      <c r="AV573" s="6"/>
      <c r="AW573" s="6"/>
      <c r="AX573" s="6"/>
      <c r="AY573" s="6"/>
      <c r="AZ573" s="6"/>
      <c r="BA573" s="6"/>
      <c r="BB573" s="6"/>
      <c r="BC573" s="6"/>
      <c r="BD573" s="6"/>
      <c r="BE573" s="6"/>
    </row>
    <row r="574" spans="2:57" x14ac:dyDescent="0.3">
      <c r="B574" s="4" t="s">
        <v>597</v>
      </c>
      <c r="C574" s="4">
        <v>29</v>
      </c>
      <c r="D574" s="4" t="s">
        <v>12</v>
      </c>
      <c r="E574" s="4" t="s">
        <v>15</v>
      </c>
      <c r="F574" s="4" t="s">
        <v>29</v>
      </c>
      <c r="G574" s="18">
        <v>4335</v>
      </c>
      <c r="H574" s="10">
        <v>8</v>
      </c>
      <c r="I574" s="4">
        <v>3</v>
      </c>
      <c r="J574" s="4" t="s">
        <v>14</v>
      </c>
      <c r="K574" s="3" t="s">
        <v>14</v>
      </c>
      <c r="L574" s="3" t="str">
        <f>IF(Table1[[#This Row],[Monthly Income]]&lt;3000,"Low",IF(Table1[[#This Row],[Monthly Income]]&lt;7000,"Medium","High"))</f>
        <v>Medium</v>
      </c>
      <c r="AK574" s="4"/>
      <c r="AL574" s="4"/>
      <c r="AM574" s="4"/>
      <c r="AN574" s="4"/>
      <c r="AO574" s="4"/>
      <c r="AP574" s="4"/>
      <c r="AQ574" s="4"/>
      <c r="AR574" s="4"/>
      <c r="AS574" s="4"/>
      <c r="AU574" s="4"/>
      <c r="AV574" s="4"/>
      <c r="AW574" s="4"/>
      <c r="AX574" s="4"/>
      <c r="AY574" s="4"/>
      <c r="AZ574" s="4"/>
      <c r="BA574" s="4"/>
      <c r="BB574" s="4"/>
      <c r="BC574" s="4"/>
      <c r="BD574" s="4"/>
      <c r="BE574" s="4"/>
    </row>
    <row r="575" spans="2:57" x14ac:dyDescent="0.3">
      <c r="B575" s="6" t="s">
        <v>598</v>
      </c>
      <c r="C575" s="6">
        <v>26</v>
      </c>
      <c r="D575" s="6" t="s">
        <v>17</v>
      </c>
      <c r="E575" s="6" t="s">
        <v>10</v>
      </c>
      <c r="F575" s="6" t="s">
        <v>13</v>
      </c>
      <c r="G575" s="19">
        <v>5326</v>
      </c>
      <c r="H575" s="11">
        <v>4</v>
      </c>
      <c r="I575" s="6">
        <v>1</v>
      </c>
      <c r="J575" s="6" t="s">
        <v>14</v>
      </c>
      <c r="K575" s="5" t="s">
        <v>9</v>
      </c>
      <c r="L575" s="3" t="str">
        <f>IF(Table1[[#This Row],[Monthly Income]]&lt;3000,"Low",IF(Table1[[#This Row],[Monthly Income]]&lt;7000,"Medium","High"))</f>
        <v>Medium</v>
      </c>
      <c r="AK575" s="6"/>
      <c r="AL575" s="6"/>
      <c r="AM575" s="6"/>
      <c r="AN575" s="6"/>
      <c r="AO575" s="6"/>
      <c r="AP575" s="6"/>
      <c r="AQ575" s="6"/>
      <c r="AR575" s="6"/>
      <c r="AS575" s="6"/>
      <c r="AU575" s="6"/>
      <c r="AV575" s="6"/>
      <c r="AW575" s="6"/>
      <c r="AX575" s="6"/>
      <c r="AY575" s="6"/>
      <c r="AZ575" s="6"/>
      <c r="BA575" s="6"/>
      <c r="BB575" s="6"/>
      <c r="BC575" s="6"/>
      <c r="BD575" s="6"/>
      <c r="BE575" s="6"/>
    </row>
    <row r="576" spans="2:57" x14ac:dyDescent="0.3">
      <c r="B576" s="4" t="s">
        <v>599</v>
      </c>
      <c r="C576" s="4">
        <v>34</v>
      </c>
      <c r="D576" s="4" t="s">
        <v>12</v>
      </c>
      <c r="E576" s="4" t="s">
        <v>15</v>
      </c>
      <c r="F576" s="4" t="s">
        <v>18</v>
      </c>
      <c r="G576" s="18">
        <v>3280</v>
      </c>
      <c r="H576" s="10">
        <v>4</v>
      </c>
      <c r="I576" s="4">
        <v>4</v>
      </c>
      <c r="J576" s="4" t="s">
        <v>14</v>
      </c>
      <c r="K576" s="3" t="s">
        <v>14</v>
      </c>
      <c r="L576" s="3" t="str">
        <f>IF(Table1[[#This Row],[Monthly Income]]&lt;3000,"Low",IF(Table1[[#This Row],[Monthly Income]]&lt;7000,"Medium","High"))</f>
        <v>Medium</v>
      </c>
      <c r="AK576" s="4"/>
      <c r="AL576" s="4"/>
      <c r="AM576" s="4"/>
      <c r="AN576" s="4"/>
      <c r="AO576" s="4"/>
      <c r="AP576" s="4"/>
      <c r="AQ576" s="4"/>
      <c r="AR576" s="4"/>
      <c r="AS576" s="4"/>
      <c r="AU576" s="4"/>
      <c r="AV576" s="4"/>
      <c r="AW576" s="4"/>
      <c r="AX576" s="4"/>
      <c r="AY576" s="4"/>
      <c r="AZ576" s="4"/>
      <c r="BA576" s="4"/>
      <c r="BB576" s="4"/>
      <c r="BC576" s="4"/>
      <c r="BD576" s="4"/>
      <c r="BE576" s="4"/>
    </row>
    <row r="577" spans="2:57" x14ac:dyDescent="0.3">
      <c r="B577" s="6" t="s">
        <v>600</v>
      </c>
      <c r="C577" s="6">
        <v>54</v>
      </c>
      <c r="D577" s="6" t="s">
        <v>12</v>
      </c>
      <c r="E577" s="6" t="s">
        <v>15</v>
      </c>
      <c r="F577" s="6" t="s">
        <v>27</v>
      </c>
      <c r="G577" s="19">
        <v>5485</v>
      </c>
      <c r="H577" s="11">
        <v>5</v>
      </c>
      <c r="I577" s="6">
        <v>1</v>
      </c>
      <c r="J577" s="6" t="s">
        <v>9</v>
      </c>
      <c r="K577" s="5" t="s">
        <v>14</v>
      </c>
      <c r="L577" s="3" t="str">
        <f>IF(Table1[[#This Row],[Monthly Income]]&lt;3000,"Low",IF(Table1[[#This Row],[Monthly Income]]&lt;7000,"Medium","High"))</f>
        <v>Medium</v>
      </c>
      <c r="AK577" s="6"/>
      <c r="AL577" s="6"/>
      <c r="AM577" s="6"/>
      <c r="AN577" s="6"/>
      <c r="AO577" s="6"/>
      <c r="AP577" s="6"/>
      <c r="AQ577" s="6"/>
      <c r="AR577" s="6"/>
      <c r="AS577" s="6"/>
      <c r="AU577" s="6"/>
      <c r="AV577" s="6"/>
      <c r="AW577" s="6"/>
      <c r="AX577" s="6"/>
      <c r="AY577" s="6"/>
      <c r="AZ577" s="6"/>
      <c r="BA577" s="6"/>
      <c r="BB577" s="6"/>
      <c r="BC577" s="6"/>
      <c r="BD577" s="6"/>
      <c r="BE577" s="6"/>
    </row>
    <row r="578" spans="2:57" x14ac:dyDescent="0.3">
      <c r="B578" s="4" t="s">
        <v>601</v>
      </c>
      <c r="C578" s="4">
        <v>27</v>
      </c>
      <c r="D578" s="4" t="s">
        <v>17</v>
      </c>
      <c r="E578" s="4" t="s">
        <v>10</v>
      </c>
      <c r="F578" s="4" t="s">
        <v>13</v>
      </c>
      <c r="G578" s="18">
        <v>4342</v>
      </c>
      <c r="H578" s="10">
        <v>4</v>
      </c>
      <c r="I578" s="4">
        <v>4</v>
      </c>
      <c r="J578" s="4" t="s">
        <v>14</v>
      </c>
      <c r="K578" s="3" t="s">
        <v>14</v>
      </c>
      <c r="L578" s="3" t="str">
        <f>IF(Table1[[#This Row],[Monthly Income]]&lt;3000,"Low",IF(Table1[[#This Row],[Monthly Income]]&lt;7000,"Medium","High"))</f>
        <v>Medium</v>
      </c>
      <c r="AK578" s="4"/>
      <c r="AL578" s="4"/>
      <c r="AM578" s="4"/>
      <c r="AN578" s="4"/>
      <c r="AO578" s="4"/>
      <c r="AP578" s="4"/>
      <c r="AQ578" s="4"/>
      <c r="AR578" s="4"/>
      <c r="AS578" s="4"/>
      <c r="AU578" s="4"/>
      <c r="AV578" s="4"/>
      <c r="AW578" s="4"/>
      <c r="AX578" s="4"/>
      <c r="AY578" s="4"/>
      <c r="AZ578" s="4"/>
      <c r="BA578" s="4"/>
      <c r="BB578" s="4"/>
      <c r="BC578" s="4"/>
      <c r="BD578" s="4"/>
      <c r="BE578" s="4"/>
    </row>
    <row r="579" spans="2:57" x14ac:dyDescent="0.3">
      <c r="B579" s="6" t="s">
        <v>602</v>
      </c>
      <c r="C579" s="6">
        <v>37</v>
      </c>
      <c r="D579" s="6" t="s">
        <v>12</v>
      </c>
      <c r="E579" s="6" t="s">
        <v>15</v>
      </c>
      <c r="F579" s="6" t="s">
        <v>18</v>
      </c>
      <c r="G579" s="19">
        <v>2782</v>
      </c>
      <c r="H579" s="11">
        <v>5</v>
      </c>
      <c r="I579" s="6">
        <v>1</v>
      </c>
      <c r="J579" s="6" t="s">
        <v>9</v>
      </c>
      <c r="K579" s="5" t="s">
        <v>14</v>
      </c>
      <c r="L579" s="3" t="str">
        <f>IF(Table1[[#This Row],[Monthly Income]]&lt;3000,"Low",IF(Table1[[#This Row],[Monthly Income]]&lt;7000,"Medium","High"))</f>
        <v>Low</v>
      </c>
      <c r="AK579" s="6"/>
      <c r="AL579" s="6"/>
      <c r="AM579" s="6"/>
      <c r="AN579" s="6"/>
      <c r="AO579" s="6"/>
      <c r="AP579" s="6"/>
      <c r="AQ579" s="6"/>
      <c r="AR579" s="6"/>
      <c r="AS579" s="6"/>
      <c r="AU579" s="6"/>
      <c r="AV579" s="6"/>
      <c r="AW579" s="6"/>
      <c r="AX579" s="6"/>
      <c r="AY579" s="6"/>
      <c r="AZ579" s="6"/>
      <c r="BA579" s="6"/>
      <c r="BB579" s="6"/>
      <c r="BC579" s="6"/>
      <c r="BD579" s="6"/>
      <c r="BE579" s="6"/>
    </row>
    <row r="580" spans="2:57" x14ac:dyDescent="0.3">
      <c r="B580" s="4" t="s">
        <v>603</v>
      </c>
      <c r="C580" s="4">
        <v>38</v>
      </c>
      <c r="D580" s="4" t="s">
        <v>12</v>
      </c>
      <c r="E580" s="4" t="s">
        <v>15</v>
      </c>
      <c r="F580" s="4" t="s">
        <v>27</v>
      </c>
      <c r="G580" s="18">
        <v>5980</v>
      </c>
      <c r="H580" s="10">
        <v>15</v>
      </c>
      <c r="I580" s="4">
        <v>1</v>
      </c>
      <c r="J580" s="4" t="s">
        <v>9</v>
      </c>
      <c r="K580" s="3" t="s">
        <v>14</v>
      </c>
      <c r="L580" s="3" t="str">
        <f>IF(Table1[[#This Row],[Monthly Income]]&lt;3000,"Low",IF(Table1[[#This Row],[Monthly Income]]&lt;7000,"Medium","High"))</f>
        <v>Medium</v>
      </c>
      <c r="AK580" s="4"/>
      <c r="AL580" s="4"/>
      <c r="AM580" s="4"/>
      <c r="AN580" s="4"/>
      <c r="AO580" s="4"/>
      <c r="AP580" s="4"/>
      <c r="AQ580" s="4"/>
      <c r="AR580" s="4"/>
      <c r="AS580" s="4"/>
      <c r="AU580" s="4"/>
      <c r="AV580" s="4"/>
      <c r="AW580" s="4"/>
      <c r="AX580" s="4"/>
      <c r="AY580" s="4"/>
      <c r="AZ580" s="4"/>
      <c r="BA580" s="4"/>
      <c r="BB580" s="4"/>
      <c r="BC580" s="4"/>
      <c r="BD580" s="4"/>
      <c r="BE580" s="4"/>
    </row>
    <row r="581" spans="2:57" x14ac:dyDescent="0.3">
      <c r="B581" s="6" t="s">
        <v>604</v>
      </c>
      <c r="C581" s="6">
        <v>34</v>
      </c>
      <c r="D581" s="6" t="s">
        <v>12</v>
      </c>
      <c r="E581" s="6" t="s">
        <v>15</v>
      </c>
      <c r="F581" s="6" t="s">
        <v>18</v>
      </c>
      <c r="G581" s="19">
        <v>4381</v>
      </c>
      <c r="H581" s="11">
        <v>6</v>
      </c>
      <c r="I581" s="6">
        <v>1</v>
      </c>
      <c r="J581" s="6" t="s">
        <v>14</v>
      </c>
      <c r="K581" s="5" t="s">
        <v>14</v>
      </c>
      <c r="L581" s="3" t="str">
        <f>IF(Table1[[#This Row],[Monthly Income]]&lt;3000,"Low",IF(Table1[[#This Row],[Monthly Income]]&lt;7000,"Medium","High"))</f>
        <v>Medium</v>
      </c>
      <c r="AK581" s="6"/>
      <c r="AL581" s="6"/>
      <c r="AM581" s="6"/>
      <c r="AN581" s="6"/>
      <c r="AO581" s="6"/>
      <c r="AP581" s="6"/>
      <c r="AQ581" s="6"/>
      <c r="AR581" s="6"/>
      <c r="AS581" s="6"/>
      <c r="AU581" s="6"/>
      <c r="AV581" s="6"/>
      <c r="AW581" s="6"/>
      <c r="AX581" s="6"/>
      <c r="AY581" s="6"/>
      <c r="AZ581" s="6"/>
      <c r="BA581" s="6"/>
      <c r="BB581" s="6"/>
      <c r="BC581" s="6"/>
      <c r="BD581" s="6"/>
      <c r="BE581" s="6"/>
    </row>
    <row r="582" spans="2:57" x14ac:dyDescent="0.3">
      <c r="B582" s="4" t="s">
        <v>605</v>
      </c>
      <c r="C582" s="4">
        <v>35</v>
      </c>
      <c r="D582" s="4" t="s">
        <v>12</v>
      </c>
      <c r="E582" s="4" t="s">
        <v>10</v>
      </c>
      <c r="F582" s="4" t="s">
        <v>43</v>
      </c>
      <c r="G582" s="18">
        <v>2572</v>
      </c>
      <c r="H582" s="10">
        <v>3</v>
      </c>
      <c r="I582" s="4">
        <v>4</v>
      </c>
      <c r="J582" s="4" t="s">
        <v>14</v>
      </c>
      <c r="K582" s="3" t="s">
        <v>14</v>
      </c>
      <c r="L582" s="3" t="str">
        <f>IF(Table1[[#This Row],[Monthly Income]]&lt;3000,"Low",IF(Table1[[#This Row],[Monthly Income]]&lt;7000,"Medium","High"))</f>
        <v>Low</v>
      </c>
      <c r="AK582" s="4"/>
      <c r="AL582" s="4"/>
      <c r="AM582" s="4"/>
      <c r="AN582" s="4"/>
      <c r="AO582" s="4"/>
      <c r="AP582" s="4"/>
      <c r="AQ582" s="4"/>
      <c r="AR582" s="4"/>
      <c r="AS582" s="4"/>
      <c r="AU582" s="4"/>
      <c r="AV582" s="4"/>
      <c r="AW582" s="4"/>
      <c r="AX582" s="4"/>
      <c r="AY582" s="4"/>
      <c r="AZ582" s="4"/>
      <c r="BA582" s="4"/>
      <c r="BB582" s="4"/>
      <c r="BC582" s="4"/>
      <c r="BD582" s="4"/>
      <c r="BE582" s="4"/>
    </row>
    <row r="583" spans="2:57" x14ac:dyDescent="0.3">
      <c r="B583" s="6" t="s">
        <v>606</v>
      </c>
      <c r="C583" s="6">
        <v>30</v>
      </c>
      <c r="D583" s="6" t="s">
        <v>17</v>
      </c>
      <c r="E583" s="6" t="s">
        <v>15</v>
      </c>
      <c r="F583" s="6" t="s">
        <v>20</v>
      </c>
      <c r="G583" s="19">
        <v>3833</v>
      </c>
      <c r="H583" s="11">
        <v>2</v>
      </c>
      <c r="I583" s="6">
        <v>3</v>
      </c>
      <c r="J583" s="6" t="s">
        <v>14</v>
      </c>
      <c r="K583" s="5" t="s">
        <v>14</v>
      </c>
      <c r="L583" s="3" t="str">
        <f>IF(Table1[[#This Row],[Monthly Income]]&lt;3000,"Low",IF(Table1[[#This Row],[Monthly Income]]&lt;7000,"Medium","High"))</f>
        <v>Medium</v>
      </c>
      <c r="AK583" s="6"/>
      <c r="AL583" s="6"/>
      <c r="AM583" s="6"/>
      <c r="AN583" s="6"/>
      <c r="AO583" s="6"/>
      <c r="AP583" s="6"/>
      <c r="AQ583" s="6"/>
      <c r="AR583" s="6"/>
      <c r="AS583" s="6"/>
      <c r="AU583" s="6"/>
      <c r="AV583" s="6"/>
      <c r="AW583" s="6"/>
      <c r="AX583" s="6"/>
      <c r="AY583" s="6"/>
      <c r="AZ583" s="6"/>
      <c r="BA583" s="6"/>
      <c r="BB583" s="6"/>
      <c r="BC583" s="6"/>
      <c r="BD583" s="6"/>
      <c r="BE583" s="6"/>
    </row>
    <row r="584" spans="2:57" x14ac:dyDescent="0.3">
      <c r="B584" s="4" t="s">
        <v>607</v>
      </c>
      <c r="C584" s="4">
        <v>40</v>
      </c>
      <c r="D584" s="4" t="s">
        <v>12</v>
      </c>
      <c r="E584" s="4" t="s">
        <v>15</v>
      </c>
      <c r="F584" s="4" t="s">
        <v>29</v>
      </c>
      <c r="G584" s="18">
        <v>4244</v>
      </c>
      <c r="H584" s="10">
        <v>8</v>
      </c>
      <c r="I584" s="4">
        <v>2</v>
      </c>
      <c r="J584" s="4" t="s">
        <v>14</v>
      </c>
      <c r="K584" s="3" t="s">
        <v>14</v>
      </c>
      <c r="L584" s="3" t="str">
        <f>IF(Table1[[#This Row],[Monthly Income]]&lt;3000,"Low",IF(Table1[[#This Row],[Monthly Income]]&lt;7000,"Medium","High"))</f>
        <v>Medium</v>
      </c>
      <c r="AK584" s="4"/>
      <c r="AL584" s="4"/>
      <c r="AM584" s="4"/>
      <c r="AN584" s="4"/>
      <c r="AO584" s="4"/>
      <c r="AP584" s="4"/>
      <c r="AQ584" s="4"/>
      <c r="AR584" s="4"/>
      <c r="AS584" s="4"/>
      <c r="AU584" s="4"/>
      <c r="AV584" s="4"/>
      <c r="AW584" s="4"/>
      <c r="AX584" s="4"/>
      <c r="AY584" s="4"/>
      <c r="AZ584" s="4"/>
      <c r="BA584" s="4"/>
      <c r="BB584" s="4"/>
      <c r="BC584" s="4"/>
      <c r="BD584" s="4"/>
      <c r="BE584" s="4"/>
    </row>
    <row r="585" spans="2:57" x14ac:dyDescent="0.3">
      <c r="B585" s="6" t="s">
        <v>608</v>
      </c>
      <c r="C585" s="6">
        <v>34</v>
      </c>
      <c r="D585" s="6" t="s">
        <v>12</v>
      </c>
      <c r="E585" s="6" t="s">
        <v>10</v>
      </c>
      <c r="F585" s="6" t="s">
        <v>13</v>
      </c>
      <c r="G585" s="19">
        <v>6500</v>
      </c>
      <c r="H585" s="11">
        <v>3</v>
      </c>
      <c r="I585" s="6">
        <v>1</v>
      </c>
      <c r="J585" s="6" t="s">
        <v>14</v>
      </c>
      <c r="K585" s="5" t="s">
        <v>14</v>
      </c>
      <c r="L585" s="3" t="str">
        <f>IF(Table1[[#This Row],[Monthly Income]]&lt;3000,"Low",IF(Table1[[#This Row],[Monthly Income]]&lt;7000,"Medium","High"))</f>
        <v>Medium</v>
      </c>
      <c r="AK585" s="6"/>
      <c r="AL585" s="6"/>
      <c r="AM585" s="6"/>
      <c r="AN585" s="6"/>
      <c r="AO585" s="6"/>
      <c r="AP585" s="6"/>
      <c r="AQ585" s="6"/>
      <c r="AR585" s="6"/>
      <c r="AS585" s="6"/>
      <c r="AU585" s="6"/>
      <c r="AV585" s="6"/>
      <c r="AW585" s="6"/>
      <c r="AX585" s="6"/>
      <c r="AY585" s="6"/>
      <c r="AZ585" s="6"/>
      <c r="BA585" s="6"/>
      <c r="BB585" s="6"/>
      <c r="BC585" s="6"/>
      <c r="BD585" s="6"/>
      <c r="BE585" s="6"/>
    </row>
    <row r="586" spans="2:57" x14ac:dyDescent="0.3">
      <c r="B586" s="4" t="s">
        <v>609</v>
      </c>
      <c r="C586" s="4">
        <v>42</v>
      </c>
      <c r="D586" s="4" t="s">
        <v>17</v>
      </c>
      <c r="E586" s="4" t="s">
        <v>15</v>
      </c>
      <c r="F586" s="4" t="s">
        <v>39</v>
      </c>
      <c r="G586" s="18">
        <v>18430</v>
      </c>
      <c r="H586" s="10">
        <v>24</v>
      </c>
      <c r="I586" s="4">
        <v>4</v>
      </c>
      <c r="J586" s="4" t="s">
        <v>14</v>
      </c>
      <c r="K586" s="3" t="s">
        <v>14</v>
      </c>
      <c r="L586" s="3" t="str">
        <f>IF(Table1[[#This Row],[Monthly Income]]&lt;3000,"Low",IF(Table1[[#This Row],[Monthly Income]]&lt;7000,"Medium","High"))</f>
        <v>High</v>
      </c>
      <c r="AK586" s="4"/>
      <c r="AL586" s="4"/>
      <c r="AM586" s="4"/>
      <c r="AN586" s="4"/>
      <c r="AO586" s="4"/>
      <c r="AP586" s="4"/>
      <c r="AQ586" s="4"/>
      <c r="AR586" s="4"/>
      <c r="AS586" s="4"/>
      <c r="AU586" s="4"/>
      <c r="AV586" s="4"/>
      <c r="AW586" s="4"/>
      <c r="AX586" s="4"/>
      <c r="AY586" s="4"/>
      <c r="AZ586" s="4"/>
      <c r="BA586" s="4"/>
      <c r="BB586" s="4"/>
      <c r="BC586" s="4"/>
      <c r="BD586" s="4"/>
      <c r="BE586" s="4"/>
    </row>
    <row r="587" spans="2:57" x14ac:dyDescent="0.3">
      <c r="B587" s="6" t="s">
        <v>610</v>
      </c>
      <c r="C587" s="6">
        <v>23</v>
      </c>
      <c r="D587" s="6" t="s">
        <v>17</v>
      </c>
      <c r="E587" s="6" t="s">
        <v>15</v>
      </c>
      <c r="F587" s="6" t="s">
        <v>20</v>
      </c>
      <c r="G587" s="19">
        <v>1601</v>
      </c>
      <c r="H587" s="11">
        <v>0</v>
      </c>
      <c r="I587" s="6">
        <v>1</v>
      </c>
      <c r="J587" s="6" t="s">
        <v>9</v>
      </c>
      <c r="K587" s="5" t="s">
        <v>9</v>
      </c>
      <c r="L587" s="3" t="str">
        <f>IF(Table1[[#This Row],[Monthly Income]]&lt;3000,"Low",IF(Table1[[#This Row],[Monthly Income]]&lt;7000,"Medium","High"))</f>
        <v>Low</v>
      </c>
      <c r="AK587" s="6"/>
      <c r="AL587" s="6"/>
      <c r="AM587" s="6"/>
      <c r="AN587" s="6"/>
      <c r="AO587" s="6"/>
      <c r="AP587" s="6"/>
      <c r="AQ587" s="6"/>
      <c r="AR587" s="6"/>
      <c r="AS587" s="6"/>
      <c r="AU587" s="6"/>
      <c r="AV587" s="6"/>
      <c r="AW587" s="6"/>
      <c r="AX587" s="6"/>
      <c r="AY587" s="6"/>
      <c r="AZ587" s="6"/>
      <c r="BA587" s="6"/>
      <c r="BB587" s="6"/>
      <c r="BC587" s="6"/>
      <c r="BD587" s="6"/>
      <c r="BE587" s="6"/>
    </row>
    <row r="588" spans="2:57" x14ac:dyDescent="0.3">
      <c r="B588" s="4" t="s">
        <v>611</v>
      </c>
      <c r="C588" s="4">
        <v>24</v>
      </c>
      <c r="D588" s="4" t="s">
        <v>17</v>
      </c>
      <c r="E588" s="4" t="s">
        <v>15</v>
      </c>
      <c r="F588" s="4" t="s">
        <v>20</v>
      </c>
      <c r="G588" s="18">
        <v>2694</v>
      </c>
      <c r="H588" s="10">
        <v>1</v>
      </c>
      <c r="I588" s="4">
        <v>2</v>
      </c>
      <c r="J588" s="4" t="s">
        <v>14</v>
      </c>
      <c r="K588" s="3" t="s">
        <v>14</v>
      </c>
      <c r="L588" s="3" t="str">
        <f>IF(Table1[[#This Row],[Monthly Income]]&lt;3000,"Low",IF(Table1[[#This Row],[Monthly Income]]&lt;7000,"Medium","High"))</f>
        <v>Low</v>
      </c>
      <c r="AK588" s="4"/>
      <c r="AL588" s="4"/>
      <c r="AM588" s="4"/>
      <c r="AN588" s="4"/>
      <c r="AO588" s="4"/>
      <c r="AP588" s="4"/>
      <c r="AQ588" s="4"/>
      <c r="AR588" s="4"/>
      <c r="AS588" s="4"/>
      <c r="AU588" s="4"/>
      <c r="AV588" s="4"/>
      <c r="AW588" s="4"/>
      <c r="AX588" s="4"/>
      <c r="AY588" s="4"/>
      <c r="AZ588" s="4"/>
      <c r="BA588" s="4"/>
      <c r="BB588" s="4"/>
      <c r="BC588" s="4"/>
      <c r="BD588" s="4"/>
      <c r="BE588" s="4"/>
    </row>
    <row r="589" spans="2:57" x14ac:dyDescent="0.3">
      <c r="B589" s="6" t="s">
        <v>612</v>
      </c>
      <c r="C589" s="6">
        <v>52</v>
      </c>
      <c r="D589" s="6" t="s">
        <v>12</v>
      </c>
      <c r="E589" s="6" t="s">
        <v>15</v>
      </c>
      <c r="F589" s="6" t="s">
        <v>20</v>
      </c>
      <c r="G589" s="19">
        <v>3149</v>
      </c>
      <c r="H589" s="11">
        <v>5</v>
      </c>
      <c r="I589" s="6">
        <v>3</v>
      </c>
      <c r="J589" s="6" t="s">
        <v>14</v>
      </c>
      <c r="K589" s="5" t="s">
        <v>14</v>
      </c>
      <c r="L589" s="3" t="str">
        <f>IF(Table1[[#This Row],[Monthly Income]]&lt;3000,"Low",IF(Table1[[#This Row],[Monthly Income]]&lt;7000,"Medium","High"))</f>
        <v>Medium</v>
      </c>
      <c r="AK589" s="6"/>
      <c r="AL589" s="6"/>
      <c r="AM589" s="6"/>
      <c r="AN589" s="6"/>
      <c r="AO589" s="6"/>
      <c r="AP589" s="6"/>
      <c r="AQ589" s="6"/>
      <c r="AR589" s="6"/>
      <c r="AS589" s="6"/>
      <c r="AU589" s="6"/>
      <c r="AV589" s="6"/>
      <c r="AW589" s="6"/>
      <c r="AX589" s="6"/>
      <c r="AY589" s="6"/>
      <c r="AZ589" s="6"/>
      <c r="BA589" s="6"/>
      <c r="BB589" s="6"/>
      <c r="BC589" s="6"/>
      <c r="BD589" s="6"/>
      <c r="BE589" s="6"/>
    </row>
    <row r="590" spans="2:57" x14ac:dyDescent="0.3">
      <c r="B590" s="4" t="s">
        <v>613</v>
      </c>
      <c r="C590" s="4">
        <v>50</v>
      </c>
      <c r="D590" s="4" t="s">
        <v>17</v>
      </c>
      <c r="E590" s="4" t="s">
        <v>15</v>
      </c>
      <c r="F590" s="4" t="s">
        <v>45</v>
      </c>
      <c r="G590" s="18">
        <v>17639</v>
      </c>
      <c r="H590" s="10">
        <v>4</v>
      </c>
      <c r="I590" s="4">
        <v>3</v>
      </c>
      <c r="J590" s="4" t="s">
        <v>14</v>
      </c>
      <c r="K590" s="3" t="s">
        <v>14</v>
      </c>
      <c r="L590" s="3" t="str">
        <f>IF(Table1[[#This Row],[Monthly Income]]&lt;3000,"Low",IF(Table1[[#This Row],[Monthly Income]]&lt;7000,"Medium","High"))</f>
        <v>High</v>
      </c>
      <c r="AK590" s="4"/>
      <c r="AL590" s="4"/>
      <c r="AM590" s="4"/>
      <c r="AN590" s="4"/>
      <c r="AO590" s="4"/>
      <c r="AP590" s="4"/>
      <c r="AQ590" s="4"/>
      <c r="AR590" s="4"/>
      <c r="AS590" s="4"/>
      <c r="AU590" s="4"/>
      <c r="AV590" s="4"/>
      <c r="AW590" s="4"/>
      <c r="AX590" s="4"/>
      <c r="AY590" s="4"/>
      <c r="AZ590" s="4"/>
      <c r="BA590" s="4"/>
      <c r="BB590" s="4"/>
      <c r="BC590" s="4"/>
      <c r="BD590" s="4"/>
      <c r="BE590" s="4"/>
    </row>
    <row r="591" spans="2:57" x14ac:dyDescent="0.3">
      <c r="B591" s="6" t="s">
        <v>614</v>
      </c>
      <c r="C591" s="6">
        <v>29</v>
      </c>
      <c r="D591" s="6" t="s">
        <v>12</v>
      </c>
      <c r="E591" s="6" t="s">
        <v>15</v>
      </c>
      <c r="F591" s="6" t="s">
        <v>20</v>
      </c>
      <c r="G591" s="19">
        <v>2319</v>
      </c>
      <c r="H591" s="11">
        <v>1</v>
      </c>
      <c r="I591" s="6">
        <v>1</v>
      </c>
      <c r="J591" s="6" t="s">
        <v>9</v>
      </c>
      <c r="K591" s="5" t="s">
        <v>9</v>
      </c>
      <c r="L591" s="3" t="str">
        <f>IF(Table1[[#This Row],[Monthly Income]]&lt;3000,"Low",IF(Table1[[#This Row],[Monthly Income]]&lt;7000,"Medium","High"))</f>
        <v>Low</v>
      </c>
      <c r="AK591" s="6"/>
      <c r="AL591" s="6"/>
      <c r="AM591" s="6"/>
      <c r="AN591" s="6"/>
      <c r="AO591" s="6"/>
      <c r="AP591" s="6"/>
      <c r="AQ591" s="6"/>
      <c r="AR591" s="6"/>
      <c r="AS591" s="6"/>
      <c r="AU591" s="6"/>
      <c r="AV591" s="6"/>
      <c r="AW591" s="6"/>
      <c r="AX591" s="6"/>
      <c r="AY591" s="6"/>
      <c r="AZ591" s="6"/>
      <c r="BA591" s="6"/>
      <c r="BB591" s="6"/>
      <c r="BC591" s="6"/>
      <c r="BD591" s="6"/>
      <c r="BE591" s="6"/>
    </row>
    <row r="592" spans="2:57" x14ac:dyDescent="0.3">
      <c r="B592" s="4" t="s">
        <v>615</v>
      </c>
      <c r="C592" s="4">
        <v>33</v>
      </c>
      <c r="D592" s="4" t="s">
        <v>17</v>
      </c>
      <c r="E592" s="4" t="s">
        <v>15</v>
      </c>
      <c r="F592" s="4" t="s">
        <v>45</v>
      </c>
      <c r="G592" s="18">
        <v>11691</v>
      </c>
      <c r="H592" s="10">
        <v>13</v>
      </c>
      <c r="I592" s="4">
        <v>3</v>
      </c>
      <c r="J592" s="4" t="s">
        <v>14</v>
      </c>
      <c r="K592" s="3" t="s">
        <v>14</v>
      </c>
      <c r="L592" s="3" t="str">
        <f>IF(Table1[[#This Row],[Monthly Income]]&lt;3000,"Low",IF(Table1[[#This Row],[Monthly Income]]&lt;7000,"Medium","High"))</f>
        <v>High</v>
      </c>
      <c r="AK592" s="4"/>
      <c r="AL592" s="4"/>
      <c r="AM592" s="4"/>
      <c r="AN592" s="4"/>
      <c r="AO592" s="4"/>
      <c r="AP592" s="4"/>
      <c r="AQ592" s="4"/>
      <c r="AR592" s="4"/>
      <c r="AS592" s="4"/>
      <c r="AU592" s="4"/>
      <c r="AV592" s="4"/>
      <c r="AW592" s="4"/>
      <c r="AX592" s="4"/>
      <c r="AY592" s="4"/>
      <c r="AZ592" s="4"/>
      <c r="BA592" s="4"/>
      <c r="BB592" s="4"/>
      <c r="BC592" s="4"/>
      <c r="BD592" s="4"/>
      <c r="BE592" s="4"/>
    </row>
    <row r="593" spans="2:57" x14ac:dyDescent="0.3">
      <c r="B593" s="6" t="s">
        <v>616</v>
      </c>
      <c r="C593" s="6">
        <v>33</v>
      </c>
      <c r="D593" s="6" t="s">
        <v>12</v>
      </c>
      <c r="E593" s="6" t="s">
        <v>10</v>
      </c>
      <c r="F593" s="6" t="s">
        <v>13</v>
      </c>
      <c r="G593" s="19">
        <v>5324</v>
      </c>
      <c r="H593" s="11">
        <v>3</v>
      </c>
      <c r="I593" s="6">
        <v>1</v>
      </c>
      <c r="J593" s="6" t="s">
        <v>14</v>
      </c>
      <c r="K593" s="5" t="s">
        <v>9</v>
      </c>
      <c r="L593" s="3" t="str">
        <f>IF(Table1[[#This Row],[Monthly Income]]&lt;3000,"Low",IF(Table1[[#This Row],[Monthly Income]]&lt;7000,"Medium","High"))</f>
        <v>Medium</v>
      </c>
      <c r="AK593" s="6"/>
      <c r="AL593" s="6"/>
      <c r="AM593" s="6"/>
      <c r="AN593" s="6"/>
      <c r="AO593" s="6"/>
      <c r="AP593" s="6"/>
      <c r="AQ593" s="6"/>
      <c r="AR593" s="6"/>
      <c r="AS593" s="6"/>
      <c r="AU593" s="6"/>
      <c r="AV593" s="6"/>
      <c r="AW593" s="6"/>
      <c r="AX593" s="6"/>
      <c r="AY593" s="6"/>
      <c r="AZ593" s="6"/>
      <c r="BA593" s="6"/>
      <c r="BB593" s="6"/>
      <c r="BC593" s="6"/>
      <c r="BD593" s="6"/>
      <c r="BE593" s="6"/>
    </row>
    <row r="594" spans="2:57" x14ac:dyDescent="0.3">
      <c r="B594" s="4" t="s">
        <v>617</v>
      </c>
      <c r="C594" s="4">
        <v>47</v>
      </c>
      <c r="D594" s="4" t="s">
        <v>12</v>
      </c>
      <c r="E594" s="4" t="s">
        <v>15</v>
      </c>
      <c r="F594" s="4" t="s">
        <v>39</v>
      </c>
      <c r="G594" s="18">
        <v>16752</v>
      </c>
      <c r="H594" s="10">
        <v>26</v>
      </c>
      <c r="I594" s="4">
        <v>4</v>
      </c>
      <c r="J594" s="4" t="s">
        <v>9</v>
      </c>
      <c r="K594" s="3" t="s">
        <v>14</v>
      </c>
      <c r="L594" s="3" t="str">
        <f>IF(Table1[[#This Row],[Monthly Income]]&lt;3000,"Low",IF(Table1[[#This Row],[Monthly Income]]&lt;7000,"Medium","High"))</f>
        <v>High</v>
      </c>
      <c r="AK594" s="4"/>
      <c r="AL594" s="4"/>
      <c r="AM594" s="4"/>
      <c r="AN594" s="4"/>
      <c r="AO594" s="4"/>
      <c r="AP594" s="4"/>
      <c r="AQ594" s="4"/>
      <c r="AR594" s="4"/>
      <c r="AS594" s="4"/>
      <c r="AU594" s="4"/>
      <c r="AV594" s="4"/>
      <c r="AW594" s="4"/>
      <c r="AX594" s="4"/>
      <c r="AY594" s="4"/>
      <c r="AZ594" s="4"/>
      <c r="BA594" s="4"/>
      <c r="BB594" s="4"/>
      <c r="BC594" s="4"/>
      <c r="BD594" s="4"/>
      <c r="BE594" s="4"/>
    </row>
    <row r="595" spans="2:57" x14ac:dyDescent="0.3">
      <c r="B595" s="6" t="s">
        <v>618</v>
      </c>
      <c r="C595" s="6">
        <v>36</v>
      </c>
      <c r="D595" s="6" t="s">
        <v>12</v>
      </c>
      <c r="E595" s="6" t="s">
        <v>15</v>
      </c>
      <c r="F595" s="6" t="s">
        <v>27</v>
      </c>
      <c r="G595" s="19">
        <v>5228</v>
      </c>
      <c r="H595" s="11">
        <v>9</v>
      </c>
      <c r="I595" s="6">
        <v>2</v>
      </c>
      <c r="J595" s="6" t="s">
        <v>14</v>
      </c>
      <c r="K595" s="5" t="s">
        <v>14</v>
      </c>
      <c r="L595" s="3" t="str">
        <f>IF(Table1[[#This Row],[Monthly Income]]&lt;3000,"Low",IF(Table1[[#This Row],[Monthly Income]]&lt;7000,"Medium","High"))</f>
        <v>Medium</v>
      </c>
      <c r="AK595" s="6"/>
      <c r="AL595" s="6"/>
      <c r="AM595" s="6"/>
      <c r="AN595" s="6"/>
      <c r="AO595" s="6"/>
      <c r="AP595" s="6"/>
      <c r="AQ595" s="6"/>
      <c r="AR595" s="6"/>
      <c r="AS595" s="6"/>
      <c r="AU595" s="6"/>
      <c r="AV595" s="6"/>
      <c r="AW595" s="6"/>
      <c r="AX595" s="6"/>
      <c r="AY595" s="6"/>
      <c r="AZ595" s="6"/>
      <c r="BA595" s="6"/>
      <c r="BB595" s="6"/>
      <c r="BC595" s="6"/>
      <c r="BD595" s="6"/>
      <c r="BE595" s="6"/>
    </row>
    <row r="596" spans="2:57" x14ac:dyDescent="0.3">
      <c r="B596" s="4" t="s">
        <v>619</v>
      </c>
      <c r="C596" s="4">
        <v>29</v>
      </c>
      <c r="D596" s="4" t="s">
        <v>17</v>
      </c>
      <c r="E596" s="4" t="s">
        <v>15</v>
      </c>
      <c r="F596" s="4" t="s">
        <v>18</v>
      </c>
      <c r="G596" s="18">
        <v>2700</v>
      </c>
      <c r="H596" s="10">
        <v>10</v>
      </c>
      <c r="I596" s="4">
        <v>3</v>
      </c>
      <c r="J596" s="4" t="s">
        <v>14</v>
      </c>
      <c r="K596" s="3" t="s">
        <v>14</v>
      </c>
      <c r="L596" s="3" t="str">
        <f>IF(Table1[[#This Row],[Monthly Income]]&lt;3000,"Low",IF(Table1[[#This Row],[Monthly Income]]&lt;7000,"Medium","High"))</f>
        <v>Low</v>
      </c>
      <c r="AK596" s="4"/>
      <c r="AL596" s="4"/>
      <c r="AM596" s="4"/>
      <c r="AN596" s="4"/>
      <c r="AO596" s="4"/>
      <c r="AP596" s="4"/>
      <c r="AQ596" s="4"/>
      <c r="AR596" s="4"/>
      <c r="AS596" s="4"/>
      <c r="AU596" s="4"/>
      <c r="AV596" s="4"/>
      <c r="AW596" s="4"/>
      <c r="AX596" s="4"/>
      <c r="AY596" s="4"/>
      <c r="AZ596" s="4"/>
      <c r="BA596" s="4"/>
      <c r="BB596" s="4"/>
      <c r="BC596" s="4"/>
      <c r="BD596" s="4"/>
      <c r="BE596" s="4"/>
    </row>
    <row r="597" spans="2:57" x14ac:dyDescent="0.3">
      <c r="B597" s="6" t="s">
        <v>620</v>
      </c>
      <c r="C597" s="6">
        <v>58</v>
      </c>
      <c r="D597" s="6" t="s">
        <v>17</v>
      </c>
      <c r="E597" s="6" t="s">
        <v>15</v>
      </c>
      <c r="F597" s="6" t="s">
        <v>45</v>
      </c>
      <c r="G597" s="19">
        <v>19246</v>
      </c>
      <c r="H597" s="11">
        <v>31</v>
      </c>
      <c r="I597" s="6">
        <v>2</v>
      </c>
      <c r="J597" s="6" t="s">
        <v>9</v>
      </c>
      <c r="K597" s="5" t="s">
        <v>9</v>
      </c>
      <c r="L597" s="3" t="str">
        <f>IF(Table1[[#This Row],[Monthly Income]]&lt;3000,"Low",IF(Table1[[#This Row],[Monthly Income]]&lt;7000,"Medium","High"))</f>
        <v>High</v>
      </c>
      <c r="AK597" s="6"/>
      <c r="AL597" s="6"/>
      <c r="AM597" s="6"/>
      <c r="AN597" s="6"/>
      <c r="AO597" s="6"/>
      <c r="AP597" s="6"/>
      <c r="AQ597" s="6"/>
      <c r="AR597" s="6"/>
      <c r="AS597" s="6"/>
      <c r="AU597" s="6"/>
      <c r="AV597" s="6"/>
      <c r="AW597" s="6"/>
      <c r="AX597" s="6"/>
      <c r="AY597" s="6"/>
      <c r="AZ597" s="6"/>
      <c r="BA597" s="6"/>
      <c r="BB597" s="6"/>
      <c r="BC597" s="6"/>
      <c r="BD597" s="6"/>
      <c r="BE597" s="6"/>
    </row>
    <row r="598" spans="2:57" x14ac:dyDescent="0.3">
      <c r="B598" s="4" t="s">
        <v>621</v>
      </c>
      <c r="C598" s="4">
        <v>35</v>
      </c>
      <c r="D598" s="4" t="s">
        <v>12</v>
      </c>
      <c r="E598" s="4" t="s">
        <v>15</v>
      </c>
      <c r="F598" s="4" t="s">
        <v>18</v>
      </c>
      <c r="G598" s="18">
        <v>2506</v>
      </c>
      <c r="H598" s="10">
        <v>2</v>
      </c>
      <c r="I598" s="4">
        <v>3</v>
      </c>
      <c r="J598" s="4" t="s">
        <v>14</v>
      </c>
      <c r="K598" s="3" t="s">
        <v>14</v>
      </c>
      <c r="L598" s="3" t="str">
        <f>IF(Table1[[#This Row],[Monthly Income]]&lt;3000,"Low",IF(Table1[[#This Row],[Monthly Income]]&lt;7000,"Medium","High"))</f>
        <v>Low</v>
      </c>
      <c r="AK598" s="4"/>
      <c r="AL598" s="4"/>
      <c r="AM598" s="4"/>
      <c r="AN598" s="4"/>
      <c r="AO598" s="4"/>
      <c r="AP598" s="4"/>
      <c r="AQ598" s="4"/>
      <c r="AR598" s="4"/>
      <c r="AS598" s="4"/>
      <c r="AU598" s="4"/>
      <c r="AV598" s="4"/>
      <c r="AW598" s="4"/>
      <c r="AX598" s="4"/>
      <c r="AY598" s="4"/>
      <c r="AZ598" s="4"/>
      <c r="BA598" s="4"/>
      <c r="BB598" s="4"/>
      <c r="BC598" s="4"/>
      <c r="BD598" s="4"/>
      <c r="BE598" s="4"/>
    </row>
    <row r="599" spans="2:57" x14ac:dyDescent="0.3">
      <c r="B599" s="6" t="s">
        <v>622</v>
      </c>
      <c r="C599" s="6">
        <v>42</v>
      </c>
      <c r="D599" s="6" t="s">
        <v>12</v>
      </c>
      <c r="E599" s="6" t="s">
        <v>15</v>
      </c>
      <c r="F599" s="6" t="s">
        <v>27</v>
      </c>
      <c r="G599" s="19">
        <v>6062</v>
      </c>
      <c r="H599" s="11">
        <v>4</v>
      </c>
      <c r="I599" s="6">
        <v>4</v>
      </c>
      <c r="J599" s="6" t="s">
        <v>9</v>
      </c>
      <c r="K599" s="5" t="s">
        <v>14</v>
      </c>
      <c r="L599" s="3" t="str">
        <f>IF(Table1[[#This Row],[Monthly Income]]&lt;3000,"Low",IF(Table1[[#This Row],[Monthly Income]]&lt;7000,"Medium","High"))</f>
        <v>Medium</v>
      </c>
      <c r="AK599" s="6"/>
      <c r="AL599" s="6"/>
      <c r="AM599" s="6"/>
      <c r="AN599" s="6"/>
      <c r="AO599" s="6"/>
      <c r="AP599" s="6"/>
      <c r="AQ599" s="6"/>
      <c r="AR599" s="6"/>
      <c r="AS599" s="6"/>
      <c r="AU599" s="6"/>
      <c r="AV599" s="6"/>
      <c r="AW599" s="6"/>
      <c r="AX599" s="6"/>
      <c r="AY599" s="6"/>
      <c r="AZ599" s="6"/>
      <c r="BA599" s="6"/>
      <c r="BB599" s="6"/>
      <c r="BC599" s="6"/>
      <c r="BD599" s="6"/>
      <c r="BE599" s="6"/>
    </row>
    <row r="600" spans="2:57" x14ac:dyDescent="0.3">
      <c r="B600" s="4" t="s">
        <v>623</v>
      </c>
      <c r="C600" s="4">
        <v>28</v>
      </c>
      <c r="D600" s="4" t="s">
        <v>17</v>
      </c>
      <c r="E600" s="4" t="s">
        <v>15</v>
      </c>
      <c r="F600" s="4" t="s">
        <v>18</v>
      </c>
      <c r="G600" s="18">
        <v>4382</v>
      </c>
      <c r="H600" s="10">
        <v>2</v>
      </c>
      <c r="I600" s="4">
        <v>3</v>
      </c>
      <c r="J600" s="4" t="s">
        <v>14</v>
      </c>
      <c r="K600" s="3" t="s">
        <v>9</v>
      </c>
      <c r="L600" s="3" t="str">
        <f>IF(Table1[[#This Row],[Monthly Income]]&lt;3000,"Low",IF(Table1[[#This Row],[Monthly Income]]&lt;7000,"Medium","High"))</f>
        <v>Medium</v>
      </c>
      <c r="AK600" s="4"/>
      <c r="AL600" s="4"/>
      <c r="AM600" s="4"/>
      <c r="AN600" s="4"/>
      <c r="AO600" s="4"/>
      <c r="AP600" s="4"/>
      <c r="AQ600" s="4"/>
      <c r="AR600" s="4"/>
      <c r="AS600" s="4"/>
      <c r="AU600" s="4"/>
      <c r="AV600" s="4"/>
      <c r="AW600" s="4"/>
      <c r="AX600" s="4"/>
      <c r="AY600" s="4"/>
      <c r="AZ600" s="4"/>
      <c r="BA600" s="4"/>
      <c r="BB600" s="4"/>
      <c r="BC600" s="4"/>
      <c r="BD600" s="4"/>
      <c r="BE600" s="4"/>
    </row>
    <row r="601" spans="2:57" x14ac:dyDescent="0.3">
      <c r="B601" s="6" t="s">
        <v>624</v>
      </c>
      <c r="C601" s="6">
        <v>36</v>
      </c>
      <c r="D601" s="6" t="s">
        <v>17</v>
      </c>
      <c r="E601" s="6" t="s">
        <v>102</v>
      </c>
      <c r="F601" s="6" t="s">
        <v>104</v>
      </c>
      <c r="G601" s="19">
        <v>2143</v>
      </c>
      <c r="H601" s="11">
        <v>5</v>
      </c>
      <c r="I601" s="6">
        <v>2</v>
      </c>
      <c r="J601" s="6" t="s">
        <v>14</v>
      </c>
      <c r="K601" s="5" t="s">
        <v>14</v>
      </c>
      <c r="L601" s="3" t="str">
        <f>IF(Table1[[#This Row],[Monthly Income]]&lt;3000,"Low",IF(Table1[[#This Row],[Monthly Income]]&lt;7000,"Medium","High"))</f>
        <v>Low</v>
      </c>
      <c r="AK601" s="6"/>
      <c r="AL601" s="6"/>
      <c r="AM601" s="6"/>
      <c r="AN601" s="6"/>
      <c r="AO601" s="6"/>
      <c r="AP601" s="6"/>
      <c r="AQ601" s="6"/>
      <c r="AR601" s="6"/>
      <c r="AS601" s="6"/>
      <c r="AU601" s="6"/>
      <c r="AV601" s="6"/>
      <c r="AW601" s="6"/>
      <c r="AX601" s="6"/>
      <c r="AY601" s="6"/>
      <c r="AZ601" s="6"/>
      <c r="BA601" s="6"/>
      <c r="BB601" s="6"/>
      <c r="BC601" s="6"/>
      <c r="BD601" s="6"/>
      <c r="BE601" s="6"/>
    </row>
    <row r="602" spans="2:57" x14ac:dyDescent="0.3">
      <c r="B602" s="4" t="s">
        <v>625</v>
      </c>
      <c r="C602" s="4">
        <v>32</v>
      </c>
      <c r="D602" s="4" t="s">
        <v>12</v>
      </c>
      <c r="E602" s="4" t="s">
        <v>15</v>
      </c>
      <c r="F602" s="4" t="s">
        <v>27</v>
      </c>
      <c r="G602" s="18">
        <v>6162</v>
      </c>
      <c r="H602" s="10">
        <v>14</v>
      </c>
      <c r="I602" s="4">
        <v>3</v>
      </c>
      <c r="J602" s="4" t="s">
        <v>14</v>
      </c>
      <c r="K602" s="3" t="s">
        <v>14</v>
      </c>
      <c r="L602" s="3" t="str">
        <f>IF(Table1[[#This Row],[Monthly Income]]&lt;3000,"Low",IF(Table1[[#This Row],[Monthly Income]]&lt;7000,"Medium","High"))</f>
        <v>Medium</v>
      </c>
      <c r="AK602" s="4"/>
      <c r="AL602" s="4"/>
      <c r="AM602" s="4"/>
      <c r="AN602" s="4"/>
      <c r="AO602" s="4"/>
      <c r="AP602" s="4"/>
      <c r="AQ602" s="4"/>
      <c r="AR602" s="4"/>
      <c r="AS602" s="4"/>
      <c r="AU602" s="4"/>
      <c r="AV602" s="4"/>
      <c r="AW602" s="4"/>
      <c r="AX602" s="4"/>
      <c r="AY602" s="4"/>
      <c r="AZ602" s="4"/>
      <c r="BA602" s="4"/>
      <c r="BB602" s="4"/>
      <c r="BC602" s="4"/>
      <c r="BD602" s="4"/>
      <c r="BE602" s="4"/>
    </row>
    <row r="603" spans="2:57" x14ac:dyDescent="0.3">
      <c r="B603" s="6" t="s">
        <v>626</v>
      </c>
      <c r="C603" s="6">
        <v>40</v>
      </c>
      <c r="D603" s="6" t="s">
        <v>17</v>
      </c>
      <c r="E603" s="6" t="s">
        <v>15</v>
      </c>
      <c r="F603" s="6" t="s">
        <v>20</v>
      </c>
      <c r="G603" s="19">
        <v>5094</v>
      </c>
      <c r="H603" s="11">
        <v>1</v>
      </c>
      <c r="I603" s="6">
        <v>3</v>
      </c>
      <c r="J603" s="6" t="s">
        <v>14</v>
      </c>
      <c r="K603" s="5" t="s">
        <v>14</v>
      </c>
      <c r="L603" s="3" t="str">
        <f>IF(Table1[[#This Row],[Monthly Income]]&lt;3000,"Low",IF(Table1[[#This Row],[Monthly Income]]&lt;7000,"Medium","High"))</f>
        <v>Medium</v>
      </c>
      <c r="AK603" s="6"/>
      <c r="AL603" s="6"/>
      <c r="AM603" s="6"/>
      <c r="AN603" s="6"/>
      <c r="AO603" s="6"/>
      <c r="AP603" s="6"/>
      <c r="AQ603" s="6"/>
      <c r="AR603" s="6"/>
      <c r="AS603" s="6"/>
      <c r="AU603" s="6"/>
      <c r="AV603" s="6"/>
      <c r="AW603" s="6"/>
      <c r="AX603" s="6"/>
      <c r="AY603" s="6"/>
      <c r="AZ603" s="6"/>
      <c r="BA603" s="6"/>
      <c r="BB603" s="6"/>
      <c r="BC603" s="6"/>
      <c r="BD603" s="6"/>
      <c r="BE603" s="6"/>
    </row>
    <row r="604" spans="2:57" x14ac:dyDescent="0.3">
      <c r="B604" s="4" t="s">
        <v>627</v>
      </c>
      <c r="C604" s="4">
        <v>30</v>
      </c>
      <c r="D604" s="4" t="s">
        <v>12</v>
      </c>
      <c r="E604" s="4" t="s">
        <v>15</v>
      </c>
      <c r="F604" s="4" t="s">
        <v>27</v>
      </c>
      <c r="G604" s="18">
        <v>6877</v>
      </c>
      <c r="H604" s="10">
        <v>0</v>
      </c>
      <c r="I604" s="4">
        <v>4</v>
      </c>
      <c r="J604" s="4" t="s">
        <v>9</v>
      </c>
      <c r="K604" s="3" t="s">
        <v>14</v>
      </c>
      <c r="L604" s="3" t="str">
        <f>IF(Table1[[#This Row],[Monthly Income]]&lt;3000,"Low",IF(Table1[[#This Row],[Monthly Income]]&lt;7000,"Medium","High"))</f>
        <v>Medium</v>
      </c>
      <c r="AK604" s="4"/>
      <c r="AL604" s="4"/>
      <c r="AM604" s="4"/>
      <c r="AN604" s="4"/>
      <c r="AO604" s="4"/>
      <c r="AP604" s="4"/>
      <c r="AQ604" s="4"/>
      <c r="AR604" s="4"/>
      <c r="AS604" s="4"/>
      <c r="AU604" s="4"/>
      <c r="AV604" s="4"/>
      <c r="AW604" s="4"/>
      <c r="AX604" s="4"/>
      <c r="AY604" s="4"/>
      <c r="AZ604" s="4"/>
      <c r="BA604" s="4"/>
      <c r="BB604" s="4"/>
      <c r="BC604" s="4"/>
      <c r="BD604" s="4"/>
      <c r="BE604" s="4"/>
    </row>
    <row r="605" spans="2:57" x14ac:dyDescent="0.3">
      <c r="B605" s="6" t="s">
        <v>628</v>
      </c>
      <c r="C605" s="6">
        <v>45</v>
      </c>
      <c r="D605" s="6" t="s">
        <v>12</v>
      </c>
      <c r="E605" s="6" t="s">
        <v>15</v>
      </c>
      <c r="F605" s="6" t="s">
        <v>18</v>
      </c>
      <c r="G605" s="19">
        <v>2274</v>
      </c>
      <c r="H605" s="11">
        <v>1</v>
      </c>
      <c r="I605" s="6">
        <v>3</v>
      </c>
      <c r="J605" s="6" t="s">
        <v>14</v>
      </c>
      <c r="K605" s="5" t="s">
        <v>14</v>
      </c>
      <c r="L605" s="3" t="str">
        <f>IF(Table1[[#This Row],[Monthly Income]]&lt;3000,"Low",IF(Table1[[#This Row],[Monthly Income]]&lt;7000,"Medium","High"))</f>
        <v>Low</v>
      </c>
      <c r="AK605" s="6"/>
      <c r="AL605" s="6"/>
      <c r="AM605" s="6"/>
      <c r="AN605" s="6"/>
      <c r="AO605" s="6"/>
      <c r="AP605" s="6"/>
      <c r="AQ605" s="6"/>
      <c r="AR605" s="6"/>
      <c r="AS605" s="6"/>
      <c r="AU605" s="6"/>
      <c r="AV605" s="6"/>
      <c r="AW605" s="6"/>
      <c r="AX605" s="6"/>
      <c r="AY605" s="6"/>
      <c r="AZ605" s="6"/>
      <c r="BA605" s="6"/>
      <c r="BB605" s="6"/>
      <c r="BC605" s="6"/>
      <c r="BD605" s="6"/>
      <c r="BE605" s="6"/>
    </row>
    <row r="606" spans="2:57" x14ac:dyDescent="0.3">
      <c r="B606" s="4" t="s">
        <v>629</v>
      </c>
      <c r="C606" s="4">
        <v>42</v>
      </c>
      <c r="D606" s="4" t="s">
        <v>17</v>
      </c>
      <c r="E606" s="4" t="s">
        <v>15</v>
      </c>
      <c r="F606" s="4" t="s">
        <v>27</v>
      </c>
      <c r="G606" s="18">
        <v>4434</v>
      </c>
      <c r="H606" s="10">
        <v>9</v>
      </c>
      <c r="I606" s="4">
        <v>2</v>
      </c>
      <c r="J606" s="4" t="s">
        <v>14</v>
      </c>
      <c r="K606" s="3" t="s">
        <v>14</v>
      </c>
      <c r="L606" s="3" t="str">
        <f>IF(Table1[[#This Row],[Monthly Income]]&lt;3000,"Low",IF(Table1[[#This Row],[Monthly Income]]&lt;7000,"Medium","High"))</f>
        <v>Medium</v>
      </c>
      <c r="AK606" s="4"/>
      <c r="AL606" s="4"/>
      <c r="AM606" s="4"/>
      <c r="AN606" s="4"/>
      <c r="AO606" s="4"/>
      <c r="AP606" s="4"/>
      <c r="AQ606" s="4"/>
      <c r="AR606" s="4"/>
      <c r="AS606" s="4"/>
      <c r="AU606" s="4"/>
      <c r="AV606" s="4"/>
      <c r="AW606" s="4"/>
      <c r="AX606" s="4"/>
      <c r="AY606" s="4"/>
      <c r="AZ606" s="4"/>
      <c r="BA606" s="4"/>
      <c r="BB606" s="4"/>
      <c r="BC606" s="4"/>
      <c r="BD606" s="4"/>
      <c r="BE606" s="4"/>
    </row>
    <row r="607" spans="2:57" x14ac:dyDescent="0.3">
      <c r="B607" s="6" t="s">
        <v>630</v>
      </c>
      <c r="C607" s="6">
        <v>38</v>
      </c>
      <c r="D607" s="6" t="s">
        <v>17</v>
      </c>
      <c r="E607" s="6" t="s">
        <v>15</v>
      </c>
      <c r="F607" s="6" t="s">
        <v>29</v>
      </c>
      <c r="G607" s="19">
        <v>6288</v>
      </c>
      <c r="H607" s="11">
        <v>4</v>
      </c>
      <c r="I607" s="6">
        <v>1</v>
      </c>
      <c r="J607" s="6" t="s">
        <v>14</v>
      </c>
      <c r="K607" s="5" t="s">
        <v>14</v>
      </c>
      <c r="L607" s="3" t="str">
        <f>IF(Table1[[#This Row],[Monthly Income]]&lt;3000,"Low",IF(Table1[[#This Row],[Monthly Income]]&lt;7000,"Medium","High"))</f>
        <v>Medium</v>
      </c>
      <c r="AK607" s="6"/>
      <c r="AL607" s="6"/>
      <c r="AM607" s="6"/>
      <c r="AN607" s="6"/>
      <c r="AO607" s="6"/>
      <c r="AP607" s="6"/>
      <c r="AQ607" s="6"/>
      <c r="AR607" s="6"/>
      <c r="AS607" s="6"/>
      <c r="AU607" s="6"/>
      <c r="AV607" s="6"/>
      <c r="AW607" s="6"/>
      <c r="AX607" s="6"/>
      <c r="AY607" s="6"/>
      <c r="AZ607" s="6"/>
      <c r="BA607" s="6"/>
      <c r="BB607" s="6"/>
      <c r="BC607" s="6"/>
      <c r="BD607" s="6"/>
      <c r="BE607" s="6"/>
    </row>
    <row r="608" spans="2:57" x14ac:dyDescent="0.3">
      <c r="B608" s="4" t="s">
        <v>631</v>
      </c>
      <c r="C608" s="4">
        <v>34</v>
      </c>
      <c r="D608" s="4" t="s">
        <v>12</v>
      </c>
      <c r="E608" s="4" t="s">
        <v>15</v>
      </c>
      <c r="F608" s="4" t="s">
        <v>18</v>
      </c>
      <c r="G608" s="18">
        <v>2553</v>
      </c>
      <c r="H608" s="10">
        <v>5</v>
      </c>
      <c r="I608" s="4">
        <v>4</v>
      </c>
      <c r="J608" s="4" t="s">
        <v>14</v>
      </c>
      <c r="K608" s="3" t="s">
        <v>14</v>
      </c>
      <c r="L608" s="3" t="str">
        <f>IF(Table1[[#This Row],[Monthly Income]]&lt;3000,"Low",IF(Table1[[#This Row],[Monthly Income]]&lt;7000,"Medium","High"))</f>
        <v>Low</v>
      </c>
      <c r="AK608" s="4"/>
      <c r="AL608" s="4"/>
      <c r="AM608" s="4"/>
      <c r="AN608" s="4"/>
      <c r="AO608" s="4"/>
      <c r="AP608" s="4"/>
      <c r="AQ608" s="4"/>
      <c r="AR608" s="4"/>
      <c r="AS608" s="4"/>
      <c r="AU608" s="4"/>
      <c r="AV608" s="4"/>
      <c r="AW608" s="4"/>
      <c r="AX608" s="4"/>
      <c r="AY608" s="4"/>
      <c r="AZ608" s="4"/>
      <c r="BA608" s="4"/>
      <c r="BB608" s="4"/>
      <c r="BC608" s="4"/>
      <c r="BD608" s="4"/>
      <c r="BE608" s="4"/>
    </row>
    <row r="609" spans="2:57" x14ac:dyDescent="0.3">
      <c r="B609" s="6" t="s">
        <v>632</v>
      </c>
      <c r="C609" s="6">
        <v>49</v>
      </c>
      <c r="D609" s="6" t="s">
        <v>12</v>
      </c>
      <c r="E609" s="6" t="s">
        <v>10</v>
      </c>
      <c r="F609" s="6" t="s">
        <v>13</v>
      </c>
      <c r="G609" s="19">
        <v>7654</v>
      </c>
      <c r="H609" s="11">
        <v>9</v>
      </c>
      <c r="I609" s="6">
        <v>4</v>
      </c>
      <c r="J609" s="6" t="s">
        <v>14</v>
      </c>
      <c r="K609" s="5" t="s">
        <v>9</v>
      </c>
      <c r="L609" s="3" t="str">
        <f>IF(Table1[[#This Row],[Monthly Income]]&lt;3000,"Low",IF(Table1[[#This Row],[Monthly Income]]&lt;7000,"Medium","High"))</f>
        <v>High</v>
      </c>
      <c r="AK609" s="6"/>
      <c r="AL609" s="6"/>
      <c r="AM609" s="6"/>
      <c r="AN609" s="6"/>
      <c r="AO609" s="6"/>
      <c r="AP609" s="6"/>
      <c r="AQ609" s="6"/>
      <c r="AR609" s="6"/>
      <c r="AS609" s="6"/>
      <c r="AU609" s="6"/>
      <c r="AV609" s="6"/>
      <c r="AW609" s="6"/>
      <c r="AX609" s="6"/>
      <c r="AY609" s="6"/>
      <c r="AZ609" s="6"/>
      <c r="BA609" s="6"/>
      <c r="BB609" s="6"/>
      <c r="BC609" s="6"/>
      <c r="BD609" s="6"/>
      <c r="BE609" s="6"/>
    </row>
    <row r="610" spans="2:57" x14ac:dyDescent="0.3">
      <c r="B610" s="4" t="s">
        <v>633</v>
      </c>
      <c r="C610" s="4">
        <v>55</v>
      </c>
      <c r="D610" s="4" t="s">
        <v>17</v>
      </c>
      <c r="E610" s="4" t="s">
        <v>10</v>
      </c>
      <c r="F610" s="4" t="s">
        <v>13</v>
      </c>
      <c r="G610" s="18">
        <v>5160</v>
      </c>
      <c r="H610" s="10">
        <v>9</v>
      </c>
      <c r="I610" s="4">
        <v>4</v>
      </c>
      <c r="J610" s="4" t="s">
        <v>14</v>
      </c>
      <c r="K610" s="3" t="s">
        <v>9</v>
      </c>
      <c r="L610" s="3" t="str">
        <f>IF(Table1[[#This Row],[Monthly Income]]&lt;3000,"Low",IF(Table1[[#This Row],[Monthly Income]]&lt;7000,"Medium","High"))</f>
        <v>Medium</v>
      </c>
      <c r="AK610" s="4"/>
      <c r="AL610" s="4"/>
      <c r="AM610" s="4"/>
      <c r="AN610" s="4"/>
      <c r="AO610" s="4"/>
      <c r="AP610" s="4"/>
      <c r="AQ610" s="4"/>
      <c r="AR610" s="4"/>
      <c r="AS610" s="4"/>
      <c r="AU610" s="4"/>
      <c r="AV610" s="4"/>
      <c r="AW610" s="4"/>
      <c r="AX610" s="4"/>
      <c r="AY610" s="4"/>
      <c r="AZ610" s="4"/>
      <c r="BA610" s="4"/>
      <c r="BB610" s="4"/>
      <c r="BC610" s="4"/>
      <c r="BD610" s="4"/>
      <c r="BE610" s="4"/>
    </row>
    <row r="611" spans="2:57" x14ac:dyDescent="0.3">
      <c r="B611" s="6" t="s">
        <v>634</v>
      </c>
      <c r="C611" s="6">
        <v>43</v>
      </c>
      <c r="D611" s="6" t="s">
        <v>17</v>
      </c>
      <c r="E611" s="6" t="s">
        <v>15</v>
      </c>
      <c r="F611" s="6" t="s">
        <v>45</v>
      </c>
      <c r="G611" s="19">
        <v>17159</v>
      </c>
      <c r="H611" s="11">
        <v>4</v>
      </c>
      <c r="I611" s="6">
        <v>1</v>
      </c>
      <c r="J611" s="6" t="s">
        <v>14</v>
      </c>
      <c r="K611" s="5" t="s">
        <v>14</v>
      </c>
      <c r="L611" s="3" t="str">
        <f>IF(Table1[[#This Row],[Monthly Income]]&lt;3000,"Low",IF(Table1[[#This Row],[Monthly Income]]&lt;7000,"Medium","High"))</f>
        <v>High</v>
      </c>
      <c r="AK611" s="6"/>
      <c r="AL611" s="6"/>
      <c r="AM611" s="6"/>
      <c r="AN611" s="6"/>
      <c r="AO611" s="6"/>
      <c r="AP611" s="6"/>
      <c r="AQ611" s="6"/>
      <c r="AR611" s="6"/>
      <c r="AS611" s="6"/>
      <c r="AU611" s="6"/>
      <c r="AV611" s="6"/>
      <c r="AW611" s="6"/>
      <c r="AX611" s="6"/>
      <c r="AY611" s="6"/>
      <c r="AZ611" s="6"/>
      <c r="BA611" s="6"/>
      <c r="BB611" s="6"/>
      <c r="BC611" s="6"/>
      <c r="BD611" s="6"/>
      <c r="BE611" s="6"/>
    </row>
    <row r="612" spans="2:57" x14ac:dyDescent="0.3">
      <c r="B612" s="4" t="s">
        <v>635</v>
      </c>
      <c r="C612" s="4">
        <v>27</v>
      </c>
      <c r="D612" s="4" t="s">
        <v>17</v>
      </c>
      <c r="E612" s="4" t="s">
        <v>15</v>
      </c>
      <c r="F612" s="4" t="s">
        <v>45</v>
      </c>
      <c r="G612" s="18">
        <v>12808</v>
      </c>
      <c r="H612" s="10">
        <v>9</v>
      </c>
      <c r="I612" s="4">
        <v>4</v>
      </c>
      <c r="J612" s="4" t="s">
        <v>9</v>
      </c>
      <c r="K612" s="3" t="s">
        <v>14</v>
      </c>
      <c r="L612" s="3" t="str">
        <f>IF(Table1[[#This Row],[Monthly Income]]&lt;3000,"Low",IF(Table1[[#This Row],[Monthly Income]]&lt;7000,"Medium","High"))</f>
        <v>High</v>
      </c>
      <c r="AK612" s="4"/>
      <c r="AL612" s="4"/>
      <c r="AM612" s="4"/>
      <c r="AN612" s="4"/>
      <c r="AO612" s="4"/>
      <c r="AP612" s="4"/>
      <c r="AQ612" s="4"/>
      <c r="AR612" s="4"/>
      <c r="AS612" s="4"/>
      <c r="AU612" s="4"/>
      <c r="AV612" s="4"/>
      <c r="AW612" s="4"/>
      <c r="AX612" s="4"/>
      <c r="AY612" s="4"/>
      <c r="AZ612" s="4"/>
      <c r="BA612" s="4"/>
      <c r="BB612" s="4"/>
      <c r="BC612" s="4"/>
      <c r="BD612" s="4"/>
      <c r="BE612" s="4"/>
    </row>
    <row r="613" spans="2:57" x14ac:dyDescent="0.3">
      <c r="B613" s="6" t="s">
        <v>636</v>
      </c>
      <c r="C613" s="6">
        <v>35</v>
      </c>
      <c r="D613" s="6" t="s">
        <v>17</v>
      </c>
      <c r="E613" s="6" t="s">
        <v>15</v>
      </c>
      <c r="F613" s="6" t="s">
        <v>27</v>
      </c>
      <c r="G613" s="19">
        <v>10221</v>
      </c>
      <c r="H613" s="11">
        <v>8</v>
      </c>
      <c r="I613" s="6">
        <v>3</v>
      </c>
      <c r="J613" s="6" t="s">
        <v>14</v>
      </c>
      <c r="K613" s="5" t="s">
        <v>14</v>
      </c>
      <c r="L613" s="3" t="str">
        <f>IF(Table1[[#This Row],[Monthly Income]]&lt;3000,"Low",IF(Table1[[#This Row],[Monthly Income]]&lt;7000,"Medium","High"))</f>
        <v>High</v>
      </c>
      <c r="AK613" s="6"/>
      <c r="AL613" s="6"/>
      <c r="AM613" s="6"/>
      <c r="AN613" s="6"/>
      <c r="AO613" s="6"/>
      <c r="AP613" s="6"/>
      <c r="AQ613" s="6"/>
      <c r="AR613" s="6"/>
      <c r="AS613" s="6"/>
      <c r="AU613" s="6"/>
      <c r="AV613" s="6"/>
      <c r="AW613" s="6"/>
      <c r="AX613" s="6"/>
      <c r="AY613" s="6"/>
      <c r="AZ613" s="6"/>
      <c r="BA613" s="6"/>
      <c r="BB613" s="6"/>
      <c r="BC613" s="6"/>
      <c r="BD613" s="6"/>
      <c r="BE613" s="6"/>
    </row>
    <row r="614" spans="2:57" x14ac:dyDescent="0.3">
      <c r="B614" s="4" t="s">
        <v>637</v>
      </c>
      <c r="C614" s="4">
        <v>28</v>
      </c>
      <c r="D614" s="4" t="s">
        <v>12</v>
      </c>
      <c r="E614" s="4" t="s">
        <v>10</v>
      </c>
      <c r="F614" s="4" t="s">
        <v>13</v>
      </c>
      <c r="G614" s="18">
        <v>4779</v>
      </c>
      <c r="H614" s="10">
        <v>8</v>
      </c>
      <c r="I614" s="4">
        <v>2</v>
      </c>
      <c r="J614" s="4" t="s">
        <v>9</v>
      </c>
      <c r="K614" s="3" t="s">
        <v>14</v>
      </c>
      <c r="L614" s="3" t="str">
        <f>IF(Table1[[#This Row],[Monthly Income]]&lt;3000,"Low",IF(Table1[[#This Row],[Monthly Income]]&lt;7000,"Medium","High"))</f>
        <v>Medium</v>
      </c>
      <c r="AK614" s="4"/>
      <c r="AL614" s="4"/>
      <c r="AM614" s="4"/>
      <c r="AN614" s="4"/>
      <c r="AO614" s="4"/>
      <c r="AP614" s="4"/>
      <c r="AQ614" s="4"/>
      <c r="AR614" s="4"/>
      <c r="AS614" s="4"/>
      <c r="AU614" s="4"/>
      <c r="AV614" s="4"/>
      <c r="AW614" s="4"/>
      <c r="AX614" s="4"/>
      <c r="AY614" s="4"/>
      <c r="AZ614" s="4"/>
      <c r="BA614" s="4"/>
      <c r="BB614" s="4"/>
      <c r="BC614" s="4"/>
      <c r="BD614" s="4"/>
      <c r="BE614" s="4"/>
    </row>
    <row r="615" spans="2:57" x14ac:dyDescent="0.3">
      <c r="B615" s="6" t="s">
        <v>638</v>
      </c>
      <c r="C615" s="6">
        <v>34</v>
      </c>
      <c r="D615" s="6" t="s">
        <v>17</v>
      </c>
      <c r="E615" s="6" t="s">
        <v>102</v>
      </c>
      <c r="F615" s="6" t="s">
        <v>104</v>
      </c>
      <c r="G615" s="19">
        <v>3737</v>
      </c>
      <c r="H615" s="11">
        <v>3</v>
      </c>
      <c r="I615" s="6">
        <v>4</v>
      </c>
      <c r="J615" s="6" t="s">
        <v>14</v>
      </c>
      <c r="K615" s="5" t="s">
        <v>14</v>
      </c>
      <c r="L615" s="3" t="str">
        <f>IF(Table1[[#This Row],[Monthly Income]]&lt;3000,"Low",IF(Table1[[#This Row],[Monthly Income]]&lt;7000,"Medium","High"))</f>
        <v>Medium</v>
      </c>
      <c r="AK615" s="6"/>
      <c r="AL615" s="6"/>
      <c r="AM615" s="6"/>
      <c r="AN615" s="6"/>
      <c r="AO615" s="6"/>
      <c r="AP615" s="6"/>
      <c r="AQ615" s="6"/>
      <c r="AR615" s="6"/>
      <c r="AS615" s="6"/>
      <c r="AU615" s="6"/>
      <c r="AV615" s="6"/>
      <c r="AW615" s="6"/>
      <c r="AX615" s="6"/>
      <c r="AY615" s="6"/>
      <c r="AZ615" s="6"/>
      <c r="BA615" s="6"/>
      <c r="BB615" s="6"/>
      <c r="BC615" s="6"/>
      <c r="BD615" s="6"/>
      <c r="BE615" s="6"/>
    </row>
    <row r="616" spans="2:57" x14ac:dyDescent="0.3">
      <c r="B616" s="4" t="s">
        <v>639</v>
      </c>
      <c r="C616" s="4">
        <v>26</v>
      </c>
      <c r="D616" s="4" t="s">
        <v>12</v>
      </c>
      <c r="E616" s="4" t="s">
        <v>15</v>
      </c>
      <c r="F616" s="4" t="s">
        <v>18</v>
      </c>
      <c r="G616" s="18">
        <v>2366</v>
      </c>
      <c r="H616" s="10">
        <v>8</v>
      </c>
      <c r="I616" s="4">
        <v>3</v>
      </c>
      <c r="J616" s="4" t="s">
        <v>9</v>
      </c>
      <c r="K616" s="3" t="s">
        <v>9</v>
      </c>
      <c r="L616" s="3" t="str">
        <f>IF(Table1[[#This Row],[Monthly Income]]&lt;3000,"Low",IF(Table1[[#This Row],[Monthly Income]]&lt;7000,"Medium","High"))</f>
        <v>Low</v>
      </c>
      <c r="AK616" s="4"/>
      <c r="AL616" s="4"/>
      <c r="AM616" s="4"/>
      <c r="AN616" s="4"/>
      <c r="AO616" s="4"/>
      <c r="AP616" s="4"/>
      <c r="AQ616" s="4"/>
      <c r="AR616" s="4"/>
      <c r="AS616" s="4"/>
      <c r="AU616" s="4"/>
      <c r="AV616" s="4"/>
      <c r="AW616" s="4"/>
      <c r="AX616" s="4"/>
      <c r="AY616" s="4"/>
      <c r="AZ616" s="4"/>
      <c r="BA616" s="4"/>
      <c r="BB616" s="4"/>
      <c r="BC616" s="4"/>
      <c r="BD616" s="4"/>
      <c r="BE616" s="4"/>
    </row>
    <row r="617" spans="2:57" x14ac:dyDescent="0.3">
      <c r="B617" s="6" t="s">
        <v>640</v>
      </c>
      <c r="C617" s="6">
        <v>27</v>
      </c>
      <c r="D617" s="6" t="s">
        <v>17</v>
      </c>
      <c r="E617" s="6" t="s">
        <v>15</v>
      </c>
      <c r="F617" s="6" t="s">
        <v>18</v>
      </c>
      <c r="G617" s="19">
        <v>1706</v>
      </c>
      <c r="H617" s="11">
        <v>0</v>
      </c>
      <c r="I617" s="6">
        <v>4</v>
      </c>
      <c r="J617" s="6" t="s">
        <v>14</v>
      </c>
      <c r="K617" s="5" t="s">
        <v>14</v>
      </c>
      <c r="L617" s="3" t="str">
        <f>IF(Table1[[#This Row],[Monthly Income]]&lt;3000,"Low",IF(Table1[[#This Row],[Monthly Income]]&lt;7000,"Medium","High"))</f>
        <v>Low</v>
      </c>
      <c r="AK617" s="6"/>
      <c r="AL617" s="6"/>
      <c r="AM617" s="6"/>
      <c r="AN617" s="6"/>
      <c r="AO617" s="6"/>
      <c r="AP617" s="6"/>
      <c r="AQ617" s="6"/>
      <c r="AR617" s="6"/>
      <c r="AS617" s="6"/>
      <c r="AU617" s="6"/>
      <c r="AV617" s="6"/>
      <c r="AW617" s="6"/>
      <c r="AX617" s="6"/>
      <c r="AY617" s="6"/>
      <c r="AZ617" s="6"/>
      <c r="BA617" s="6"/>
      <c r="BB617" s="6"/>
      <c r="BC617" s="6"/>
      <c r="BD617" s="6"/>
      <c r="BE617" s="6"/>
    </row>
    <row r="618" spans="2:57" x14ac:dyDescent="0.3">
      <c r="B618" s="4" t="s">
        <v>641</v>
      </c>
      <c r="C618" s="4">
        <v>51</v>
      </c>
      <c r="D618" s="4" t="s">
        <v>12</v>
      </c>
      <c r="E618" s="4" t="s">
        <v>10</v>
      </c>
      <c r="F618" s="4" t="s">
        <v>39</v>
      </c>
      <c r="G618" s="18">
        <v>16307</v>
      </c>
      <c r="H618" s="10">
        <v>20</v>
      </c>
      <c r="I618" s="4">
        <v>3</v>
      </c>
      <c r="J618" s="4" t="s">
        <v>14</v>
      </c>
      <c r="K618" s="3" t="s">
        <v>14</v>
      </c>
      <c r="L618" s="3" t="str">
        <f>IF(Table1[[#This Row],[Monthly Income]]&lt;3000,"Low",IF(Table1[[#This Row],[Monthly Income]]&lt;7000,"Medium","High"))</f>
        <v>High</v>
      </c>
      <c r="AK618" s="4"/>
      <c r="AL618" s="4"/>
      <c r="AM618" s="4"/>
      <c r="AN618" s="4"/>
      <c r="AO618" s="4"/>
      <c r="AP618" s="4"/>
      <c r="AQ618" s="4"/>
      <c r="AR618" s="4"/>
      <c r="AS618" s="4"/>
      <c r="AU618" s="4"/>
      <c r="AV618" s="4"/>
      <c r="AW618" s="4"/>
      <c r="AX618" s="4"/>
      <c r="AY618" s="4"/>
      <c r="AZ618" s="4"/>
      <c r="BA618" s="4"/>
      <c r="BB618" s="4"/>
      <c r="BC618" s="4"/>
      <c r="BD618" s="4"/>
      <c r="BE618" s="4"/>
    </row>
    <row r="619" spans="2:57" x14ac:dyDescent="0.3">
      <c r="B619" s="6" t="s">
        <v>642</v>
      </c>
      <c r="C619" s="6">
        <v>44</v>
      </c>
      <c r="D619" s="6" t="s">
        <v>17</v>
      </c>
      <c r="E619" s="6" t="s">
        <v>15</v>
      </c>
      <c r="F619" s="6" t="s">
        <v>29</v>
      </c>
      <c r="G619" s="19">
        <v>5933</v>
      </c>
      <c r="H619" s="11">
        <v>5</v>
      </c>
      <c r="I619" s="6">
        <v>2</v>
      </c>
      <c r="J619" s="6" t="s">
        <v>14</v>
      </c>
      <c r="K619" s="5" t="s">
        <v>14</v>
      </c>
      <c r="L619" s="3" t="str">
        <f>IF(Table1[[#This Row],[Monthly Income]]&lt;3000,"Low",IF(Table1[[#This Row],[Monthly Income]]&lt;7000,"Medium","High"))</f>
        <v>Medium</v>
      </c>
      <c r="AK619" s="6"/>
      <c r="AL619" s="6"/>
      <c r="AM619" s="6"/>
      <c r="AN619" s="6"/>
      <c r="AO619" s="6"/>
      <c r="AP619" s="6"/>
      <c r="AQ619" s="6"/>
      <c r="AR619" s="6"/>
      <c r="AS619" s="6"/>
      <c r="AU619" s="6"/>
      <c r="AV619" s="6"/>
      <c r="AW619" s="6"/>
      <c r="AX619" s="6"/>
      <c r="AY619" s="6"/>
      <c r="AZ619" s="6"/>
      <c r="BA619" s="6"/>
      <c r="BB619" s="6"/>
      <c r="BC619" s="6"/>
      <c r="BD619" s="6"/>
      <c r="BE619" s="6"/>
    </row>
    <row r="620" spans="2:57" x14ac:dyDescent="0.3">
      <c r="B620" s="4" t="s">
        <v>643</v>
      </c>
      <c r="C620" s="4">
        <v>25</v>
      </c>
      <c r="D620" s="4" t="s">
        <v>17</v>
      </c>
      <c r="E620" s="4" t="s">
        <v>15</v>
      </c>
      <c r="F620" s="4" t="s">
        <v>18</v>
      </c>
      <c r="G620" s="18">
        <v>3424</v>
      </c>
      <c r="H620" s="10">
        <v>4</v>
      </c>
      <c r="I620" s="4">
        <v>1</v>
      </c>
      <c r="J620" s="4" t="s">
        <v>14</v>
      </c>
      <c r="K620" s="3" t="s">
        <v>14</v>
      </c>
      <c r="L620" s="3" t="str">
        <f>IF(Table1[[#This Row],[Monthly Income]]&lt;3000,"Low",IF(Table1[[#This Row],[Monthly Income]]&lt;7000,"Medium","High"))</f>
        <v>Medium</v>
      </c>
      <c r="AK620" s="4"/>
      <c r="AL620" s="4"/>
      <c r="AM620" s="4"/>
      <c r="AN620" s="4"/>
      <c r="AO620" s="4"/>
      <c r="AP620" s="4"/>
      <c r="AQ620" s="4"/>
      <c r="AR620" s="4"/>
      <c r="AS620" s="4"/>
      <c r="AU620" s="4"/>
      <c r="AV620" s="4"/>
      <c r="AW620" s="4"/>
      <c r="AX620" s="4"/>
      <c r="AY620" s="4"/>
      <c r="AZ620" s="4"/>
      <c r="BA620" s="4"/>
      <c r="BB620" s="4"/>
      <c r="BC620" s="4"/>
      <c r="BD620" s="4"/>
      <c r="BE620" s="4"/>
    </row>
    <row r="621" spans="2:57" x14ac:dyDescent="0.3">
      <c r="B621" s="6" t="s">
        <v>644</v>
      </c>
      <c r="C621" s="6">
        <v>33</v>
      </c>
      <c r="D621" s="6" t="s">
        <v>17</v>
      </c>
      <c r="E621" s="6" t="s">
        <v>10</v>
      </c>
      <c r="F621" s="6" t="s">
        <v>13</v>
      </c>
      <c r="G621" s="19">
        <v>4037</v>
      </c>
      <c r="H621" s="11">
        <v>9</v>
      </c>
      <c r="I621" s="6">
        <v>1</v>
      </c>
      <c r="J621" s="6" t="s">
        <v>14</v>
      </c>
      <c r="K621" s="5" t="s">
        <v>14</v>
      </c>
      <c r="L621" s="3" t="str">
        <f>IF(Table1[[#This Row],[Monthly Income]]&lt;3000,"Low",IF(Table1[[#This Row],[Monthly Income]]&lt;7000,"Medium","High"))</f>
        <v>Medium</v>
      </c>
      <c r="AK621" s="6"/>
      <c r="AL621" s="6"/>
      <c r="AM621" s="6"/>
      <c r="AN621" s="6"/>
      <c r="AO621" s="6"/>
      <c r="AP621" s="6"/>
      <c r="AQ621" s="6"/>
      <c r="AR621" s="6"/>
      <c r="AS621" s="6"/>
      <c r="AU621" s="6"/>
      <c r="AV621" s="6"/>
      <c r="AW621" s="6"/>
      <c r="AX621" s="6"/>
      <c r="AY621" s="6"/>
      <c r="AZ621" s="6"/>
      <c r="BA621" s="6"/>
      <c r="BB621" s="6"/>
      <c r="BC621" s="6"/>
      <c r="BD621" s="6"/>
      <c r="BE621" s="6"/>
    </row>
    <row r="622" spans="2:57" x14ac:dyDescent="0.3">
      <c r="B622" s="4" t="s">
        <v>645</v>
      </c>
      <c r="C622" s="4">
        <v>35</v>
      </c>
      <c r="D622" s="4" t="s">
        <v>12</v>
      </c>
      <c r="E622" s="4" t="s">
        <v>15</v>
      </c>
      <c r="F622" s="4" t="s">
        <v>18</v>
      </c>
      <c r="G622" s="18">
        <v>2559</v>
      </c>
      <c r="H622" s="10">
        <v>6</v>
      </c>
      <c r="I622" s="4">
        <v>1</v>
      </c>
      <c r="J622" s="4" t="s">
        <v>14</v>
      </c>
      <c r="K622" s="3" t="s">
        <v>14</v>
      </c>
      <c r="L622" s="3" t="str">
        <f>IF(Table1[[#This Row],[Monthly Income]]&lt;3000,"Low",IF(Table1[[#This Row],[Monthly Income]]&lt;7000,"Medium","High"))</f>
        <v>Low</v>
      </c>
      <c r="AK622" s="4"/>
      <c r="AL622" s="4"/>
      <c r="AM622" s="4"/>
      <c r="AN622" s="4"/>
      <c r="AO622" s="4"/>
      <c r="AP622" s="4"/>
      <c r="AQ622" s="4"/>
      <c r="AR622" s="4"/>
      <c r="AS622" s="4"/>
      <c r="AU622" s="4"/>
      <c r="AV622" s="4"/>
      <c r="AW622" s="4"/>
      <c r="AX622" s="4"/>
      <c r="AY622" s="4"/>
      <c r="AZ622" s="4"/>
      <c r="BA622" s="4"/>
      <c r="BB622" s="4"/>
      <c r="BC622" s="4"/>
      <c r="BD622" s="4"/>
      <c r="BE622" s="4"/>
    </row>
    <row r="623" spans="2:57" x14ac:dyDescent="0.3">
      <c r="B623" s="6" t="s">
        <v>646</v>
      </c>
      <c r="C623" s="6">
        <v>36</v>
      </c>
      <c r="D623" s="6" t="s">
        <v>17</v>
      </c>
      <c r="E623" s="6" t="s">
        <v>10</v>
      </c>
      <c r="F623" s="6" t="s">
        <v>13</v>
      </c>
      <c r="G623" s="19">
        <v>6201</v>
      </c>
      <c r="H623" s="11">
        <v>18</v>
      </c>
      <c r="I623" s="6">
        <v>4</v>
      </c>
      <c r="J623" s="6" t="s">
        <v>9</v>
      </c>
      <c r="K623" s="5" t="s">
        <v>14</v>
      </c>
      <c r="L623" s="3" t="str">
        <f>IF(Table1[[#This Row],[Monthly Income]]&lt;3000,"Low",IF(Table1[[#This Row],[Monthly Income]]&lt;7000,"Medium","High"))</f>
        <v>Medium</v>
      </c>
      <c r="AK623" s="6"/>
      <c r="AL623" s="6"/>
      <c r="AM623" s="6"/>
      <c r="AN623" s="6"/>
      <c r="AO623" s="6"/>
      <c r="AP623" s="6"/>
      <c r="AQ623" s="6"/>
      <c r="AR623" s="6"/>
      <c r="AS623" s="6"/>
      <c r="AU623" s="6"/>
      <c r="AV623" s="6"/>
      <c r="AW623" s="6"/>
      <c r="AX623" s="6"/>
      <c r="AY623" s="6"/>
      <c r="AZ623" s="6"/>
      <c r="BA623" s="6"/>
      <c r="BB623" s="6"/>
      <c r="BC623" s="6"/>
      <c r="BD623" s="6"/>
      <c r="BE623" s="6"/>
    </row>
    <row r="624" spans="2:57" x14ac:dyDescent="0.3">
      <c r="B624" s="4" t="s">
        <v>647</v>
      </c>
      <c r="C624" s="4">
        <v>32</v>
      </c>
      <c r="D624" s="4" t="s">
        <v>17</v>
      </c>
      <c r="E624" s="4" t="s">
        <v>10</v>
      </c>
      <c r="F624" s="4" t="s">
        <v>13</v>
      </c>
      <c r="G624" s="18">
        <v>4403</v>
      </c>
      <c r="H624" s="10">
        <v>5</v>
      </c>
      <c r="I624" s="4">
        <v>4</v>
      </c>
      <c r="J624" s="4" t="s">
        <v>14</v>
      </c>
      <c r="K624" s="3" t="s">
        <v>14</v>
      </c>
      <c r="L624" s="3" t="str">
        <f>IF(Table1[[#This Row],[Monthly Income]]&lt;3000,"Low",IF(Table1[[#This Row],[Monthly Income]]&lt;7000,"Medium","High"))</f>
        <v>Medium</v>
      </c>
      <c r="AK624" s="4"/>
      <c r="AL624" s="4"/>
      <c r="AM624" s="4"/>
      <c r="AN624" s="4"/>
      <c r="AO624" s="4"/>
      <c r="AP624" s="4"/>
      <c r="AQ624" s="4"/>
      <c r="AR624" s="4"/>
      <c r="AS624" s="4"/>
      <c r="AU624" s="4"/>
      <c r="AV624" s="4"/>
      <c r="AW624" s="4"/>
      <c r="AX624" s="4"/>
      <c r="AY624" s="4"/>
      <c r="AZ624" s="4"/>
      <c r="BA624" s="4"/>
      <c r="BB624" s="4"/>
      <c r="BC624" s="4"/>
      <c r="BD624" s="4"/>
      <c r="BE624" s="4"/>
    </row>
    <row r="625" spans="2:57" x14ac:dyDescent="0.3">
      <c r="B625" s="6" t="s">
        <v>648</v>
      </c>
      <c r="C625" s="6">
        <v>30</v>
      </c>
      <c r="D625" s="6" t="s">
        <v>17</v>
      </c>
      <c r="E625" s="6" t="s">
        <v>15</v>
      </c>
      <c r="F625" s="6" t="s">
        <v>18</v>
      </c>
      <c r="G625" s="19">
        <v>3761</v>
      </c>
      <c r="H625" s="11">
        <v>5</v>
      </c>
      <c r="I625" s="6">
        <v>4</v>
      </c>
      <c r="J625" s="6" t="s">
        <v>14</v>
      </c>
      <c r="K625" s="5" t="s">
        <v>14</v>
      </c>
      <c r="L625" s="3" t="str">
        <f>IF(Table1[[#This Row],[Monthly Income]]&lt;3000,"Low",IF(Table1[[#This Row],[Monthly Income]]&lt;7000,"Medium","High"))</f>
        <v>Medium</v>
      </c>
      <c r="AK625" s="6"/>
      <c r="AL625" s="6"/>
      <c r="AM625" s="6"/>
      <c r="AN625" s="6"/>
      <c r="AO625" s="6"/>
      <c r="AP625" s="6"/>
      <c r="AQ625" s="6"/>
      <c r="AR625" s="6"/>
      <c r="AS625" s="6"/>
      <c r="AU625" s="6"/>
      <c r="AV625" s="6"/>
      <c r="AW625" s="6"/>
      <c r="AX625" s="6"/>
      <c r="AY625" s="6"/>
      <c r="AZ625" s="6"/>
      <c r="BA625" s="6"/>
      <c r="BB625" s="6"/>
      <c r="BC625" s="6"/>
      <c r="BD625" s="6"/>
      <c r="BE625" s="6"/>
    </row>
    <row r="626" spans="2:57" x14ac:dyDescent="0.3">
      <c r="B626" s="4" t="s">
        <v>649</v>
      </c>
      <c r="C626" s="4">
        <v>53</v>
      </c>
      <c r="D626" s="4" t="s">
        <v>12</v>
      </c>
      <c r="E626" s="4" t="s">
        <v>10</v>
      </c>
      <c r="F626" s="4" t="s">
        <v>13</v>
      </c>
      <c r="G626" s="18">
        <v>10934</v>
      </c>
      <c r="H626" s="10">
        <v>5</v>
      </c>
      <c r="I626" s="4">
        <v>4</v>
      </c>
      <c r="J626" s="4" t="s">
        <v>9</v>
      </c>
      <c r="K626" s="3" t="s">
        <v>14</v>
      </c>
      <c r="L626" s="3" t="str">
        <f>IF(Table1[[#This Row],[Monthly Income]]&lt;3000,"Low",IF(Table1[[#This Row],[Monthly Income]]&lt;7000,"Medium","High"))</f>
        <v>High</v>
      </c>
      <c r="AK626" s="4"/>
      <c r="AL626" s="4"/>
      <c r="AM626" s="4"/>
      <c r="AN626" s="4"/>
      <c r="AO626" s="4"/>
      <c r="AP626" s="4"/>
      <c r="AQ626" s="4"/>
      <c r="AR626" s="4"/>
      <c r="AS626" s="4"/>
      <c r="AU626" s="4"/>
      <c r="AV626" s="4"/>
      <c r="AW626" s="4"/>
      <c r="AX626" s="4"/>
      <c r="AY626" s="4"/>
      <c r="AZ626" s="4"/>
      <c r="BA626" s="4"/>
      <c r="BB626" s="4"/>
      <c r="BC626" s="4"/>
      <c r="BD626" s="4"/>
      <c r="BE626" s="4"/>
    </row>
    <row r="627" spans="2:57" x14ac:dyDescent="0.3">
      <c r="B627" s="6" t="s">
        <v>650</v>
      </c>
      <c r="C627" s="6">
        <v>45</v>
      </c>
      <c r="D627" s="6" t="s">
        <v>17</v>
      </c>
      <c r="E627" s="6" t="s">
        <v>10</v>
      </c>
      <c r="F627" s="6" t="s">
        <v>13</v>
      </c>
      <c r="G627" s="19">
        <v>10761</v>
      </c>
      <c r="H627" s="11">
        <v>5</v>
      </c>
      <c r="I627" s="6">
        <v>1</v>
      </c>
      <c r="J627" s="6" t="s">
        <v>9</v>
      </c>
      <c r="K627" s="5" t="s">
        <v>14</v>
      </c>
      <c r="L627" s="3" t="str">
        <f>IF(Table1[[#This Row],[Monthly Income]]&lt;3000,"Low",IF(Table1[[#This Row],[Monthly Income]]&lt;7000,"Medium","High"))</f>
        <v>High</v>
      </c>
      <c r="AK627" s="6"/>
      <c r="AL627" s="6"/>
      <c r="AM627" s="6"/>
      <c r="AN627" s="6"/>
      <c r="AO627" s="6"/>
      <c r="AP627" s="6"/>
      <c r="AQ627" s="6"/>
      <c r="AR627" s="6"/>
      <c r="AS627" s="6"/>
      <c r="AU627" s="6"/>
      <c r="AV627" s="6"/>
      <c r="AW627" s="6"/>
      <c r="AX627" s="6"/>
      <c r="AY627" s="6"/>
      <c r="AZ627" s="6"/>
      <c r="BA627" s="6"/>
      <c r="BB627" s="6"/>
      <c r="BC627" s="6"/>
      <c r="BD627" s="6"/>
      <c r="BE627" s="6"/>
    </row>
    <row r="628" spans="2:57" x14ac:dyDescent="0.3">
      <c r="B628" s="4" t="s">
        <v>651</v>
      </c>
      <c r="C628" s="4">
        <v>32</v>
      </c>
      <c r="D628" s="4" t="s">
        <v>12</v>
      </c>
      <c r="E628" s="4" t="s">
        <v>15</v>
      </c>
      <c r="F628" s="4" t="s">
        <v>18</v>
      </c>
      <c r="G628" s="18">
        <v>5175</v>
      </c>
      <c r="H628" s="10">
        <v>5</v>
      </c>
      <c r="I628" s="4">
        <v>3</v>
      </c>
      <c r="J628" s="4" t="s">
        <v>14</v>
      </c>
      <c r="K628" s="3" t="s">
        <v>14</v>
      </c>
      <c r="L628" s="3" t="str">
        <f>IF(Table1[[#This Row],[Monthly Income]]&lt;3000,"Low",IF(Table1[[#This Row],[Monthly Income]]&lt;7000,"Medium","High"))</f>
        <v>Medium</v>
      </c>
      <c r="AK628" s="4"/>
      <c r="AL628" s="4"/>
      <c r="AM628" s="4"/>
      <c r="AN628" s="4"/>
      <c r="AO628" s="4"/>
      <c r="AP628" s="4"/>
      <c r="AQ628" s="4"/>
      <c r="AR628" s="4"/>
      <c r="AS628" s="4"/>
      <c r="AU628" s="4"/>
      <c r="AV628" s="4"/>
      <c r="AW628" s="4"/>
      <c r="AX628" s="4"/>
      <c r="AY628" s="4"/>
      <c r="AZ628" s="4"/>
      <c r="BA628" s="4"/>
      <c r="BB628" s="4"/>
      <c r="BC628" s="4"/>
      <c r="BD628" s="4"/>
      <c r="BE628" s="4"/>
    </row>
    <row r="629" spans="2:57" x14ac:dyDescent="0.3">
      <c r="B629" s="6" t="s">
        <v>652</v>
      </c>
      <c r="C629" s="6">
        <v>52</v>
      </c>
      <c r="D629" s="6" t="s">
        <v>12</v>
      </c>
      <c r="E629" s="6" t="s">
        <v>15</v>
      </c>
      <c r="F629" s="6" t="s">
        <v>27</v>
      </c>
      <c r="G629" s="19">
        <v>13826</v>
      </c>
      <c r="H629" s="11">
        <v>9</v>
      </c>
      <c r="I629" s="6">
        <v>4</v>
      </c>
      <c r="J629" s="6" t="s">
        <v>14</v>
      </c>
      <c r="K629" s="5" t="s">
        <v>14</v>
      </c>
      <c r="L629" s="3" t="str">
        <f>IF(Table1[[#This Row],[Monthly Income]]&lt;3000,"Low",IF(Table1[[#This Row],[Monthly Income]]&lt;7000,"Medium","High"))</f>
        <v>High</v>
      </c>
      <c r="AK629" s="6"/>
      <c r="AL629" s="6"/>
      <c r="AM629" s="6"/>
      <c r="AN629" s="6"/>
      <c r="AO629" s="6"/>
      <c r="AP629" s="6"/>
      <c r="AQ629" s="6"/>
      <c r="AR629" s="6"/>
      <c r="AS629" s="6"/>
      <c r="AU629" s="6"/>
      <c r="AV629" s="6"/>
      <c r="AW629" s="6"/>
      <c r="AX629" s="6"/>
      <c r="AY629" s="6"/>
      <c r="AZ629" s="6"/>
      <c r="BA629" s="6"/>
      <c r="BB629" s="6"/>
      <c r="BC629" s="6"/>
      <c r="BD629" s="6"/>
      <c r="BE629" s="6"/>
    </row>
    <row r="630" spans="2:57" x14ac:dyDescent="0.3">
      <c r="B630" s="4" t="s">
        <v>653</v>
      </c>
      <c r="C630" s="4">
        <v>37</v>
      </c>
      <c r="D630" s="4" t="s">
        <v>17</v>
      </c>
      <c r="E630" s="4" t="s">
        <v>10</v>
      </c>
      <c r="F630" s="4" t="s">
        <v>13</v>
      </c>
      <c r="G630" s="18">
        <v>6334</v>
      </c>
      <c r="H630" s="10">
        <v>1</v>
      </c>
      <c r="I630" s="4">
        <v>3</v>
      </c>
      <c r="J630" s="4" t="s">
        <v>14</v>
      </c>
      <c r="K630" s="3" t="s">
        <v>14</v>
      </c>
      <c r="L630" s="3" t="str">
        <f>IF(Table1[[#This Row],[Monthly Income]]&lt;3000,"Low",IF(Table1[[#This Row],[Monthly Income]]&lt;7000,"Medium","High"))</f>
        <v>Medium</v>
      </c>
      <c r="AK630" s="4"/>
      <c r="AL630" s="4"/>
      <c r="AM630" s="4"/>
      <c r="AN630" s="4"/>
      <c r="AO630" s="4"/>
      <c r="AP630" s="4"/>
      <c r="AQ630" s="4"/>
      <c r="AR630" s="4"/>
      <c r="AS630" s="4"/>
      <c r="AU630" s="4"/>
      <c r="AV630" s="4"/>
      <c r="AW630" s="4"/>
      <c r="AX630" s="4"/>
      <c r="AY630" s="4"/>
      <c r="AZ630" s="4"/>
      <c r="BA630" s="4"/>
      <c r="BB630" s="4"/>
      <c r="BC630" s="4"/>
      <c r="BD630" s="4"/>
      <c r="BE630" s="4"/>
    </row>
    <row r="631" spans="2:57" x14ac:dyDescent="0.3">
      <c r="B631" s="6" t="s">
        <v>654</v>
      </c>
      <c r="C631" s="6">
        <v>28</v>
      </c>
      <c r="D631" s="6" t="s">
        <v>17</v>
      </c>
      <c r="E631" s="6" t="s">
        <v>102</v>
      </c>
      <c r="F631" s="6" t="s">
        <v>104</v>
      </c>
      <c r="G631" s="19">
        <v>4936</v>
      </c>
      <c r="H631" s="11">
        <v>5</v>
      </c>
      <c r="I631" s="6">
        <v>4</v>
      </c>
      <c r="J631" s="6" t="s">
        <v>14</v>
      </c>
      <c r="K631" s="5" t="s">
        <v>14</v>
      </c>
      <c r="L631" s="3" t="str">
        <f>IF(Table1[[#This Row],[Monthly Income]]&lt;3000,"Low",IF(Table1[[#This Row],[Monthly Income]]&lt;7000,"Medium","High"))</f>
        <v>Medium</v>
      </c>
      <c r="AK631" s="6"/>
      <c r="AL631" s="6"/>
      <c r="AM631" s="6"/>
      <c r="AN631" s="6"/>
      <c r="AO631" s="6"/>
      <c r="AP631" s="6"/>
      <c r="AQ631" s="6"/>
      <c r="AR631" s="6"/>
      <c r="AS631" s="6"/>
      <c r="AU631" s="6"/>
      <c r="AV631" s="6"/>
      <c r="AW631" s="6"/>
      <c r="AX631" s="6"/>
      <c r="AY631" s="6"/>
      <c r="AZ631" s="6"/>
      <c r="BA631" s="6"/>
      <c r="BB631" s="6"/>
      <c r="BC631" s="6"/>
      <c r="BD631" s="6"/>
      <c r="BE631" s="6"/>
    </row>
    <row r="632" spans="2:57" x14ac:dyDescent="0.3">
      <c r="B632" s="4" t="s">
        <v>655</v>
      </c>
      <c r="C632" s="4">
        <v>22</v>
      </c>
      <c r="D632" s="4" t="s">
        <v>17</v>
      </c>
      <c r="E632" s="4" t="s">
        <v>15</v>
      </c>
      <c r="F632" s="4" t="s">
        <v>27</v>
      </c>
      <c r="G632" s="18">
        <v>4775</v>
      </c>
      <c r="H632" s="10">
        <v>2</v>
      </c>
      <c r="I632" s="4">
        <v>4</v>
      </c>
      <c r="J632" s="4" t="s">
        <v>14</v>
      </c>
      <c r="K632" s="3" t="s">
        <v>14</v>
      </c>
      <c r="L632" s="3" t="str">
        <f>IF(Table1[[#This Row],[Monthly Income]]&lt;3000,"Low",IF(Table1[[#This Row],[Monthly Income]]&lt;7000,"Medium","High"))</f>
        <v>Medium</v>
      </c>
      <c r="AK632" s="4"/>
      <c r="AL632" s="4"/>
      <c r="AM632" s="4"/>
      <c r="AN632" s="4"/>
      <c r="AO632" s="4"/>
      <c r="AP632" s="4"/>
      <c r="AQ632" s="4"/>
      <c r="AR632" s="4"/>
      <c r="AS632" s="4"/>
      <c r="AU632" s="4"/>
      <c r="AV632" s="4"/>
      <c r="AW632" s="4"/>
      <c r="AX632" s="4"/>
      <c r="AY632" s="4"/>
      <c r="AZ632" s="4"/>
      <c r="BA632" s="4"/>
      <c r="BB632" s="4"/>
      <c r="BC632" s="4"/>
      <c r="BD632" s="4"/>
      <c r="BE632" s="4"/>
    </row>
    <row r="633" spans="2:57" x14ac:dyDescent="0.3">
      <c r="B633" s="6" t="s">
        <v>656</v>
      </c>
      <c r="C633" s="6">
        <v>44</v>
      </c>
      <c r="D633" s="6" t="s">
        <v>17</v>
      </c>
      <c r="E633" s="6" t="s">
        <v>15</v>
      </c>
      <c r="F633" s="6" t="s">
        <v>20</v>
      </c>
      <c r="G633" s="19">
        <v>2818</v>
      </c>
      <c r="H633" s="11">
        <v>3</v>
      </c>
      <c r="I633" s="6">
        <v>4</v>
      </c>
      <c r="J633" s="6" t="s">
        <v>9</v>
      </c>
      <c r="K633" s="5" t="s">
        <v>14</v>
      </c>
      <c r="L633" s="3" t="str">
        <f>IF(Table1[[#This Row],[Monthly Income]]&lt;3000,"Low",IF(Table1[[#This Row],[Monthly Income]]&lt;7000,"Medium","High"))</f>
        <v>Low</v>
      </c>
      <c r="AK633" s="6"/>
      <c r="AL633" s="6"/>
      <c r="AM633" s="6"/>
      <c r="AN633" s="6"/>
      <c r="AO633" s="6"/>
      <c r="AP633" s="6"/>
      <c r="AQ633" s="6"/>
      <c r="AR633" s="6"/>
      <c r="AS633" s="6"/>
      <c r="AU633" s="6"/>
      <c r="AV633" s="6"/>
      <c r="AW633" s="6"/>
      <c r="AX633" s="6"/>
      <c r="AY633" s="6"/>
      <c r="AZ633" s="6"/>
      <c r="BA633" s="6"/>
      <c r="BB633" s="6"/>
      <c r="BC633" s="6"/>
      <c r="BD633" s="6"/>
      <c r="BE633" s="6"/>
    </row>
    <row r="634" spans="2:57" x14ac:dyDescent="0.3">
      <c r="B634" s="4" t="s">
        <v>657</v>
      </c>
      <c r="C634" s="4">
        <v>42</v>
      </c>
      <c r="D634" s="4" t="s">
        <v>17</v>
      </c>
      <c r="E634" s="4" t="s">
        <v>15</v>
      </c>
      <c r="F634" s="4" t="s">
        <v>18</v>
      </c>
      <c r="G634" s="18">
        <v>2515</v>
      </c>
      <c r="H634" s="10">
        <v>2</v>
      </c>
      <c r="I634" s="4">
        <v>4</v>
      </c>
      <c r="J634" s="4" t="s">
        <v>9</v>
      </c>
      <c r="K634" s="3" t="s">
        <v>14</v>
      </c>
      <c r="L634" s="3" t="str">
        <f>IF(Table1[[#This Row],[Monthly Income]]&lt;3000,"Low",IF(Table1[[#This Row],[Monthly Income]]&lt;7000,"Medium","High"))</f>
        <v>Low</v>
      </c>
      <c r="AK634" s="4"/>
      <c r="AL634" s="4"/>
      <c r="AM634" s="4"/>
      <c r="AN634" s="4"/>
      <c r="AO634" s="4"/>
      <c r="AP634" s="4"/>
      <c r="AQ634" s="4"/>
      <c r="AR634" s="4"/>
      <c r="AS634" s="4"/>
      <c r="AU634" s="4"/>
      <c r="AV634" s="4"/>
      <c r="AW634" s="4"/>
      <c r="AX634" s="4"/>
      <c r="AY634" s="4"/>
      <c r="AZ634" s="4"/>
      <c r="BA634" s="4"/>
      <c r="BB634" s="4"/>
      <c r="BC634" s="4"/>
      <c r="BD634" s="4"/>
      <c r="BE634" s="4"/>
    </row>
    <row r="635" spans="2:57" x14ac:dyDescent="0.3">
      <c r="B635" s="6" t="s">
        <v>658</v>
      </c>
      <c r="C635" s="6">
        <v>36</v>
      </c>
      <c r="D635" s="6" t="s">
        <v>17</v>
      </c>
      <c r="E635" s="6" t="s">
        <v>102</v>
      </c>
      <c r="F635" s="6" t="s">
        <v>104</v>
      </c>
      <c r="G635" s="19">
        <v>2342</v>
      </c>
      <c r="H635" s="11">
        <v>5</v>
      </c>
      <c r="I635" s="6">
        <v>1</v>
      </c>
      <c r="J635" s="6" t="s">
        <v>14</v>
      </c>
      <c r="K635" s="5" t="s">
        <v>14</v>
      </c>
      <c r="L635" s="3" t="str">
        <f>IF(Table1[[#This Row],[Monthly Income]]&lt;3000,"Low",IF(Table1[[#This Row],[Monthly Income]]&lt;7000,"Medium","High"))</f>
        <v>Low</v>
      </c>
      <c r="AK635" s="6"/>
      <c r="AL635" s="6"/>
      <c r="AM635" s="6"/>
      <c r="AN635" s="6"/>
      <c r="AO635" s="6"/>
      <c r="AP635" s="6"/>
      <c r="AQ635" s="6"/>
      <c r="AR635" s="6"/>
      <c r="AS635" s="6"/>
      <c r="AU635" s="6"/>
      <c r="AV635" s="6"/>
      <c r="AW635" s="6"/>
      <c r="AX635" s="6"/>
      <c r="AY635" s="6"/>
      <c r="AZ635" s="6"/>
      <c r="BA635" s="6"/>
      <c r="BB635" s="6"/>
      <c r="BC635" s="6"/>
      <c r="BD635" s="6"/>
      <c r="BE635" s="6"/>
    </row>
    <row r="636" spans="2:57" x14ac:dyDescent="0.3">
      <c r="B636" s="4" t="s">
        <v>659</v>
      </c>
      <c r="C636" s="4">
        <v>25</v>
      </c>
      <c r="D636" s="4" t="s">
        <v>17</v>
      </c>
      <c r="E636" s="4" t="s">
        <v>10</v>
      </c>
      <c r="F636" s="4" t="s">
        <v>13</v>
      </c>
      <c r="G636" s="18">
        <v>4194</v>
      </c>
      <c r="H636" s="10">
        <v>5</v>
      </c>
      <c r="I636" s="4">
        <v>1</v>
      </c>
      <c r="J636" s="4" t="s">
        <v>9</v>
      </c>
      <c r="K636" s="3" t="s">
        <v>14</v>
      </c>
      <c r="L636" s="3" t="str">
        <f>IF(Table1[[#This Row],[Monthly Income]]&lt;3000,"Low",IF(Table1[[#This Row],[Monthly Income]]&lt;7000,"Medium","High"))</f>
        <v>Medium</v>
      </c>
      <c r="AK636" s="4"/>
      <c r="AL636" s="4"/>
      <c r="AM636" s="4"/>
      <c r="AN636" s="4"/>
      <c r="AO636" s="4"/>
      <c r="AP636" s="4"/>
      <c r="AQ636" s="4"/>
      <c r="AR636" s="4"/>
      <c r="AS636" s="4"/>
      <c r="AU636" s="4"/>
      <c r="AV636" s="4"/>
      <c r="AW636" s="4"/>
      <c r="AX636" s="4"/>
      <c r="AY636" s="4"/>
      <c r="AZ636" s="4"/>
      <c r="BA636" s="4"/>
      <c r="BB636" s="4"/>
      <c r="BC636" s="4"/>
      <c r="BD636" s="4"/>
      <c r="BE636" s="4"/>
    </row>
    <row r="637" spans="2:57" x14ac:dyDescent="0.3">
      <c r="B637" s="6" t="s">
        <v>660</v>
      </c>
      <c r="C637" s="6">
        <v>35</v>
      </c>
      <c r="D637" s="6" t="s">
        <v>12</v>
      </c>
      <c r="E637" s="6" t="s">
        <v>15</v>
      </c>
      <c r="F637" s="6" t="s">
        <v>27</v>
      </c>
      <c r="G637" s="19">
        <v>10685</v>
      </c>
      <c r="H637" s="11">
        <v>17</v>
      </c>
      <c r="I637" s="6">
        <v>3</v>
      </c>
      <c r="J637" s="6" t="s">
        <v>9</v>
      </c>
      <c r="K637" s="5" t="s">
        <v>14</v>
      </c>
      <c r="L637" s="3" t="str">
        <f>IF(Table1[[#This Row],[Monthly Income]]&lt;3000,"Low",IF(Table1[[#This Row],[Monthly Income]]&lt;7000,"Medium","High"))</f>
        <v>High</v>
      </c>
      <c r="AK637" s="6"/>
      <c r="AL637" s="6"/>
      <c r="AM637" s="6"/>
      <c r="AN637" s="6"/>
      <c r="AO637" s="6"/>
      <c r="AP637" s="6"/>
      <c r="AQ637" s="6"/>
      <c r="AR637" s="6"/>
      <c r="AS637" s="6"/>
      <c r="AU637" s="6"/>
      <c r="AV637" s="6"/>
      <c r="AW637" s="6"/>
      <c r="AX637" s="6"/>
      <c r="AY637" s="6"/>
      <c r="AZ637" s="6"/>
      <c r="BA637" s="6"/>
      <c r="BB637" s="6"/>
      <c r="BC637" s="6"/>
      <c r="BD637" s="6"/>
      <c r="BE637" s="6"/>
    </row>
    <row r="638" spans="2:57" x14ac:dyDescent="0.3">
      <c r="B638" s="4" t="s">
        <v>661</v>
      </c>
      <c r="C638" s="4">
        <v>35</v>
      </c>
      <c r="D638" s="4" t="s">
        <v>12</v>
      </c>
      <c r="E638" s="4" t="s">
        <v>15</v>
      </c>
      <c r="F638" s="4" t="s">
        <v>18</v>
      </c>
      <c r="G638" s="18">
        <v>2022</v>
      </c>
      <c r="H638" s="10">
        <v>10</v>
      </c>
      <c r="I638" s="4">
        <v>2</v>
      </c>
      <c r="J638" s="4" t="s">
        <v>9</v>
      </c>
      <c r="K638" s="3" t="s">
        <v>9</v>
      </c>
      <c r="L638" s="3" t="str">
        <f>IF(Table1[[#This Row],[Monthly Income]]&lt;3000,"Low",IF(Table1[[#This Row],[Monthly Income]]&lt;7000,"Medium","High"))</f>
        <v>Low</v>
      </c>
      <c r="AK638" s="4"/>
      <c r="AL638" s="4"/>
      <c r="AM638" s="4"/>
      <c r="AN638" s="4"/>
      <c r="AO638" s="4"/>
      <c r="AP638" s="4"/>
      <c r="AQ638" s="4"/>
      <c r="AR638" s="4"/>
      <c r="AS638" s="4"/>
      <c r="AU638" s="4"/>
      <c r="AV638" s="4"/>
      <c r="AW638" s="4"/>
      <c r="AX638" s="4"/>
      <c r="AY638" s="4"/>
      <c r="AZ638" s="4"/>
      <c r="BA638" s="4"/>
      <c r="BB638" s="4"/>
      <c r="BC638" s="4"/>
      <c r="BD638" s="4"/>
      <c r="BE638" s="4"/>
    </row>
    <row r="639" spans="2:57" x14ac:dyDescent="0.3">
      <c r="B639" s="6" t="s">
        <v>662</v>
      </c>
      <c r="C639" s="6">
        <v>32</v>
      </c>
      <c r="D639" s="6" t="s">
        <v>17</v>
      </c>
      <c r="E639" s="6" t="s">
        <v>15</v>
      </c>
      <c r="F639" s="6" t="s">
        <v>20</v>
      </c>
      <c r="G639" s="19">
        <v>2314</v>
      </c>
      <c r="H639" s="11">
        <v>3</v>
      </c>
      <c r="I639" s="6">
        <v>4</v>
      </c>
      <c r="J639" s="6" t="s">
        <v>14</v>
      </c>
      <c r="K639" s="5" t="s">
        <v>14</v>
      </c>
      <c r="L639" s="3" t="str">
        <f>IF(Table1[[#This Row],[Monthly Income]]&lt;3000,"Low",IF(Table1[[#This Row],[Monthly Income]]&lt;7000,"Medium","High"))</f>
        <v>Low</v>
      </c>
      <c r="AK639" s="6"/>
      <c r="AL639" s="6"/>
      <c r="AM639" s="6"/>
      <c r="AN639" s="6"/>
      <c r="AO639" s="6"/>
      <c r="AP639" s="6"/>
      <c r="AQ639" s="6"/>
      <c r="AR639" s="6"/>
      <c r="AS639" s="6"/>
      <c r="AU639" s="6"/>
      <c r="AV639" s="6"/>
      <c r="AW639" s="6"/>
      <c r="AX639" s="6"/>
      <c r="AY639" s="6"/>
      <c r="AZ639" s="6"/>
      <c r="BA639" s="6"/>
      <c r="BB639" s="6"/>
      <c r="BC639" s="6"/>
      <c r="BD639" s="6"/>
      <c r="BE639" s="6"/>
    </row>
    <row r="640" spans="2:57" x14ac:dyDescent="0.3">
      <c r="B640" s="4" t="s">
        <v>663</v>
      </c>
      <c r="C640" s="4">
        <v>25</v>
      </c>
      <c r="D640" s="4" t="s">
        <v>17</v>
      </c>
      <c r="E640" s="4" t="s">
        <v>10</v>
      </c>
      <c r="F640" s="4" t="s">
        <v>13</v>
      </c>
      <c r="G640" s="18">
        <v>4256</v>
      </c>
      <c r="H640" s="10">
        <v>5</v>
      </c>
      <c r="I640" s="4">
        <v>1</v>
      </c>
      <c r="J640" s="4" t="s">
        <v>14</v>
      </c>
      <c r="K640" s="3" t="s">
        <v>14</v>
      </c>
      <c r="L640" s="3" t="str">
        <f>IF(Table1[[#This Row],[Monthly Income]]&lt;3000,"Low",IF(Table1[[#This Row],[Monthly Income]]&lt;7000,"Medium","High"))</f>
        <v>Medium</v>
      </c>
      <c r="AK640" s="4"/>
      <c r="AL640" s="4"/>
      <c r="AM640" s="4"/>
      <c r="AN640" s="4"/>
      <c r="AO640" s="4"/>
      <c r="AP640" s="4"/>
      <c r="AQ640" s="4"/>
      <c r="AR640" s="4"/>
      <c r="AS640" s="4"/>
      <c r="AU640" s="4"/>
      <c r="AV640" s="4"/>
      <c r="AW640" s="4"/>
      <c r="AX640" s="4"/>
      <c r="AY640" s="4"/>
      <c r="AZ640" s="4"/>
      <c r="BA640" s="4"/>
      <c r="BB640" s="4"/>
      <c r="BC640" s="4"/>
      <c r="BD640" s="4"/>
      <c r="BE640" s="4"/>
    </row>
    <row r="641" spans="2:57" x14ac:dyDescent="0.3">
      <c r="B641" s="6" t="s">
        <v>664</v>
      </c>
      <c r="C641" s="6">
        <v>49</v>
      </c>
      <c r="D641" s="6" t="s">
        <v>12</v>
      </c>
      <c r="E641" s="6" t="s">
        <v>15</v>
      </c>
      <c r="F641" s="6" t="s">
        <v>18</v>
      </c>
      <c r="G641" s="19">
        <v>3580</v>
      </c>
      <c r="H641" s="11">
        <v>4</v>
      </c>
      <c r="I641" s="6">
        <v>1</v>
      </c>
      <c r="J641" s="6" t="s">
        <v>14</v>
      </c>
      <c r="K641" s="5" t="s">
        <v>14</v>
      </c>
      <c r="L641" s="3" t="str">
        <f>IF(Table1[[#This Row],[Monthly Income]]&lt;3000,"Low",IF(Table1[[#This Row],[Monthly Income]]&lt;7000,"Medium","High"))</f>
        <v>Medium</v>
      </c>
      <c r="AK641" s="6"/>
      <c r="AL641" s="6"/>
      <c r="AM641" s="6"/>
      <c r="AN641" s="6"/>
      <c r="AO641" s="6"/>
      <c r="AP641" s="6"/>
      <c r="AQ641" s="6"/>
      <c r="AR641" s="6"/>
      <c r="AS641" s="6"/>
      <c r="AU641" s="6"/>
      <c r="AV641" s="6"/>
      <c r="AW641" s="6"/>
      <c r="AX641" s="6"/>
      <c r="AY641" s="6"/>
      <c r="AZ641" s="6"/>
      <c r="BA641" s="6"/>
      <c r="BB641" s="6"/>
      <c r="BC641" s="6"/>
      <c r="BD641" s="6"/>
      <c r="BE641" s="6"/>
    </row>
    <row r="642" spans="2:57" x14ac:dyDescent="0.3">
      <c r="B642" s="4" t="s">
        <v>665</v>
      </c>
      <c r="C642" s="4">
        <v>24</v>
      </c>
      <c r="D642" s="4" t="s">
        <v>17</v>
      </c>
      <c r="E642" s="4" t="s">
        <v>15</v>
      </c>
      <c r="F642" s="4" t="s">
        <v>20</v>
      </c>
      <c r="G642" s="18">
        <v>3162</v>
      </c>
      <c r="H642" s="10">
        <v>5</v>
      </c>
      <c r="I642" s="4">
        <v>4</v>
      </c>
      <c r="J642" s="4" t="s">
        <v>14</v>
      </c>
      <c r="K642" s="3" t="s">
        <v>14</v>
      </c>
      <c r="L642" s="3" t="str">
        <f>IF(Table1[[#This Row],[Monthly Income]]&lt;3000,"Low",IF(Table1[[#This Row],[Monthly Income]]&lt;7000,"Medium","High"))</f>
        <v>Medium</v>
      </c>
      <c r="AK642" s="4"/>
      <c r="AL642" s="4"/>
      <c r="AM642" s="4"/>
      <c r="AN642" s="4"/>
      <c r="AO642" s="4"/>
      <c r="AP642" s="4"/>
      <c r="AQ642" s="4"/>
      <c r="AR642" s="4"/>
      <c r="AS642" s="4"/>
      <c r="AU642" s="4"/>
      <c r="AV642" s="4"/>
      <c r="AW642" s="4"/>
      <c r="AX642" s="4"/>
      <c r="AY642" s="4"/>
      <c r="AZ642" s="4"/>
      <c r="BA642" s="4"/>
      <c r="BB642" s="4"/>
      <c r="BC642" s="4"/>
      <c r="BD642" s="4"/>
      <c r="BE642" s="4"/>
    </row>
    <row r="643" spans="2:57" x14ac:dyDescent="0.3">
      <c r="B643" s="6" t="s">
        <v>666</v>
      </c>
      <c r="C643" s="6">
        <v>32</v>
      </c>
      <c r="D643" s="6" t="s">
        <v>17</v>
      </c>
      <c r="E643" s="6" t="s">
        <v>10</v>
      </c>
      <c r="F643" s="6" t="s">
        <v>13</v>
      </c>
      <c r="G643" s="19">
        <v>6524</v>
      </c>
      <c r="H643" s="11">
        <v>10</v>
      </c>
      <c r="I643" s="6">
        <v>2</v>
      </c>
      <c r="J643" s="6" t="s">
        <v>14</v>
      </c>
      <c r="K643" s="5" t="s">
        <v>14</v>
      </c>
      <c r="L643" s="3" t="str">
        <f>IF(Table1[[#This Row],[Monthly Income]]&lt;3000,"Low",IF(Table1[[#This Row],[Monthly Income]]&lt;7000,"Medium","High"))</f>
        <v>Medium</v>
      </c>
      <c r="AK643" s="6"/>
      <c r="AL643" s="6"/>
      <c r="AM643" s="6"/>
      <c r="AN643" s="6"/>
      <c r="AO643" s="6"/>
      <c r="AP643" s="6"/>
      <c r="AQ643" s="6"/>
      <c r="AR643" s="6"/>
      <c r="AS643" s="6"/>
      <c r="AU643" s="6"/>
      <c r="AV643" s="6"/>
      <c r="AW643" s="6"/>
      <c r="AX643" s="6"/>
      <c r="AY643" s="6"/>
      <c r="AZ643" s="6"/>
      <c r="BA643" s="6"/>
      <c r="BB643" s="6"/>
      <c r="BC643" s="6"/>
      <c r="BD643" s="6"/>
      <c r="BE643" s="6"/>
    </row>
    <row r="644" spans="2:57" x14ac:dyDescent="0.3">
      <c r="B644" s="4" t="s">
        <v>667</v>
      </c>
      <c r="C644" s="4">
        <v>38</v>
      </c>
      <c r="D644" s="4" t="s">
        <v>17</v>
      </c>
      <c r="E644" s="4" t="s">
        <v>10</v>
      </c>
      <c r="F644" s="4" t="s">
        <v>43</v>
      </c>
      <c r="G644" s="18">
        <v>2899</v>
      </c>
      <c r="H644" s="10">
        <v>2</v>
      </c>
      <c r="I644" s="4">
        <v>2</v>
      </c>
      <c r="J644" s="4" t="s">
        <v>14</v>
      </c>
      <c r="K644" s="3" t="s">
        <v>14</v>
      </c>
      <c r="L644" s="3" t="str">
        <f>IF(Table1[[#This Row],[Monthly Income]]&lt;3000,"Low",IF(Table1[[#This Row],[Monthly Income]]&lt;7000,"Medium","High"))</f>
        <v>Low</v>
      </c>
      <c r="AK644" s="4"/>
      <c r="AL644" s="4"/>
      <c r="AM644" s="4"/>
      <c r="AN644" s="4"/>
      <c r="AO644" s="4"/>
      <c r="AP644" s="4"/>
      <c r="AQ644" s="4"/>
      <c r="AR644" s="4"/>
      <c r="AS644" s="4"/>
      <c r="AU644" s="4"/>
      <c r="AV644" s="4"/>
      <c r="AW644" s="4"/>
      <c r="AX644" s="4"/>
      <c r="AY644" s="4"/>
      <c r="AZ644" s="4"/>
      <c r="BA644" s="4"/>
      <c r="BB644" s="4"/>
      <c r="BC644" s="4"/>
      <c r="BD644" s="4"/>
      <c r="BE644" s="4"/>
    </row>
    <row r="645" spans="2:57" x14ac:dyDescent="0.3">
      <c r="B645" s="6" t="s">
        <v>668</v>
      </c>
      <c r="C645" s="6">
        <v>42</v>
      </c>
      <c r="D645" s="6" t="s">
        <v>12</v>
      </c>
      <c r="E645" s="6" t="s">
        <v>15</v>
      </c>
      <c r="F645" s="6" t="s">
        <v>20</v>
      </c>
      <c r="G645" s="19">
        <v>5231</v>
      </c>
      <c r="H645" s="11">
        <v>5</v>
      </c>
      <c r="I645" s="6">
        <v>4</v>
      </c>
      <c r="J645" s="6" t="s">
        <v>9</v>
      </c>
      <c r="K645" s="5" t="s">
        <v>14</v>
      </c>
      <c r="L645" s="3" t="str">
        <f>IF(Table1[[#This Row],[Monthly Income]]&lt;3000,"Low",IF(Table1[[#This Row],[Monthly Income]]&lt;7000,"Medium","High"))</f>
        <v>Medium</v>
      </c>
      <c r="AK645" s="6"/>
      <c r="AL645" s="6"/>
      <c r="AM645" s="6"/>
      <c r="AN645" s="6"/>
      <c r="AO645" s="6"/>
      <c r="AP645" s="6"/>
      <c r="AQ645" s="6"/>
      <c r="AR645" s="6"/>
      <c r="AS645" s="6"/>
      <c r="AU645" s="6"/>
      <c r="AV645" s="6"/>
      <c r="AW645" s="6"/>
      <c r="AX645" s="6"/>
      <c r="AY645" s="6"/>
      <c r="AZ645" s="6"/>
      <c r="BA645" s="6"/>
      <c r="BB645" s="6"/>
      <c r="BC645" s="6"/>
      <c r="BD645" s="6"/>
      <c r="BE645" s="6"/>
    </row>
    <row r="646" spans="2:57" x14ac:dyDescent="0.3">
      <c r="B646" s="4" t="s">
        <v>669</v>
      </c>
      <c r="C646" s="4">
        <v>31</v>
      </c>
      <c r="D646" s="4" t="s">
        <v>17</v>
      </c>
      <c r="E646" s="4" t="s">
        <v>15</v>
      </c>
      <c r="F646" s="4" t="s">
        <v>18</v>
      </c>
      <c r="G646" s="18">
        <v>2356</v>
      </c>
      <c r="H646" s="10">
        <v>6</v>
      </c>
      <c r="I646" s="4">
        <v>4</v>
      </c>
      <c r="J646" s="4" t="s">
        <v>9</v>
      </c>
      <c r="K646" s="3" t="s">
        <v>14</v>
      </c>
      <c r="L646" s="3" t="str">
        <f>IF(Table1[[#This Row],[Monthly Income]]&lt;3000,"Low",IF(Table1[[#This Row],[Monthly Income]]&lt;7000,"Medium","High"))</f>
        <v>Low</v>
      </c>
      <c r="AK646" s="4"/>
      <c r="AL646" s="4"/>
      <c r="AM646" s="4"/>
      <c r="AN646" s="4"/>
      <c r="AO646" s="4"/>
      <c r="AP646" s="4"/>
      <c r="AQ646" s="4"/>
      <c r="AR646" s="4"/>
      <c r="AS646" s="4"/>
      <c r="AU646" s="4"/>
      <c r="AV646" s="4"/>
      <c r="AW646" s="4"/>
      <c r="AX646" s="4"/>
      <c r="AY646" s="4"/>
      <c r="AZ646" s="4"/>
      <c r="BA646" s="4"/>
      <c r="BB646" s="4"/>
      <c r="BC646" s="4"/>
      <c r="BD646" s="4"/>
      <c r="BE646" s="4"/>
    </row>
    <row r="647" spans="2:57" x14ac:dyDescent="0.3">
      <c r="B647" s="6" t="s">
        <v>670</v>
      </c>
      <c r="C647" s="6">
        <v>29</v>
      </c>
      <c r="D647" s="6" t="s">
        <v>12</v>
      </c>
      <c r="E647" s="6" t="s">
        <v>10</v>
      </c>
      <c r="F647" s="6" t="s">
        <v>43</v>
      </c>
      <c r="G647" s="19">
        <v>2800</v>
      </c>
      <c r="H647" s="11">
        <v>3</v>
      </c>
      <c r="I647" s="6">
        <v>3</v>
      </c>
      <c r="J647" s="6" t="s">
        <v>9</v>
      </c>
      <c r="K647" s="5" t="s">
        <v>9</v>
      </c>
      <c r="L647" s="3" t="str">
        <f>IF(Table1[[#This Row],[Monthly Income]]&lt;3000,"Low",IF(Table1[[#This Row],[Monthly Income]]&lt;7000,"Medium","High"))</f>
        <v>Low</v>
      </c>
      <c r="AK647" s="6"/>
      <c r="AL647" s="6"/>
      <c r="AM647" s="6"/>
      <c r="AN647" s="6"/>
      <c r="AO647" s="6"/>
      <c r="AP647" s="6"/>
      <c r="AQ647" s="6"/>
      <c r="AR647" s="6"/>
      <c r="AS647" s="6"/>
      <c r="AU647" s="6"/>
      <c r="AV647" s="6"/>
      <c r="AW647" s="6"/>
      <c r="AX647" s="6"/>
      <c r="AY647" s="6"/>
      <c r="AZ647" s="6"/>
      <c r="BA647" s="6"/>
      <c r="BB647" s="6"/>
      <c r="BC647" s="6"/>
      <c r="BD647" s="6"/>
      <c r="BE647" s="6"/>
    </row>
    <row r="648" spans="2:57" x14ac:dyDescent="0.3">
      <c r="B648" s="4" t="s">
        <v>671</v>
      </c>
      <c r="C648" s="4">
        <v>53</v>
      </c>
      <c r="D648" s="4" t="s">
        <v>17</v>
      </c>
      <c r="E648" s="4" t="s">
        <v>10</v>
      </c>
      <c r="F648" s="4" t="s">
        <v>13</v>
      </c>
      <c r="G648" s="18">
        <v>11836</v>
      </c>
      <c r="H648" s="10">
        <v>2</v>
      </c>
      <c r="I648" s="4">
        <v>4</v>
      </c>
      <c r="J648" s="4" t="s">
        <v>14</v>
      </c>
      <c r="K648" s="3" t="s">
        <v>14</v>
      </c>
      <c r="L648" s="3" t="str">
        <f>IF(Table1[[#This Row],[Monthly Income]]&lt;3000,"Low",IF(Table1[[#This Row],[Monthly Income]]&lt;7000,"Medium","High"))</f>
        <v>High</v>
      </c>
      <c r="AK648" s="4"/>
      <c r="AL648" s="4"/>
      <c r="AM648" s="4"/>
      <c r="AN648" s="4"/>
      <c r="AO648" s="4"/>
      <c r="AP648" s="4"/>
      <c r="AQ648" s="4"/>
      <c r="AR648" s="4"/>
      <c r="AS648" s="4"/>
      <c r="AU648" s="4"/>
      <c r="AV648" s="4"/>
      <c r="AW648" s="4"/>
      <c r="AX648" s="4"/>
      <c r="AY648" s="4"/>
      <c r="AZ648" s="4"/>
      <c r="BA648" s="4"/>
      <c r="BB648" s="4"/>
      <c r="BC648" s="4"/>
      <c r="BD648" s="4"/>
      <c r="BE648" s="4"/>
    </row>
    <row r="649" spans="2:57" x14ac:dyDescent="0.3">
      <c r="B649" s="6" t="s">
        <v>672</v>
      </c>
      <c r="C649" s="6">
        <v>35</v>
      </c>
      <c r="D649" s="6" t="s">
        <v>17</v>
      </c>
      <c r="E649" s="6" t="s">
        <v>15</v>
      </c>
      <c r="F649" s="6" t="s">
        <v>27</v>
      </c>
      <c r="G649" s="19">
        <v>10903</v>
      </c>
      <c r="H649" s="11">
        <v>13</v>
      </c>
      <c r="I649" s="6">
        <v>2</v>
      </c>
      <c r="J649" s="6" t="s">
        <v>14</v>
      </c>
      <c r="K649" s="5" t="s">
        <v>14</v>
      </c>
      <c r="L649" s="3" t="str">
        <f>IF(Table1[[#This Row],[Monthly Income]]&lt;3000,"Low",IF(Table1[[#This Row],[Monthly Income]]&lt;7000,"Medium","High"))</f>
        <v>High</v>
      </c>
      <c r="AK649" s="6"/>
      <c r="AL649" s="6"/>
      <c r="AM649" s="6"/>
      <c r="AN649" s="6"/>
      <c r="AO649" s="6"/>
      <c r="AP649" s="6"/>
      <c r="AQ649" s="6"/>
      <c r="AR649" s="6"/>
      <c r="AS649" s="6"/>
      <c r="AU649" s="6"/>
      <c r="AV649" s="6"/>
      <c r="AW649" s="6"/>
      <c r="AX649" s="6"/>
      <c r="AY649" s="6"/>
      <c r="AZ649" s="6"/>
      <c r="BA649" s="6"/>
      <c r="BB649" s="6"/>
      <c r="BC649" s="6"/>
      <c r="BD649" s="6"/>
      <c r="BE649" s="6"/>
    </row>
    <row r="650" spans="2:57" x14ac:dyDescent="0.3">
      <c r="B650" s="4" t="s">
        <v>673</v>
      </c>
      <c r="C650" s="4">
        <v>37</v>
      </c>
      <c r="D650" s="4" t="s">
        <v>12</v>
      </c>
      <c r="E650" s="4" t="s">
        <v>10</v>
      </c>
      <c r="F650" s="4" t="s">
        <v>43</v>
      </c>
      <c r="G650" s="18">
        <v>2973</v>
      </c>
      <c r="H650" s="10">
        <v>5</v>
      </c>
      <c r="I650" s="4">
        <v>4</v>
      </c>
      <c r="J650" s="4" t="s">
        <v>14</v>
      </c>
      <c r="K650" s="3" t="s">
        <v>14</v>
      </c>
      <c r="L650" s="3" t="str">
        <f>IF(Table1[[#This Row],[Monthly Income]]&lt;3000,"Low",IF(Table1[[#This Row],[Monthly Income]]&lt;7000,"Medium","High"))</f>
        <v>Low</v>
      </c>
      <c r="AK650" s="4"/>
      <c r="AL650" s="4"/>
      <c r="AM650" s="4"/>
      <c r="AN650" s="4"/>
      <c r="AO650" s="4"/>
      <c r="AP650" s="4"/>
      <c r="AQ650" s="4"/>
      <c r="AR650" s="4"/>
      <c r="AS650" s="4"/>
      <c r="AU650" s="4"/>
      <c r="AV650" s="4"/>
      <c r="AW650" s="4"/>
      <c r="AX650" s="4"/>
      <c r="AY650" s="4"/>
      <c r="AZ650" s="4"/>
      <c r="BA650" s="4"/>
      <c r="BB650" s="4"/>
      <c r="BC650" s="4"/>
      <c r="BD650" s="4"/>
      <c r="BE650" s="4"/>
    </row>
    <row r="651" spans="2:57" x14ac:dyDescent="0.3">
      <c r="B651" s="6" t="s">
        <v>674</v>
      </c>
      <c r="C651" s="6">
        <v>53</v>
      </c>
      <c r="D651" s="6" t="s">
        <v>12</v>
      </c>
      <c r="E651" s="6" t="s">
        <v>15</v>
      </c>
      <c r="F651" s="6" t="s">
        <v>45</v>
      </c>
      <c r="G651" s="19">
        <v>14275</v>
      </c>
      <c r="H651" s="11">
        <v>12</v>
      </c>
      <c r="I651" s="6">
        <v>4</v>
      </c>
      <c r="J651" s="6" t="s">
        <v>14</v>
      </c>
      <c r="K651" s="5" t="s">
        <v>14</v>
      </c>
      <c r="L651" s="3" t="str">
        <f>IF(Table1[[#This Row],[Monthly Income]]&lt;3000,"Low",IF(Table1[[#This Row],[Monthly Income]]&lt;7000,"Medium","High"))</f>
        <v>High</v>
      </c>
      <c r="AK651" s="6"/>
      <c r="AL651" s="6"/>
      <c r="AM651" s="6"/>
      <c r="AN651" s="6"/>
      <c r="AO651" s="6"/>
      <c r="AP651" s="6"/>
      <c r="AQ651" s="6"/>
      <c r="AR651" s="6"/>
      <c r="AS651" s="6"/>
      <c r="AU651" s="6"/>
      <c r="AV651" s="6"/>
      <c r="AW651" s="6"/>
      <c r="AX651" s="6"/>
      <c r="AY651" s="6"/>
      <c r="AZ651" s="6"/>
      <c r="BA651" s="6"/>
      <c r="BB651" s="6"/>
      <c r="BC651" s="6"/>
      <c r="BD651" s="6"/>
      <c r="BE651" s="6"/>
    </row>
    <row r="652" spans="2:57" x14ac:dyDescent="0.3">
      <c r="B652" s="4" t="s">
        <v>675</v>
      </c>
      <c r="C652" s="4">
        <v>43</v>
      </c>
      <c r="D652" s="4" t="s">
        <v>12</v>
      </c>
      <c r="E652" s="4" t="s">
        <v>15</v>
      </c>
      <c r="F652" s="4" t="s">
        <v>29</v>
      </c>
      <c r="G652" s="18">
        <v>5562</v>
      </c>
      <c r="H652" s="10">
        <v>5</v>
      </c>
      <c r="I652" s="4">
        <v>4</v>
      </c>
      <c r="J652" s="4" t="s">
        <v>14</v>
      </c>
      <c r="K652" s="3" t="s">
        <v>14</v>
      </c>
      <c r="L652" s="3" t="str">
        <f>IF(Table1[[#This Row],[Monthly Income]]&lt;3000,"Low",IF(Table1[[#This Row],[Monthly Income]]&lt;7000,"Medium","High"))</f>
        <v>Medium</v>
      </c>
      <c r="AK652" s="4"/>
      <c r="AL652" s="4"/>
      <c r="AM652" s="4"/>
      <c r="AN652" s="4"/>
      <c r="AO652" s="4"/>
      <c r="AP652" s="4"/>
      <c r="AQ652" s="4"/>
      <c r="AR652" s="4"/>
      <c r="AS652" s="4"/>
      <c r="AU652" s="4"/>
      <c r="AV652" s="4"/>
      <c r="AW652" s="4"/>
      <c r="AX652" s="4"/>
      <c r="AY652" s="4"/>
      <c r="AZ652" s="4"/>
      <c r="BA652" s="4"/>
      <c r="BB652" s="4"/>
      <c r="BC652" s="4"/>
      <c r="BD652" s="4"/>
      <c r="BE652" s="4"/>
    </row>
    <row r="653" spans="2:57" x14ac:dyDescent="0.3">
      <c r="B653" s="6" t="s">
        <v>676</v>
      </c>
      <c r="C653" s="6">
        <v>47</v>
      </c>
      <c r="D653" s="6" t="s">
        <v>12</v>
      </c>
      <c r="E653" s="6" t="s">
        <v>10</v>
      </c>
      <c r="F653" s="6" t="s">
        <v>13</v>
      </c>
      <c r="G653" s="19">
        <v>4537</v>
      </c>
      <c r="H653" s="11">
        <v>7</v>
      </c>
      <c r="I653" s="6">
        <v>4</v>
      </c>
      <c r="J653" s="6" t="s">
        <v>9</v>
      </c>
      <c r="K653" s="5" t="s">
        <v>14</v>
      </c>
      <c r="L653" s="3" t="str">
        <f>IF(Table1[[#This Row],[Monthly Income]]&lt;3000,"Low",IF(Table1[[#This Row],[Monthly Income]]&lt;7000,"Medium","High"))</f>
        <v>Medium</v>
      </c>
      <c r="AK653" s="6"/>
      <c r="AL653" s="6"/>
      <c r="AM653" s="6"/>
      <c r="AN653" s="6"/>
      <c r="AO653" s="6"/>
      <c r="AP653" s="6"/>
      <c r="AQ653" s="6"/>
      <c r="AR653" s="6"/>
      <c r="AS653" s="6"/>
      <c r="AU653" s="6"/>
      <c r="AV653" s="6"/>
      <c r="AW653" s="6"/>
      <c r="AX653" s="6"/>
      <c r="AY653" s="6"/>
      <c r="AZ653" s="6"/>
      <c r="BA653" s="6"/>
      <c r="BB653" s="6"/>
      <c r="BC653" s="6"/>
      <c r="BD653" s="6"/>
      <c r="BE653" s="6"/>
    </row>
    <row r="654" spans="2:57" x14ac:dyDescent="0.3">
      <c r="B654" s="4" t="s">
        <v>677</v>
      </c>
      <c r="C654" s="4">
        <v>37</v>
      </c>
      <c r="D654" s="4" t="s">
        <v>17</v>
      </c>
      <c r="E654" s="4" t="s">
        <v>10</v>
      </c>
      <c r="F654" s="4" t="s">
        <v>13</v>
      </c>
      <c r="G654" s="18">
        <v>7642</v>
      </c>
      <c r="H654" s="10">
        <v>10</v>
      </c>
      <c r="I654" s="4">
        <v>2</v>
      </c>
      <c r="J654" s="4" t="s">
        <v>9</v>
      </c>
      <c r="K654" s="3" t="s">
        <v>14</v>
      </c>
      <c r="L654" s="3" t="str">
        <f>IF(Table1[[#This Row],[Monthly Income]]&lt;3000,"Low",IF(Table1[[#This Row],[Monthly Income]]&lt;7000,"Medium","High"))</f>
        <v>High</v>
      </c>
      <c r="AK654" s="4"/>
      <c r="AL654" s="4"/>
      <c r="AM654" s="4"/>
      <c r="AN654" s="4"/>
      <c r="AO654" s="4"/>
      <c r="AP654" s="4"/>
      <c r="AQ654" s="4"/>
      <c r="AR654" s="4"/>
      <c r="AS654" s="4"/>
      <c r="AU654" s="4"/>
      <c r="AV654" s="4"/>
      <c r="AW654" s="4"/>
      <c r="AX654" s="4"/>
      <c r="AY654" s="4"/>
      <c r="AZ654" s="4"/>
      <c r="BA654" s="4"/>
      <c r="BB654" s="4"/>
      <c r="BC654" s="4"/>
      <c r="BD654" s="4"/>
      <c r="BE654" s="4"/>
    </row>
    <row r="655" spans="2:57" x14ac:dyDescent="0.3">
      <c r="B655" s="6" t="s">
        <v>678</v>
      </c>
      <c r="C655" s="6">
        <v>50</v>
      </c>
      <c r="D655" s="6" t="s">
        <v>17</v>
      </c>
      <c r="E655" s="6" t="s">
        <v>15</v>
      </c>
      <c r="F655" s="6" t="s">
        <v>39</v>
      </c>
      <c r="G655" s="19">
        <v>17924</v>
      </c>
      <c r="H655" s="11">
        <v>31</v>
      </c>
      <c r="I655" s="6">
        <v>1</v>
      </c>
      <c r="J655" s="6" t="s">
        <v>14</v>
      </c>
      <c r="K655" s="5" t="s">
        <v>14</v>
      </c>
      <c r="L655" s="3" t="str">
        <f>IF(Table1[[#This Row],[Monthly Income]]&lt;3000,"Low",IF(Table1[[#This Row],[Monthly Income]]&lt;7000,"Medium","High"))</f>
        <v>High</v>
      </c>
      <c r="AK655" s="6"/>
      <c r="AL655" s="6"/>
      <c r="AM655" s="6"/>
      <c r="AN655" s="6"/>
      <c r="AO655" s="6"/>
      <c r="AP655" s="6"/>
      <c r="AQ655" s="6"/>
      <c r="AR655" s="6"/>
      <c r="AS655" s="6"/>
      <c r="AU655" s="6"/>
      <c r="AV655" s="6"/>
      <c r="AW655" s="6"/>
      <c r="AX655" s="6"/>
      <c r="AY655" s="6"/>
      <c r="AZ655" s="6"/>
      <c r="BA655" s="6"/>
      <c r="BB655" s="6"/>
      <c r="BC655" s="6"/>
      <c r="BD655" s="6"/>
      <c r="BE655" s="6"/>
    </row>
    <row r="656" spans="2:57" x14ac:dyDescent="0.3">
      <c r="B656" s="4" t="s">
        <v>679</v>
      </c>
      <c r="C656" s="4">
        <v>39</v>
      </c>
      <c r="D656" s="4" t="s">
        <v>12</v>
      </c>
      <c r="E656" s="4" t="s">
        <v>102</v>
      </c>
      <c r="F656" s="4" t="s">
        <v>104</v>
      </c>
      <c r="G656" s="18">
        <v>5204</v>
      </c>
      <c r="H656" s="10">
        <v>5</v>
      </c>
      <c r="I656" s="4">
        <v>4</v>
      </c>
      <c r="J656" s="4" t="s">
        <v>14</v>
      </c>
      <c r="K656" s="3" t="s">
        <v>14</v>
      </c>
      <c r="L656" s="3" t="str">
        <f>IF(Table1[[#This Row],[Monthly Income]]&lt;3000,"Low",IF(Table1[[#This Row],[Monthly Income]]&lt;7000,"Medium","High"))</f>
        <v>Medium</v>
      </c>
      <c r="AK656" s="4"/>
      <c r="AL656" s="4"/>
      <c r="AM656" s="4"/>
      <c r="AN656" s="4"/>
      <c r="AO656" s="4"/>
      <c r="AP656" s="4"/>
      <c r="AQ656" s="4"/>
      <c r="AR656" s="4"/>
      <c r="AS656" s="4"/>
      <c r="AU656" s="4"/>
      <c r="AV656" s="4"/>
      <c r="AW656" s="4"/>
      <c r="AX656" s="4"/>
      <c r="AY656" s="4"/>
      <c r="AZ656" s="4"/>
      <c r="BA656" s="4"/>
      <c r="BB656" s="4"/>
      <c r="BC656" s="4"/>
      <c r="BD656" s="4"/>
      <c r="BE656" s="4"/>
    </row>
    <row r="657" spans="2:57" x14ac:dyDescent="0.3">
      <c r="B657" s="6" t="s">
        <v>680</v>
      </c>
      <c r="C657" s="6">
        <v>33</v>
      </c>
      <c r="D657" s="6" t="s">
        <v>17</v>
      </c>
      <c r="E657" s="6" t="s">
        <v>102</v>
      </c>
      <c r="F657" s="6" t="s">
        <v>104</v>
      </c>
      <c r="G657" s="19">
        <v>2277</v>
      </c>
      <c r="H657" s="11">
        <v>4</v>
      </c>
      <c r="I657" s="6">
        <v>2</v>
      </c>
      <c r="J657" s="6" t="s">
        <v>9</v>
      </c>
      <c r="K657" s="5" t="s">
        <v>14</v>
      </c>
      <c r="L657" s="3" t="str">
        <f>IF(Table1[[#This Row],[Monthly Income]]&lt;3000,"Low",IF(Table1[[#This Row],[Monthly Income]]&lt;7000,"Medium","High"))</f>
        <v>Low</v>
      </c>
      <c r="AK657" s="6"/>
      <c r="AL657" s="6"/>
      <c r="AM657" s="6"/>
      <c r="AN657" s="6"/>
      <c r="AO657" s="6"/>
      <c r="AP657" s="6"/>
      <c r="AQ657" s="6"/>
      <c r="AR657" s="6"/>
      <c r="AS657" s="6"/>
      <c r="AU657" s="6"/>
      <c r="AV657" s="6"/>
      <c r="AW657" s="6"/>
      <c r="AX657" s="6"/>
      <c r="AY657" s="6"/>
      <c r="AZ657" s="6"/>
      <c r="BA657" s="6"/>
      <c r="BB657" s="6"/>
      <c r="BC657" s="6"/>
      <c r="BD657" s="6"/>
      <c r="BE657" s="6"/>
    </row>
    <row r="658" spans="2:57" x14ac:dyDescent="0.3">
      <c r="B658" s="4" t="s">
        <v>681</v>
      </c>
      <c r="C658" s="4">
        <v>32</v>
      </c>
      <c r="D658" s="4" t="s">
        <v>17</v>
      </c>
      <c r="E658" s="4" t="s">
        <v>15</v>
      </c>
      <c r="F658" s="4" t="s">
        <v>20</v>
      </c>
      <c r="G658" s="18">
        <v>2795</v>
      </c>
      <c r="H658" s="10">
        <v>1</v>
      </c>
      <c r="I658" s="4">
        <v>4</v>
      </c>
      <c r="J658" s="4" t="s">
        <v>9</v>
      </c>
      <c r="K658" s="3" t="s">
        <v>9</v>
      </c>
      <c r="L658" s="3" t="str">
        <f>IF(Table1[[#This Row],[Monthly Income]]&lt;3000,"Low",IF(Table1[[#This Row],[Monthly Income]]&lt;7000,"Medium","High"))</f>
        <v>Low</v>
      </c>
      <c r="AK658" s="4"/>
      <c r="AL658" s="4"/>
      <c r="AM658" s="4"/>
      <c r="AN658" s="4"/>
      <c r="AO658" s="4"/>
      <c r="AP658" s="4"/>
      <c r="AQ658" s="4"/>
      <c r="AR658" s="4"/>
      <c r="AS658" s="4"/>
      <c r="AU658" s="4"/>
      <c r="AV658" s="4"/>
      <c r="AW658" s="4"/>
      <c r="AX658" s="4"/>
      <c r="AY658" s="4"/>
      <c r="AZ658" s="4"/>
      <c r="BA658" s="4"/>
      <c r="BB658" s="4"/>
      <c r="BC658" s="4"/>
      <c r="BD658" s="4"/>
      <c r="BE658" s="4"/>
    </row>
    <row r="659" spans="2:57" x14ac:dyDescent="0.3">
      <c r="B659" s="6" t="s">
        <v>682</v>
      </c>
      <c r="C659" s="6">
        <v>29</v>
      </c>
      <c r="D659" s="6" t="s">
        <v>12</v>
      </c>
      <c r="E659" s="6" t="s">
        <v>15</v>
      </c>
      <c r="F659" s="6" t="s">
        <v>20</v>
      </c>
      <c r="G659" s="19">
        <v>2532</v>
      </c>
      <c r="H659" s="11">
        <v>4</v>
      </c>
      <c r="I659" s="6">
        <v>4</v>
      </c>
      <c r="J659" s="6" t="s">
        <v>14</v>
      </c>
      <c r="K659" s="5" t="s">
        <v>14</v>
      </c>
      <c r="L659" s="3" t="str">
        <f>IF(Table1[[#This Row],[Monthly Income]]&lt;3000,"Low",IF(Table1[[#This Row],[Monthly Income]]&lt;7000,"Medium","High"))</f>
        <v>Low</v>
      </c>
      <c r="AK659" s="6"/>
      <c r="AL659" s="6"/>
      <c r="AM659" s="6"/>
      <c r="AN659" s="6"/>
      <c r="AO659" s="6"/>
      <c r="AP659" s="6"/>
      <c r="AQ659" s="6"/>
      <c r="AR659" s="6"/>
      <c r="AS659" s="6"/>
      <c r="AU659" s="6"/>
      <c r="AV659" s="6"/>
      <c r="AW659" s="6"/>
      <c r="AX659" s="6"/>
      <c r="AY659" s="6"/>
      <c r="AZ659" s="6"/>
      <c r="BA659" s="6"/>
      <c r="BB659" s="6"/>
      <c r="BC659" s="6"/>
      <c r="BD659" s="6"/>
      <c r="BE659" s="6"/>
    </row>
    <row r="660" spans="2:57" x14ac:dyDescent="0.3">
      <c r="B660" s="4" t="s">
        <v>683</v>
      </c>
      <c r="C660" s="4">
        <v>44</v>
      </c>
      <c r="D660" s="4" t="s">
        <v>17</v>
      </c>
      <c r="E660" s="4" t="s">
        <v>15</v>
      </c>
      <c r="F660" s="4" t="s">
        <v>18</v>
      </c>
      <c r="G660" s="18">
        <v>2559</v>
      </c>
      <c r="H660" s="10">
        <v>8</v>
      </c>
      <c r="I660" s="4">
        <v>1</v>
      </c>
      <c r="J660" s="4" t="s">
        <v>9</v>
      </c>
      <c r="K660" s="3" t="s">
        <v>14</v>
      </c>
      <c r="L660" s="3" t="str">
        <f>IF(Table1[[#This Row],[Monthly Income]]&lt;3000,"Low",IF(Table1[[#This Row],[Monthly Income]]&lt;7000,"Medium","High"))</f>
        <v>Low</v>
      </c>
      <c r="AK660" s="4"/>
      <c r="AL660" s="4"/>
      <c r="AM660" s="4"/>
      <c r="AN660" s="4"/>
      <c r="AO660" s="4"/>
      <c r="AP660" s="4"/>
      <c r="AQ660" s="4"/>
      <c r="AR660" s="4"/>
      <c r="AS660" s="4"/>
      <c r="AU660" s="4"/>
      <c r="AV660" s="4"/>
      <c r="AW660" s="4"/>
      <c r="AX660" s="4"/>
      <c r="AY660" s="4"/>
      <c r="AZ660" s="4"/>
      <c r="BA660" s="4"/>
      <c r="BB660" s="4"/>
      <c r="BC660" s="4"/>
      <c r="BD660" s="4"/>
      <c r="BE660" s="4"/>
    </row>
    <row r="661" spans="2:57" x14ac:dyDescent="0.3">
      <c r="B661" s="6" t="s">
        <v>684</v>
      </c>
      <c r="C661" s="6">
        <v>28</v>
      </c>
      <c r="D661" s="6" t="s">
        <v>17</v>
      </c>
      <c r="E661" s="6" t="s">
        <v>10</v>
      </c>
      <c r="F661" s="6" t="s">
        <v>13</v>
      </c>
      <c r="G661" s="19">
        <v>4908</v>
      </c>
      <c r="H661" s="11">
        <v>4</v>
      </c>
      <c r="I661" s="6">
        <v>4</v>
      </c>
      <c r="J661" s="6" t="s">
        <v>14</v>
      </c>
      <c r="K661" s="5" t="s">
        <v>14</v>
      </c>
      <c r="L661" s="3" t="str">
        <f>IF(Table1[[#This Row],[Monthly Income]]&lt;3000,"Low",IF(Table1[[#This Row],[Monthly Income]]&lt;7000,"Medium","High"))</f>
        <v>Medium</v>
      </c>
      <c r="AK661" s="6"/>
      <c r="AL661" s="6"/>
      <c r="AM661" s="6"/>
      <c r="AN661" s="6"/>
      <c r="AO661" s="6"/>
      <c r="AP661" s="6"/>
      <c r="AQ661" s="6"/>
      <c r="AR661" s="6"/>
      <c r="AS661" s="6"/>
      <c r="AU661" s="6"/>
      <c r="AV661" s="6"/>
      <c r="AW661" s="6"/>
      <c r="AX661" s="6"/>
      <c r="AY661" s="6"/>
      <c r="AZ661" s="6"/>
      <c r="BA661" s="6"/>
      <c r="BB661" s="6"/>
      <c r="BC661" s="6"/>
      <c r="BD661" s="6"/>
      <c r="BE661" s="6"/>
    </row>
    <row r="662" spans="2:57" x14ac:dyDescent="0.3">
      <c r="B662" s="4" t="s">
        <v>685</v>
      </c>
      <c r="C662" s="4">
        <v>58</v>
      </c>
      <c r="D662" s="4" t="s">
        <v>17</v>
      </c>
      <c r="E662" s="4" t="s">
        <v>15</v>
      </c>
      <c r="F662" s="4" t="s">
        <v>20</v>
      </c>
      <c r="G662" s="18">
        <v>2380</v>
      </c>
      <c r="H662" s="10">
        <v>1</v>
      </c>
      <c r="I662" s="4">
        <v>4</v>
      </c>
      <c r="J662" s="4" t="s">
        <v>9</v>
      </c>
      <c r="K662" s="3" t="s">
        <v>9</v>
      </c>
      <c r="L662" s="3" t="str">
        <f>IF(Table1[[#This Row],[Monthly Income]]&lt;3000,"Low",IF(Table1[[#This Row],[Monthly Income]]&lt;7000,"Medium","High"))</f>
        <v>Low</v>
      </c>
      <c r="AK662" s="4"/>
      <c r="AL662" s="4"/>
      <c r="AM662" s="4"/>
      <c r="AN662" s="4"/>
      <c r="AO662" s="4"/>
      <c r="AP662" s="4"/>
      <c r="AQ662" s="4"/>
      <c r="AR662" s="4"/>
      <c r="AS662" s="4"/>
      <c r="AU662" s="4"/>
      <c r="AV662" s="4"/>
      <c r="AW662" s="4"/>
      <c r="AX662" s="4"/>
      <c r="AY662" s="4"/>
      <c r="AZ662" s="4"/>
      <c r="BA662" s="4"/>
      <c r="BB662" s="4"/>
      <c r="BC662" s="4"/>
      <c r="BD662" s="4"/>
      <c r="BE662" s="4"/>
    </row>
    <row r="663" spans="2:57" x14ac:dyDescent="0.3">
      <c r="B663" s="6" t="s">
        <v>686</v>
      </c>
      <c r="C663" s="6">
        <v>43</v>
      </c>
      <c r="D663" s="6" t="s">
        <v>12</v>
      </c>
      <c r="E663" s="6" t="s">
        <v>15</v>
      </c>
      <c r="F663" s="6" t="s">
        <v>27</v>
      </c>
      <c r="G663" s="19">
        <v>4765</v>
      </c>
      <c r="H663" s="11">
        <v>1</v>
      </c>
      <c r="I663" s="6">
        <v>2</v>
      </c>
      <c r="J663" s="6" t="s">
        <v>14</v>
      </c>
      <c r="K663" s="5" t="s">
        <v>14</v>
      </c>
      <c r="L663" s="3" t="str">
        <f>IF(Table1[[#This Row],[Monthly Income]]&lt;3000,"Low",IF(Table1[[#This Row],[Monthly Income]]&lt;7000,"Medium","High"))</f>
        <v>Medium</v>
      </c>
      <c r="AK663" s="6"/>
      <c r="AL663" s="6"/>
      <c r="AM663" s="6"/>
      <c r="AN663" s="6"/>
      <c r="AO663" s="6"/>
      <c r="AP663" s="6"/>
      <c r="AQ663" s="6"/>
      <c r="AR663" s="6"/>
      <c r="AS663" s="6"/>
      <c r="AU663" s="6"/>
      <c r="AV663" s="6"/>
      <c r="AW663" s="6"/>
      <c r="AX663" s="6"/>
      <c r="AY663" s="6"/>
      <c r="AZ663" s="6"/>
      <c r="BA663" s="6"/>
      <c r="BB663" s="6"/>
      <c r="BC663" s="6"/>
      <c r="BD663" s="6"/>
      <c r="BE663" s="6"/>
    </row>
    <row r="664" spans="2:57" x14ac:dyDescent="0.3">
      <c r="B664" s="4" t="s">
        <v>687</v>
      </c>
      <c r="C664" s="4">
        <v>20</v>
      </c>
      <c r="D664" s="4" t="s">
        <v>12</v>
      </c>
      <c r="E664" s="4" t="s">
        <v>10</v>
      </c>
      <c r="F664" s="4" t="s">
        <v>43</v>
      </c>
      <c r="G664" s="18">
        <v>2044</v>
      </c>
      <c r="H664" s="10">
        <v>2</v>
      </c>
      <c r="I664" s="4">
        <v>3</v>
      </c>
      <c r="J664" s="4" t="s">
        <v>14</v>
      </c>
      <c r="K664" s="3" t="s">
        <v>9</v>
      </c>
      <c r="L664" s="3" t="str">
        <f>IF(Table1[[#This Row],[Monthly Income]]&lt;3000,"Low",IF(Table1[[#This Row],[Monthly Income]]&lt;7000,"Medium","High"))</f>
        <v>Low</v>
      </c>
      <c r="AK664" s="4"/>
      <c r="AL664" s="4"/>
      <c r="AM664" s="4"/>
      <c r="AN664" s="4"/>
      <c r="AO664" s="4"/>
      <c r="AP664" s="4"/>
      <c r="AQ664" s="4"/>
      <c r="AR664" s="4"/>
      <c r="AS664" s="4"/>
      <c r="AU664" s="4"/>
      <c r="AV664" s="4"/>
      <c r="AW664" s="4"/>
      <c r="AX664" s="4"/>
      <c r="AY664" s="4"/>
      <c r="AZ664" s="4"/>
      <c r="BA664" s="4"/>
      <c r="BB664" s="4"/>
      <c r="BC664" s="4"/>
      <c r="BD664" s="4"/>
      <c r="BE664" s="4"/>
    </row>
    <row r="665" spans="2:57" x14ac:dyDescent="0.3">
      <c r="B665" s="6" t="s">
        <v>688</v>
      </c>
      <c r="C665" s="6">
        <v>21</v>
      </c>
      <c r="D665" s="6" t="s">
        <v>12</v>
      </c>
      <c r="E665" s="6" t="s">
        <v>15</v>
      </c>
      <c r="F665" s="6" t="s">
        <v>18</v>
      </c>
      <c r="G665" s="19">
        <v>2693</v>
      </c>
      <c r="H665" s="11">
        <v>1</v>
      </c>
      <c r="I665" s="6">
        <v>4</v>
      </c>
      <c r="J665" s="6" t="s">
        <v>14</v>
      </c>
      <c r="K665" s="5" t="s">
        <v>9</v>
      </c>
      <c r="L665" s="3" t="str">
        <f>IF(Table1[[#This Row],[Monthly Income]]&lt;3000,"Low",IF(Table1[[#This Row],[Monthly Income]]&lt;7000,"Medium","High"))</f>
        <v>Low</v>
      </c>
      <c r="AK665" s="6"/>
      <c r="AL665" s="6"/>
      <c r="AM665" s="6"/>
      <c r="AN665" s="6"/>
      <c r="AO665" s="6"/>
      <c r="AP665" s="6"/>
      <c r="AQ665" s="6"/>
      <c r="AR665" s="6"/>
      <c r="AS665" s="6"/>
      <c r="AU665" s="6"/>
      <c r="AV665" s="6"/>
      <c r="AW665" s="6"/>
      <c r="AX665" s="6"/>
      <c r="AY665" s="6"/>
      <c r="AZ665" s="6"/>
      <c r="BA665" s="6"/>
      <c r="BB665" s="6"/>
      <c r="BC665" s="6"/>
      <c r="BD665" s="6"/>
      <c r="BE665" s="6"/>
    </row>
    <row r="666" spans="2:57" x14ac:dyDescent="0.3">
      <c r="B666" s="4" t="s">
        <v>689</v>
      </c>
      <c r="C666" s="4">
        <v>36</v>
      </c>
      <c r="D666" s="4" t="s">
        <v>17</v>
      </c>
      <c r="E666" s="4" t="s">
        <v>15</v>
      </c>
      <c r="F666" s="4" t="s">
        <v>29</v>
      </c>
      <c r="G666" s="18">
        <v>6586</v>
      </c>
      <c r="H666" s="10">
        <v>16</v>
      </c>
      <c r="I666" s="4">
        <v>4</v>
      </c>
      <c r="J666" s="4" t="s">
        <v>9</v>
      </c>
      <c r="K666" s="3" t="s">
        <v>14</v>
      </c>
      <c r="L666" s="3" t="str">
        <f>IF(Table1[[#This Row],[Monthly Income]]&lt;3000,"Low",IF(Table1[[#This Row],[Monthly Income]]&lt;7000,"Medium","High"))</f>
        <v>Medium</v>
      </c>
      <c r="AK666" s="4"/>
      <c r="AL666" s="4"/>
      <c r="AM666" s="4"/>
      <c r="AN666" s="4"/>
      <c r="AO666" s="4"/>
      <c r="AP666" s="4"/>
      <c r="AQ666" s="4"/>
      <c r="AR666" s="4"/>
      <c r="AS666" s="4"/>
      <c r="AU666" s="4"/>
      <c r="AV666" s="4"/>
      <c r="AW666" s="4"/>
      <c r="AX666" s="4"/>
      <c r="AY666" s="4"/>
      <c r="AZ666" s="4"/>
      <c r="BA666" s="4"/>
      <c r="BB666" s="4"/>
      <c r="BC666" s="4"/>
      <c r="BD666" s="4"/>
      <c r="BE666" s="4"/>
    </row>
    <row r="667" spans="2:57" x14ac:dyDescent="0.3">
      <c r="B667" s="6" t="s">
        <v>690</v>
      </c>
      <c r="C667" s="6">
        <v>47</v>
      </c>
      <c r="D667" s="6" t="s">
        <v>12</v>
      </c>
      <c r="E667" s="6" t="s">
        <v>10</v>
      </c>
      <c r="F667" s="6" t="s">
        <v>43</v>
      </c>
      <c r="G667" s="19">
        <v>3294</v>
      </c>
      <c r="H667" s="11">
        <v>3</v>
      </c>
      <c r="I667" s="6">
        <v>4</v>
      </c>
      <c r="J667" s="6" t="s">
        <v>9</v>
      </c>
      <c r="K667" s="5" t="s">
        <v>14</v>
      </c>
      <c r="L667" s="3" t="str">
        <f>IF(Table1[[#This Row],[Monthly Income]]&lt;3000,"Low",IF(Table1[[#This Row],[Monthly Income]]&lt;7000,"Medium","High"))</f>
        <v>Medium</v>
      </c>
      <c r="AK667" s="6"/>
      <c r="AL667" s="6"/>
      <c r="AM667" s="6"/>
      <c r="AN667" s="6"/>
      <c r="AO667" s="6"/>
      <c r="AP667" s="6"/>
      <c r="AQ667" s="6"/>
      <c r="AR667" s="6"/>
      <c r="AS667" s="6"/>
      <c r="AU667" s="6"/>
      <c r="AV667" s="6"/>
      <c r="AW667" s="6"/>
      <c r="AX667" s="6"/>
      <c r="AY667" s="6"/>
      <c r="AZ667" s="6"/>
      <c r="BA667" s="6"/>
      <c r="BB667" s="6"/>
      <c r="BC667" s="6"/>
      <c r="BD667" s="6"/>
      <c r="BE667" s="6"/>
    </row>
    <row r="668" spans="2:57" x14ac:dyDescent="0.3">
      <c r="B668" s="4" t="s">
        <v>691</v>
      </c>
      <c r="C668" s="4">
        <v>22</v>
      </c>
      <c r="D668" s="4" t="s">
        <v>12</v>
      </c>
      <c r="E668" s="4" t="s">
        <v>15</v>
      </c>
      <c r="F668" s="4" t="s">
        <v>27</v>
      </c>
      <c r="G668" s="18">
        <v>4171</v>
      </c>
      <c r="H668" s="10">
        <v>3</v>
      </c>
      <c r="I668" s="4">
        <v>3</v>
      </c>
      <c r="J668" s="4" t="s">
        <v>9</v>
      </c>
      <c r="K668" s="3" t="s">
        <v>9</v>
      </c>
      <c r="L668" s="3" t="str">
        <f>IF(Table1[[#This Row],[Monthly Income]]&lt;3000,"Low",IF(Table1[[#This Row],[Monthly Income]]&lt;7000,"Medium","High"))</f>
        <v>Medium</v>
      </c>
      <c r="AK668" s="4"/>
      <c r="AL668" s="4"/>
      <c r="AM668" s="4"/>
      <c r="AN668" s="4"/>
      <c r="AO668" s="4"/>
      <c r="AP668" s="4"/>
      <c r="AQ668" s="4"/>
      <c r="AR668" s="4"/>
      <c r="AS668" s="4"/>
      <c r="AU668" s="4"/>
      <c r="AV668" s="4"/>
      <c r="AW668" s="4"/>
      <c r="AX668" s="4"/>
      <c r="AY668" s="4"/>
      <c r="AZ668" s="4"/>
      <c r="BA668" s="4"/>
      <c r="BB668" s="4"/>
      <c r="BC668" s="4"/>
      <c r="BD668" s="4"/>
      <c r="BE668" s="4"/>
    </row>
    <row r="669" spans="2:57" x14ac:dyDescent="0.3">
      <c r="B669" s="6" t="s">
        <v>692</v>
      </c>
      <c r="C669" s="6">
        <v>41</v>
      </c>
      <c r="D669" s="6" t="s">
        <v>12</v>
      </c>
      <c r="E669" s="6" t="s">
        <v>15</v>
      </c>
      <c r="F669" s="6" t="s">
        <v>20</v>
      </c>
      <c r="G669" s="19">
        <v>2778</v>
      </c>
      <c r="H669" s="11">
        <v>7</v>
      </c>
      <c r="I669" s="6">
        <v>4</v>
      </c>
      <c r="J669" s="6" t="s">
        <v>9</v>
      </c>
      <c r="K669" s="5" t="s">
        <v>9</v>
      </c>
      <c r="L669" s="3" t="str">
        <f>IF(Table1[[#This Row],[Monthly Income]]&lt;3000,"Low",IF(Table1[[#This Row],[Monthly Income]]&lt;7000,"Medium","High"))</f>
        <v>Low</v>
      </c>
      <c r="AK669" s="6"/>
      <c r="AL669" s="6"/>
      <c r="AM669" s="6"/>
      <c r="AN669" s="6"/>
      <c r="AO669" s="6"/>
      <c r="AP669" s="6"/>
      <c r="AQ669" s="6"/>
      <c r="AR669" s="6"/>
      <c r="AS669" s="6"/>
      <c r="AU669" s="6"/>
      <c r="AV669" s="6"/>
      <c r="AW669" s="6"/>
      <c r="AX669" s="6"/>
      <c r="AY669" s="6"/>
      <c r="AZ669" s="6"/>
      <c r="BA669" s="6"/>
      <c r="BB669" s="6"/>
      <c r="BC669" s="6"/>
      <c r="BD669" s="6"/>
      <c r="BE669" s="6"/>
    </row>
    <row r="670" spans="2:57" x14ac:dyDescent="0.3">
      <c r="B670" s="4" t="s">
        <v>693</v>
      </c>
      <c r="C670" s="4">
        <v>28</v>
      </c>
      <c r="D670" s="4" t="s">
        <v>12</v>
      </c>
      <c r="E670" s="4" t="s">
        <v>15</v>
      </c>
      <c r="F670" s="4" t="s">
        <v>18</v>
      </c>
      <c r="G670" s="18">
        <v>2377</v>
      </c>
      <c r="H670" s="10">
        <v>2</v>
      </c>
      <c r="I670" s="4">
        <v>3</v>
      </c>
      <c r="J670" s="4" t="s">
        <v>14</v>
      </c>
      <c r="K670" s="3" t="s">
        <v>14</v>
      </c>
      <c r="L670" s="3" t="str">
        <f>IF(Table1[[#This Row],[Monthly Income]]&lt;3000,"Low",IF(Table1[[#This Row],[Monthly Income]]&lt;7000,"Medium","High"))</f>
        <v>Low</v>
      </c>
      <c r="AK670" s="4"/>
      <c r="AL670" s="4"/>
      <c r="AM670" s="4"/>
      <c r="AN670" s="4"/>
      <c r="AO670" s="4"/>
      <c r="AP670" s="4"/>
      <c r="AQ670" s="4"/>
      <c r="AR670" s="4"/>
      <c r="AS670" s="4"/>
      <c r="AU670" s="4"/>
      <c r="AV670" s="4"/>
      <c r="AW670" s="4"/>
      <c r="AX670" s="4"/>
      <c r="AY670" s="4"/>
      <c r="AZ670" s="4"/>
      <c r="BA670" s="4"/>
      <c r="BB670" s="4"/>
      <c r="BC670" s="4"/>
      <c r="BD670" s="4"/>
      <c r="BE670" s="4"/>
    </row>
    <row r="671" spans="2:57" x14ac:dyDescent="0.3">
      <c r="B671" s="6" t="s">
        <v>694</v>
      </c>
      <c r="C671" s="6">
        <v>39</v>
      </c>
      <c r="D671" s="6" t="s">
        <v>17</v>
      </c>
      <c r="E671" s="6" t="s">
        <v>15</v>
      </c>
      <c r="F671" s="6" t="s">
        <v>20</v>
      </c>
      <c r="G671" s="19">
        <v>2404</v>
      </c>
      <c r="H671" s="11">
        <v>2</v>
      </c>
      <c r="I671" s="6">
        <v>1</v>
      </c>
      <c r="J671" s="6" t="s">
        <v>9</v>
      </c>
      <c r="K671" s="5" t="s">
        <v>9</v>
      </c>
      <c r="L671" s="3" t="str">
        <f>IF(Table1[[#This Row],[Monthly Income]]&lt;3000,"Low",IF(Table1[[#This Row],[Monthly Income]]&lt;7000,"Medium","High"))</f>
        <v>Low</v>
      </c>
      <c r="AK671" s="6"/>
      <c r="AL671" s="6"/>
      <c r="AM671" s="6"/>
      <c r="AN671" s="6"/>
      <c r="AO671" s="6"/>
      <c r="AP671" s="6"/>
      <c r="AQ671" s="6"/>
      <c r="AR671" s="6"/>
      <c r="AS671" s="6"/>
      <c r="AU671" s="6"/>
      <c r="AV671" s="6"/>
      <c r="AW671" s="6"/>
      <c r="AX671" s="6"/>
      <c r="AY671" s="6"/>
      <c r="AZ671" s="6"/>
      <c r="BA671" s="6"/>
      <c r="BB671" s="6"/>
      <c r="BC671" s="6"/>
      <c r="BD671" s="6"/>
      <c r="BE671" s="6"/>
    </row>
    <row r="672" spans="2:57" x14ac:dyDescent="0.3">
      <c r="B672" s="4" t="s">
        <v>695</v>
      </c>
      <c r="C672" s="4">
        <v>27</v>
      </c>
      <c r="D672" s="4" t="s">
        <v>12</v>
      </c>
      <c r="E672" s="4" t="s">
        <v>15</v>
      </c>
      <c r="F672" s="4" t="s">
        <v>18</v>
      </c>
      <c r="G672" s="18">
        <v>2318</v>
      </c>
      <c r="H672" s="10">
        <v>1</v>
      </c>
      <c r="I672" s="4">
        <v>3</v>
      </c>
      <c r="J672" s="4" t="s">
        <v>14</v>
      </c>
      <c r="K672" s="3" t="s">
        <v>14</v>
      </c>
      <c r="L672" s="3" t="str">
        <f>IF(Table1[[#This Row],[Monthly Income]]&lt;3000,"Low",IF(Table1[[#This Row],[Monthly Income]]&lt;7000,"Medium","High"))</f>
        <v>Low</v>
      </c>
      <c r="AK672" s="4"/>
      <c r="AL672" s="4"/>
      <c r="AM672" s="4"/>
      <c r="AN672" s="4"/>
      <c r="AO672" s="4"/>
      <c r="AP672" s="4"/>
      <c r="AQ672" s="4"/>
      <c r="AR672" s="4"/>
      <c r="AS672" s="4"/>
      <c r="AU672" s="4"/>
      <c r="AV672" s="4"/>
      <c r="AW672" s="4"/>
      <c r="AX672" s="4"/>
      <c r="AY672" s="4"/>
      <c r="AZ672" s="4"/>
      <c r="BA672" s="4"/>
      <c r="BB672" s="4"/>
      <c r="BC672" s="4"/>
      <c r="BD672" s="4"/>
      <c r="BE672" s="4"/>
    </row>
    <row r="673" spans="2:57" x14ac:dyDescent="0.3">
      <c r="B673" s="6" t="s">
        <v>696</v>
      </c>
      <c r="C673" s="6">
        <v>34</v>
      </c>
      <c r="D673" s="6" t="s">
        <v>17</v>
      </c>
      <c r="E673" s="6" t="s">
        <v>15</v>
      </c>
      <c r="F673" s="6" t="s">
        <v>20</v>
      </c>
      <c r="G673" s="19">
        <v>2008</v>
      </c>
      <c r="H673" s="11">
        <v>1</v>
      </c>
      <c r="I673" s="6">
        <v>2</v>
      </c>
      <c r="J673" s="6" t="s">
        <v>14</v>
      </c>
      <c r="K673" s="5" t="s">
        <v>14</v>
      </c>
      <c r="L673" s="3" t="str">
        <f>IF(Table1[[#This Row],[Monthly Income]]&lt;3000,"Low",IF(Table1[[#This Row],[Monthly Income]]&lt;7000,"Medium","High"))</f>
        <v>Low</v>
      </c>
      <c r="AK673" s="6"/>
      <c r="AL673" s="6"/>
      <c r="AM673" s="6"/>
      <c r="AN673" s="6"/>
      <c r="AO673" s="6"/>
      <c r="AP673" s="6"/>
      <c r="AQ673" s="6"/>
      <c r="AR673" s="6"/>
      <c r="AS673" s="6"/>
      <c r="AU673" s="6"/>
      <c r="AV673" s="6"/>
      <c r="AW673" s="6"/>
      <c r="AX673" s="6"/>
      <c r="AY673" s="6"/>
      <c r="AZ673" s="6"/>
      <c r="BA673" s="6"/>
      <c r="BB673" s="6"/>
      <c r="BC673" s="6"/>
      <c r="BD673" s="6"/>
      <c r="BE673" s="6"/>
    </row>
    <row r="674" spans="2:57" x14ac:dyDescent="0.3">
      <c r="B674" s="4" t="s">
        <v>697</v>
      </c>
      <c r="C674" s="4">
        <v>42</v>
      </c>
      <c r="D674" s="4" t="s">
        <v>12</v>
      </c>
      <c r="E674" s="4" t="s">
        <v>10</v>
      </c>
      <c r="F674" s="4" t="s">
        <v>13</v>
      </c>
      <c r="G674" s="18">
        <v>6244</v>
      </c>
      <c r="H674" s="10">
        <v>5</v>
      </c>
      <c r="I674" s="4">
        <v>3</v>
      </c>
      <c r="J674" s="4" t="s">
        <v>14</v>
      </c>
      <c r="K674" s="3" t="s">
        <v>14</v>
      </c>
      <c r="L674" s="3" t="str">
        <f>IF(Table1[[#This Row],[Monthly Income]]&lt;3000,"Low",IF(Table1[[#This Row],[Monthly Income]]&lt;7000,"Medium","High"))</f>
        <v>Medium</v>
      </c>
      <c r="AK674" s="4"/>
      <c r="AL674" s="4"/>
      <c r="AM674" s="4"/>
      <c r="AN674" s="4"/>
      <c r="AO674" s="4"/>
      <c r="AP674" s="4"/>
      <c r="AQ674" s="4"/>
      <c r="AR674" s="4"/>
      <c r="AS674" s="4"/>
      <c r="AU674" s="4"/>
      <c r="AV674" s="4"/>
      <c r="AW674" s="4"/>
      <c r="AX674" s="4"/>
      <c r="AY674" s="4"/>
      <c r="AZ674" s="4"/>
      <c r="BA674" s="4"/>
      <c r="BB674" s="4"/>
      <c r="BC674" s="4"/>
      <c r="BD674" s="4"/>
      <c r="BE674" s="4"/>
    </row>
    <row r="675" spans="2:57" x14ac:dyDescent="0.3">
      <c r="B675" s="6" t="s">
        <v>698</v>
      </c>
      <c r="C675" s="6">
        <v>33</v>
      </c>
      <c r="D675" s="6" t="s">
        <v>17</v>
      </c>
      <c r="E675" s="6" t="s">
        <v>15</v>
      </c>
      <c r="F675" s="6" t="s">
        <v>18</v>
      </c>
      <c r="G675" s="19">
        <v>2799</v>
      </c>
      <c r="H675" s="11">
        <v>3</v>
      </c>
      <c r="I675" s="6">
        <v>1</v>
      </c>
      <c r="J675" s="6" t="s">
        <v>9</v>
      </c>
      <c r="K675" s="5" t="s">
        <v>14</v>
      </c>
      <c r="L675" s="3" t="str">
        <f>IF(Table1[[#This Row],[Monthly Income]]&lt;3000,"Low",IF(Table1[[#This Row],[Monthly Income]]&lt;7000,"Medium","High"))</f>
        <v>Low</v>
      </c>
      <c r="AK675" s="6"/>
      <c r="AL675" s="6"/>
      <c r="AM675" s="6"/>
      <c r="AN675" s="6"/>
      <c r="AO675" s="6"/>
      <c r="AP675" s="6"/>
      <c r="AQ675" s="6"/>
      <c r="AR675" s="6"/>
      <c r="AS675" s="6"/>
      <c r="AU675" s="6"/>
      <c r="AV675" s="6"/>
      <c r="AW675" s="6"/>
      <c r="AX675" s="6"/>
      <c r="AY675" s="6"/>
      <c r="AZ675" s="6"/>
      <c r="BA675" s="6"/>
      <c r="BB675" s="6"/>
      <c r="BC675" s="6"/>
      <c r="BD675" s="6"/>
      <c r="BE675" s="6"/>
    </row>
    <row r="676" spans="2:57" x14ac:dyDescent="0.3">
      <c r="B676" s="4" t="s">
        <v>699</v>
      </c>
      <c r="C676" s="4">
        <v>58</v>
      </c>
      <c r="D676" s="4" t="s">
        <v>12</v>
      </c>
      <c r="E676" s="4" t="s">
        <v>15</v>
      </c>
      <c r="F676" s="4" t="s">
        <v>29</v>
      </c>
      <c r="G676" s="18">
        <v>10552</v>
      </c>
      <c r="H676" s="10">
        <v>6</v>
      </c>
      <c r="I676" s="4">
        <v>2</v>
      </c>
      <c r="J676" s="4" t="s">
        <v>9</v>
      </c>
      <c r="K676" s="3" t="s">
        <v>14</v>
      </c>
      <c r="L676" s="3" t="str">
        <f>IF(Table1[[#This Row],[Monthly Income]]&lt;3000,"Low",IF(Table1[[#This Row],[Monthly Income]]&lt;7000,"Medium","High"))</f>
        <v>High</v>
      </c>
      <c r="AK676" s="4"/>
      <c r="AL676" s="4"/>
      <c r="AM676" s="4"/>
      <c r="AN676" s="4"/>
      <c r="AO676" s="4"/>
      <c r="AP676" s="4"/>
      <c r="AQ676" s="4"/>
      <c r="AR676" s="4"/>
      <c r="AS676" s="4"/>
      <c r="AU676" s="4"/>
      <c r="AV676" s="4"/>
      <c r="AW676" s="4"/>
      <c r="AX676" s="4"/>
      <c r="AY676" s="4"/>
      <c r="AZ676" s="4"/>
      <c r="BA676" s="4"/>
      <c r="BB676" s="4"/>
      <c r="BC676" s="4"/>
      <c r="BD676" s="4"/>
      <c r="BE676" s="4"/>
    </row>
    <row r="677" spans="2:57" x14ac:dyDescent="0.3">
      <c r="B677" s="6" t="s">
        <v>700</v>
      </c>
      <c r="C677" s="6">
        <v>31</v>
      </c>
      <c r="D677" s="6" t="s">
        <v>17</v>
      </c>
      <c r="E677" s="6" t="s">
        <v>10</v>
      </c>
      <c r="F677" s="6" t="s">
        <v>43</v>
      </c>
      <c r="G677" s="19">
        <v>2329</v>
      </c>
      <c r="H677" s="11">
        <v>7</v>
      </c>
      <c r="I677" s="6">
        <v>3</v>
      </c>
      <c r="J677" s="6" t="s">
        <v>14</v>
      </c>
      <c r="K677" s="5" t="s">
        <v>14</v>
      </c>
      <c r="L677" s="3" t="str">
        <f>IF(Table1[[#This Row],[Monthly Income]]&lt;3000,"Low",IF(Table1[[#This Row],[Monthly Income]]&lt;7000,"Medium","High"))</f>
        <v>Low</v>
      </c>
      <c r="AK677" s="6"/>
      <c r="AL677" s="6"/>
      <c r="AM677" s="6"/>
      <c r="AN677" s="6"/>
      <c r="AO677" s="6"/>
      <c r="AP677" s="6"/>
      <c r="AQ677" s="6"/>
      <c r="AR677" s="6"/>
      <c r="AS677" s="6"/>
      <c r="AU677" s="6"/>
      <c r="AV677" s="6"/>
      <c r="AW677" s="6"/>
      <c r="AX677" s="6"/>
      <c r="AY677" s="6"/>
      <c r="AZ677" s="6"/>
      <c r="BA677" s="6"/>
      <c r="BB677" s="6"/>
      <c r="BC677" s="6"/>
      <c r="BD677" s="6"/>
      <c r="BE677" s="6"/>
    </row>
    <row r="678" spans="2:57" x14ac:dyDescent="0.3">
      <c r="B678" s="4" t="s">
        <v>701</v>
      </c>
      <c r="C678" s="4">
        <v>35</v>
      </c>
      <c r="D678" s="4" t="s">
        <v>12</v>
      </c>
      <c r="E678" s="4" t="s">
        <v>15</v>
      </c>
      <c r="F678" s="4" t="s">
        <v>29</v>
      </c>
      <c r="G678" s="18">
        <v>4014</v>
      </c>
      <c r="H678" s="10">
        <v>10</v>
      </c>
      <c r="I678" s="4">
        <v>4</v>
      </c>
      <c r="J678" s="4" t="s">
        <v>9</v>
      </c>
      <c r="K678" s="3" t="s">
        <v>14</v>
      </c>
      <c r="L678" s="3" t="str">
        <f>IF(Table1[[#This Row],[Monthly Income]]&lt;3000,"Low",IF(Table1[[#This Row],[Monthly Income]]&lt;7000,"Medium","High"))</f>
        <v>Medium</v>
      </c>
      <c r="AK678" s="4"/>
      <c r="AL678" s="4"/>
      <c r="AM678" s="4"/>
      <c r="AN678" s="4"/>
      <c r="AO678" s="4"/>
      <c r="AP678" s="4"/>
      <c r="AQ678" s="4"/>
      <c r="AR678" s="4"/>
      <c r="AS678" s="4"/>
      <c r="AU678" s="4"/>
      <c r="AV678" s="4"/>
      <c r="AW678" s="4"/>
      <c r="AX678" s="4"/>
      <c r="AY678" s="4"/>
      <c r="AZ678" s="4"/>
      <c r="BA678" s="4"/>
      <c r="BB678" s="4"/>
      <c r="BC678" s="4"/>
      <c r="BD678" s="4"/>
      <c r="BE678" s="4"/>
    </row>
    <row r="679" spans="2:57" x14ac:dyDescent="0.3">
      <c r="B679" s="6" t="s">
        <v>702</v>
      </c>
      <c r="C679" s="6">
        <v>49</v>
      </c>
      <c r="D679" s="6" t="s">
        <v>12</v>
      </c>
      <c r="E679" s="6" t="s">
        <v>15</v>
      </c>
      <c r="F679" s="6" t="s">
        <v>20</v>
      </c>
      <c r="G679" s="19">
        <v>7403</v>
      </c>
      <c r="H679" s="11">
        <v>26</v>
      </c>
      <c r="I679" s="6">
        <v>2</v>
      </c>
      <c r="J679" s="6" t="s">
        <v>14</v>
      </c>
      <c r="K679" s="5" t="s">
        <v>14</v>
      </c>
      <c r="L679" s="3" t="str">
        <f>IF(Table1[[#This Row],[Monthly Income]]&lt;3000,"Low",IF(Table1[[#This Row],[Monthly Income]]&lt;7000,"Medium","High"))</f>
        <v>High</v>
      </c>
      <c r="AK679" s="6"/>
      <c r="AL679" s="6"/>
      <c r="AM679" s="6"/>
      <c r="AN679" s="6"/>
      <c r="AO679" s="6"/>
      <c r="AP679" s="6"/>
      <c r="AQ679" s="6"/>
      <c r="AR679" s="6"/>
      <c r="AS679" s="6"/>
      <c r="AU679" s="6"/>
      <c r="AV679" s="6"/>
      <c r="AW679" s="6"/>
      <c r="AX679" s="6"/>
      <c r="AY679" s="6"/>
      <c r="AZ679" s="6"/>
      <c r="BA679" s="6"/>
      <c r="BB679" s="6"/>
      <c r="BC679" s="6"/>
      <c r="BD679" s="6"/>
      <c r="BE679" s="6"/>
    </row>
    <row r="680" spans="2:57" x14ac:dyDescent="0.3">
      <c r="B680" s="4" t="s">
        <v>703</v>
      </c>
      <c r="C680" s="4">
        <v>48</v>
      </c>
      <c r="D680" s="4" t="s">
        <v>17</v>
      </c>
      <c r="E680" s="4" t="s">
        <v>15</v>
      </c>
      <c r="F680" s="4" t="s">
        <v>18</v>
      </c>
      <c r="G680" s="18">
        <v>2259</v>
      </c>
      <c r="H680" s="10">
        <v>0</v>
      </c>
      <c r="I680" s="4">
        <v>3</v>
      </c>
      <c r="J680" s="4" t="s">
        <v>14</v>
      </c>
      <c r="K680" s="3" t="s">
        <v>14</v>
      </c>
      <c r="L680" s="3" t="str">
        <f>IF(Table1[[#This Row],[Monthly Income]]&lt;3000,"Low",IF(Table1[[#This Row],[Monthly Income]]&lt;7000,"Medium","High"))</f>
        <v>Low</v>
      </c>
      <c r="AK680" s="4"/>
      <c r="AL680" s="4"/>
      <c r="AM680" s="4"/>
      <c r="AN680" s="4"/>
      <c r="AO680" s="4"/>
      <c r="AP680" s="4"/>
      <c r="AQ680" s="4"/>
      <c r="AR680" s="4"/>
      <c r="AS680" s="4"/>
      <c r="AU680" s="4"/>
      <c r="AV680" s="4"/>
      <c r="AW680" s="4"/>
      <c r="AX680" s="4"/>
      <c r="AY680" s="4"/>
      <c r="AZ680" s="4"/>
      <c r="BA680" s="4"/>
      <c r="BB680" s="4"/>
      <c r="BC680" s="4"/>
      <c r="BD680" s="4"/>
      <c r="BE680" s="4"/>
    </row>
    <row r="681" spans="2:57" x14ac:dyDescent="0.3">
      <c r="B681" s="6" t="s">
        <v>704</v>
      </c>
      <c r="C681" s="6">
        <v>31</v>
      </c>
      <c r="D681" s="6" t="s">
        <v>12</v>
      </c>
      <c r="E681" s="6" t="s">
        <v>10</v>
      </c>
      <c r="F681" s="6" t="s">
        <v>13</v>
      </c>
      <c r="G681" s="19">
        <v>6932</v>
      </c>
      <c r="H681" s="11">
        <v>9</v>
      </c>
      <c r="I681" s="6">
        <v>3</v>
      </c>
      <c r="J681" s="6" t="s">
        <v>14</v>
      </c>
      <c r="K681" s="5" t="s">
        <v>14</v>
      </c>
      <c r="L681" s="3" t="str">
        <f>IF(Table1[[#This Row],[Monthly Income]]&lt;3000,"Low",IF(Table1[[#This Row],[Monthly Income]]&lt;7000,"Medium","High"))</f>
        <v>Medium</v>
      </c>
      <c r="AK681" s="6"/>
      <c r="AL681" s="6"/>
      <c r="AM681" s="6"/>
      <c r="AN681" s="6"/>
      <c r="AO681" s="6"/>
      <c r="AP681" s="6"/>
      <c r="AQ681" s="6"/>
      <c r="AR681" s="6"/>
      <c r="AS681" s="6"/>
      <c r="AU681" s="6"/>
      <c r="AV681" s="6"/>
      <c r="AW681" s="6"/>
      <c r="AX681" s="6"/>
      <c r="AY681" s="6"/>
      <c r="AZ681" s="6"/>
      <c r="BA681" s="6"/>
      <c r="BB681" s="6"/>
      <c r="BC681" s="6"/>
      <c r="BD681" s="6"/>
      <c r="BE681" s="6"/>
    </row>
    <row r="682" spans="2:57" x14ac:dyDescent="0.3">
      <c r="B682" s="4" t="s">
        <v>705</v>
      </c>
      <c r="C682" s="4">
        <v>36</v>
      </c>
      <c r="D682" s="4" t="s">
        <v>17</v>
      </c>
      <c r="E682" s="4" t="s">
        <v>15</v>
      </c>
      <c r="F682" s="4" t="s">
        <v>18</v>
      </c>
      <c r="G682" s="18">
        <v>4678</v>
      </c>
      <c r="H682" s="10">
        <v>6</v>
      </c>
      <c r="I682" s="4">
        <v>4</v>
      </c>
      <c r="J682" s="4" t="s">
        <v>14</v>
      </c>
      <c r="K682" s="3" t="s">
        <v>14</v>
      </c>
      <c r="L682" s="3" t="str">
        <f>IF(Table1[[#This Row],[Monthly Income]]&lt;3000,"Low",IF(Table1[[#This Row],[Monthly Income]]&lt;7000,"Medium","High"))</f>
        <v>Medium</v>
      </c>
      <c r="AK682" s="4"/>
      <c r="AL682" s="4"/>
      <c r="AM682" s="4"/>
      <c r="AN682" s="4"/>
      <c r="AO682" s="4"/>
      <c r="AP682" s="4"/>
      <c r="AQ682" s="4"/>
      <c r="AR682" s="4"/>
      <c r="AS682" s="4"/>
      <c r="AU682" s="4"/>
      <c r="AV682" s="4"/>
      <c r="AW682" s="4"/>
      <c r="AX682" s="4"/>
      <c r="AY682" s="4"/>
      <c r="AZ682" s="4"/>
      <c r="BA682" s="4"/>
      <c r="BB682" s="4"/>
      <c r="BC682" s="4"/>
      <c r="BD682" s="4"/>
      <c r="BE682" s="4"/>
    </row>
    <row r="683" spans="2:57" x14ac:dyDescent="0.3">
      <c r="B683" s="6" t="s">
        <v>706</v>
      </c>
      <c r="C683" s="6">
        <v>38</v>
      </c>
      <c r="D683" s="6" t="s">
        <v>12</v>
      </c>
      <c r="E683" s="6" t="s">
        <v>15</v>
      </c>
      <c r="F683" s="6" t="s">
        <v>45</v>
      </c>
      <c r="G683" s="19">
        <v>13582</v>
      </c>
      <c r="H683" s="11">
        <v>15</v>
      </c>
      <c r="I683" s="6">
        <v>1</v>
      </c>
      <c r="J683" s="6" t="s">
        <v>14</v>
      </c>
      <c r="K683" s="5" t="s">
        <v>14</v>
      </c>
      <c r="L683" s="3" t="str">
        <f>IF(Table1[[#This Row],[Monthly Income]]&lt;3000,"Low",IF(Table1[[#This Row],[Monthly Income]]&lt;7000,"Medium","High"))</f>
        <v>High</v>
      </c>
      <c r="AK683" s="6"/>
      <c r="AL683" s="6"/>
      <c r="AM683" s="6"/>
      <c r="AN683" s="6"/>
      <c r="AO683" s="6"/>
      <c r="AP683" s="6"/>
      <c r="AQ683" s="6"/>
      <c r="AR683" s="6"/>
      <c r="AS683" s="6"/>
      <c r="AU683" s="6"/>
      <c r="AV683" s="6"/>
      <c r="AW683" s="6"/>
      <c r="AX683" s="6"/>
      <c r="AY683" s="6"/>
      <c r="AZ683" s="6"/>
      <c r="BA683" s="6"/>
      <c r="BB683" s="6"/>
      <c r="BC683" s="6"/>
      <c r="BD683" s="6"/>
      <c r="BE683" s="6"/>
    </row>
    <row r="684" spans="2:57" x14ac:dyDescent="0.3">
      <c r="B684" s="4" t="s">
        <v>707</v>
      </c>
      <c r="C684" s="4">
        <v>32</v>
      </c>
      <c r="D684" s="4" t="s">
        <v>12</v>
      </c>
      <c r="E684" s="4" t="s">
        <v>15</v>
      </c>
      <c r="F684" s="4" t="s">
        <v>20</v>
      </c>
      <c r="G684" s="18">
        <v>2332</v>
      </c>
      <c r="H684" s="10">
        <v>3</v>
      </c>
      <c r="I684" s="4">
        <v>2</v>
      </c>
      <c r="J684" s="4" t="s">
        <v>14</v>
      </c>
      <c r="K684" s="3" t="s">
        <v>14</v>
      </c>
      <c r="L684" s="3" t="str">
        <f>IF(Table1[[#This Row],[Monthly Income]]&lt;3000,"Low",IF(Table1[[#This Row],[Monthly Income]]&lt;7000,"Medium","High"))</f>
        <v>Low</v>
      </c>
      <c r="AK684" s="4"/>
      <c r="AL684" s="4"/>
      <c r="AM684" s="4"/>
      <c r="AN684" s="4"/>
      <c r="AO684" s="4"/>
      <c r="AP684" s="4"/>
      <c r="AQ684" s="4"/>
      <c r="AR684" s="4"/>
      <c r="AS684" s="4"/>
      <c r="AU684" s="4"/>
      <c r="AV684" s="4"/>
      <c r="AW684" s="4"/>
      <c r="AX684" s="4"/>
      <c r="AY684" s="4"/>
      <c r="AZ684" s="4"/>
      <c r="BA684" s="4"/>
      <c r="BB684" s="4"/>
      <c r="BC684" s="4"/>
      <c r="BD684" s="4"/>
      <c r="BE684" s="4"/>
    </row>
    <row r="685" spans="2:57" x14ac:dyDescent="0.3">
      <c r="B685" s="6" t="s">
        <v>708</v>
      </c>
      <c r="C685" s="6">
        <v>25</v>
      </c>
      <c r="D685" s="6" t="s">
        <v>17</v>
      </c>
      <c r="E685" s="6" t="s">
        <v>10</v>
      </c>
      <c r="F685" s="6" t="s">
        <v>43</v>
      </c>
      <c r="G685" s="19">
        <v>2413</v>
      </c>
      <c r="H685" s="11">
        <v>1</v>
      </c>
      <c r="I685" s="6">
        <v>2</v>
      </c>
      <c r="J685" s="6" t="s">
        <v>9</v>
      </c>
      <c r="K685" s="5" t="s">
        <v>9</v>
      </c>
      <c r="L685" s="3" t="str">
        <f>IF(Table1[[#This Row],[Monthly Income]]&lt;3000,"Low",IF(Table1[[#This Row],[Monthly Income]]&lt;7000,"Medium","High"))</f>
        <v>Low</v>
      </c>
      <c r="AK685" s="6"/>
      <c r="AL685" s="6"/>
      <c r="AM685" s="6"/>
      <c r="AN685" s="6"/>
      <c r="AO685" s="6"/>
      <c r="AP685" s="6"/>
      <c r="AQ685" s="6"/>
      <c r="AR685" s="6"/>
      <c r="AS685" s="6"/>
      <c r="AU685" s="6"/>
      <c r="AV685" s="6"/>
      <c r="AW685" s="6"/>
      <c r="AX685" s="6"/>
      <c r="AY685" s="6"/>
      <c r="AZ685" s="6"/>
      <c r="BA685" s="6"/>
      <c r="BB685" s="6"/>
      <c r="BC685" s="6"/>
      <c r="BD685" s="6"/>
      <c r="BE685" s="6"/>
    </row>
    <row r="686" spans="2:57" x14ac:dyDescent="0.3">
      <c r="B686" s="4" t="s">
        <v>709</v>
      </c>
      <c r="C686" s="4">
        <v>40</v>
      </c>
      <c r="D686" s="4" t="s">
        <v>17</v>
      </c>
      <c r="E686" s="4" t="s">
        <v>10</v>
      </c>
      <c r="F686" s="4" t="s">
        <v>13</v>
      </c>
      <c r="G686" s="18">
        <v>9705</v>
      </c>
      <c r="H686" s="10">
        <v>1</v>
      </c>
      <c r="I686" s="4">
        <v>2</v>
      </c>
      <c r="J686" s="4" t="s">
        <v>14</v>
      </c>
      <c r="K686" s="3" t="s">
        <v>14</v>
      </c>
      <c r="L686" s="3" t="str">
        <f>IF(Table1[[#This Row],[Monthly Income]]&lt;3000,"Low",IF(Table1[[#This Row],[Monthly Income]]&lt;7000,"Medium","High"))</f>
        <v>High</v>
      </c>
      <c r="AK686" s="4"/>
      <c r="AL686" s="4"/>
      <c r="AM686" s="4"/>
      <c r="AN686" s="4"/>
      <c r="AO686" s="4"/>
      <c r="AP686" s="4"/>
      <c r="AQ686" s="4"/>
      <c r="AR686" s="4"/>
      <c r="AS686" s="4"/>
      <c r="AU686" s="4"/>
      <c r="AV686" s="4"/>
      <c r="AW686" s="4"/>
      <c r="AX686" s="4"/>
      <c r="AY686" s="4"/>
      <c r="AZ686" s="4"/>
      <c r="BA686" s="4"/>
      <c r="BB686" s="4"/>
      <c r="BC686" s="4"/>
      <c r="BD686" s="4"/>
      <c r="BE686" s="4"/>
    </row>
    <row r="687" spans="2:57" x14ac:dyDescent="0.3">
      <c r="B687" s="6" t="s">
        <v>710</v>
      </c>
      <c r="C687" s="6">
        <v>26</v>
      </c>
      <c r="D687" s="6" t="s">
        <v>17</v>
      </c>
      <c r="E687" s="6" t="s">
        <v>10</v>
      </c>
      <c r="F687" s="6" t="s">
        <v>13</v>
      </c>
      <c r="G687" s="19">
        <v>4294</v>
      </c>
      <c r="H687" s="11">
        <v>7</v>
      </c>
      <c r="I687" s="6">
        <v>1</v>
      </c>
      <c r="J687" s="6" t="s">
        <v>14</v>
      </c>
      <c r="K687" s="5" t="s">
        <v>14</v>
      </c>
      <c r="L687" s="3" t="str">
        <f>IF(Table1[[#This Row],[Monthly Income]]&lt;3000,"Low",IF(Table1[[#This Row],[Monthly Income]]&lt;7000,"Medium","High"))</f>
        <v>Medium</v>
      </c>
      <c r="AK687" s="6"/>
      <c r="AL687" s="6"/>
      <c r="AM687" s="6"/>
      <c r="AN687" s="6"/>
      <c r="AO687" s="6"/>
      <c r="AP687" s="6"/>
      <c r="AQ687" s="6"/>
      <c r="AR687" s="6"/>
      <c r="AS687" s="6"/>
      <c r="AU687" s="6"/>
      <c r="AV687" s="6"/>
      <c r="AW687" s="6"/>
      <c r="AX687" s="6"/>
      <c r="AY687" s="6"/>
      <c r="AZ687" s="6"/>
      <c r="BA687" s="6"/>
      <c r="BB687" s="6"/>
      <c r="BC687" s="6"/>
      <c r="BD687" s="6"/>
      <c r="BE687" s="6"/>
    </row>
    <row r="688" spans="2:57" x14ac:dyDescent="0.3">
      <c r="B688" s="4" t="s">
        <v>711</v>
      </c>
      <c r="C688" s="4">
        <v>41</v>
      </c>
      <c r="D688" s="4" t="s">
        <v>17</v>
      </c>
      <c r="E688" s="4" t="s">
        <v>15</v>
      </c>
      <c r="F688" s="4" t="s">
        <v>20</v>
      </c>
      <c r="G688" s="18">
        <v>4721</v>
      </c>
      <c r="H688" s="10">
        <v>18</v>
      </c>
      <c r="I688" s="4">
        <v>1</v>
      </c>
      <c r="J688" s="4" t="s">
        <v>9</v>
      </c>
      <c r="K688" s="3" t="s">
        <v>14</v>
      </c>
      <c r="L688" s="3" t="str">
        <f>IF(Table1[[#This Row],[Monthly Income]]&lt;3000,"Low",IF(Table1[[#This Row],[Monthly Income]]&lt;7000,"Medium","High"))</f>
        <v>Medium</v>
      </c>
      <c r="AK688" s="4"/>
      <c r="AL688" s="4"/>
      <c r="AM688" s="4"/>
      <c r="AN688" s="4"/>
      <c r="AO688" s="4"/>
      <c r="AP688" s="4"/>
      <c r="AQ688" s="4"/>
      <c r="AR688" s="4"/>
      <c r="AS688" s="4"/>
      <c r="AU688" s="4"/>
      <c r="AV688" s="4"/>
      <c r="AW688" s="4"/>
      <c r="AX688" s="4"/>
      <c r="AY688" s="4"/>
      <c r="AZ688" s="4"/>
      <c r="BA688" s="4"/>
      <c r="BB688" s="4"/>
      <c r="BC688" s="4"/>
      <c r="BD688" s="4"/>
      <c r="BE688" s="4"/>
    </row>
    <row r="689" spans="2:57" x14ac:dyDescent="0.3">
      <c r="B689" s="6" t="s">
        <v>712</v>
      </c>
      <c r="C689" s="6">
        <v>36</v>
      </c>
      <c r="D689" s="6" t="s">
        <v>17</v>
      </c>
      <c r="E689" s="6" t="s">
        <v>15</v>
      </c>
      <c r="F689" s="6" t="s">
        <v>20</v>
      </c>
      <c r="G689" s="19">
        <v>2519</v>
      </c>
      <c r="H689" s="11">
        <v>11</v>
      </c>
      <c r="I689" s="6">
        <v>3</v>
      </c>
      <c r="J689" s="6" t="s">
        <v>14</v>
      </c>
      <c r="K689" s="5" t="s">
        <v>14</v>
      </c>
      <c r="L689" s="3" t="str">
        <f>IF(Table1[[#This Row],[Monthly Income]]&lt;3000,"Low",IF(Table1[[#This Row],[Monthly Income]]&lt;7000,"Medium","High"))</f>
        <v>Low</v>
      </c>
      <c r="AK689" s="6"/>
      <c r="AL689" s="6"/>
      <c r="AM689" s="6"/>
      <c r="AN689" s="6"/>
      <c r="AO689" s="6"/>
      <c r="AP689" s="6"/>
      <c r="AQ689" s="6"/>
      <c r="AR689" s="6"/>
      <c r="AS689" s="6"/>
      <c r="AU689" s="6"/>
      <c r="AV689" s="6"/>
      <c r="AW689" s="6"/>
      <c r="AX689" s="6"/>
      <c r="AY689" s="6"/>
      <c r="AZ689" s="6"/>
      <c r="BA689" s="6"/>
      <c r="BB689" s="6"/>
      <c r="BC689" s="6"/>
      <c r="BD689" s="6"/>
      <c r="BE689" s="6"/>
    </row>
    <row r="690" spans="2:57" x14ac:dyDescent="0.3">
      <c r="B690" s="4" t="s">
        <v>713</v>
      </c>
      <c r="C690" s="4">
        <v>19</v>
      </c>
      <c r="D690" s="4" t="s">
        <v>17</v>
      </c>
      <c r="E690" s="4" t="s">
        <v>10</v>
      </c>
      <c r="F690" s="4" t="s">
        <v>43</v>
      </c>
      <c r="G690" s="18">
        <v>2121</v>
      </c>
      <c r="H690" s="10">
        <v>1</v>
      </c>
      <c r="I690" s="4">
        <v>2</v>
      </c>
      <c r="J690" s="4" t="s">
        <v>9</v>
      </c>
      <c r="K690" s="3" t="s">
        <v>9</v>
      </c>
      <c r="L690" s="3" t="str">
        <f>IF(Table1[[#This Row],[Monthly Income]]&lt;3000,"Low",IF(Table1[[#This Row],[Monthly Income]]&lt;7000,"Medium","High"))</f>
        <v>Low</v>
      </c>
      <c r="AK690" s="4"/>
      <c r="AL690" s="4"/>
      <c r="AM690" s="4"/>
      <c r="AN690" s="4"/>
      <c r="AO690" s="4"/>
      <c r="AP690" s="4"/>
      <c r="AQ690" s="4"/>
      <c r="AR690" s="4"/>
      <c r="AS690" s="4"/>
      <c r="AU690" s="4"/>
      <c r="AV690" s="4"/>
      <c r="AW690" s="4"/>
      <c r="AX690" s="4"/>
      <c r="AY690" s="4"/>
      <c r="AZ690" s="4"/>
      <c r="BA690" s="4"/>
      <c r="BB690" s="4"/>
      <c r="BC690" s="4"/>
      <c r="BD690" s="4"/>
      <c r="BE690" s="4"/>
    </row>
    <row r="691" spans="2:57" x14ac:dyDescent="0.3">
      <c r="B691" s="6" t="s">
        <v>714</v>
      </c>
      <c r="C691" s="6">
        <v>20</v>
      </c>
      <c r="D691" s="6" t="s">
        <v>17</v>
      </c>
      <c r="E691" s="6" t="s">
        <v>15</v>
      </c>
      <c r="F691" s="6" t="s">
        <v>20</v>
      </c>
      <c r="G691" s="19">
        <v>2973</v>
      </c>
      <c r="H691" s="11">
        <v>1</v>
      </c>
      <c r="I691" s="6">
        <v>1</v>
      </c>
      <c r="J691" s="6" t="s">
        <v>14</v>
      </c>
      <c r="K691" s="5" t="s">
        <v>9</v>
      </c>
      <c r="L691" s="3" t="str">
        <f>IF(Table1[[#This Row],[Monthly Income]]&lt;3000,"Low",IF(Table1[[#This Row],[Monthly Income]]&lt;7000,"Medium","High"))</f>
        <v>Low</v>
      </c>
      <c r="AK691" s="6"/>
      <c r="AL691" s="6"/>
      <c r="AM691" s="6"/>
      <c r="AN691" s="6"/>
      <c r="AO691" s="6"/>
      <c r="AP691" s="6"/>
      <c r="AQ691" s="6"/>
      <c r="AR691" s="6"/>
      <c r="AS691" s="6"/>
      <c r="AU691" s="6"/>
      <c r="AV691" s="6"/>
      <c r="AW691" s="6"/>
      <c r="AX691" s="6"/>
      <c r="AY691" s="6"/>
      <c r="AZ691" s="6"/>
      <c r="BA691" s="6"/>
      <c r="BB691" s="6"/>
      <c r="BC691" s="6"/>
      <c r="BD691" s="6"/>
      <c r="BE691" s="6"/>
    </row>
    <row r="692" spans="2:57" x14ac:dyDescent="0.3">
      <c r="B692" s="4" t="s">
        <v>715</v>
      </c>
      <c r="C692" s="4">
        <v>31</v>
      </c>
      <c r="D692" s="4" t="s">
        <v>12</v>
      </c>
      <c r="E692" s="4" t="s">
        <v>15</v>
      </c>
      <c r="F692" s="4" t="s">
        <v>29</v>
      </c>
      <c r="G692" s="18">
        <v>5855</v>
      </c>
      <c r="H692" s="10">
        <v>9</v>
      </c>
      <c r="I692" s="4">
        <v>4</v>
      </c>
      <c r="J692" s="4" t="s">
        <v>9</v>
      </c>
      <c r="K692" s="3" t="s">
        <v>14</v>
      </c>
      <c r="L692" s="3" t="str">
        <f>IF(Table1[[#This Row],[Monthly Income]]&lt;3000,"Low",IF(Table1[[#This Row],[Monthly Income]]&lt;7000,"Medium","High"))</f>
        <v>Medium</v>
      </c>
      <c r="AK692" s="4"/>
      <c r="AL692" s="4"/>
      <c r="AM692" s="4"/>
      <c r="AN692" s="4"/>
      <c r="AO692" s="4"/>
      <c r="AP692" s="4"/>
      <c r="AQ692" s="4"/>
      <c r="AR692" s="4"/>
      <c r="AS692" s="4"/>
      <c r="AU692" s="4"/>
      <c r="AV692" s="4"/>
      <c r="AW692" s="4"/>
      <c r="AX692" s="4"/>
      <c r="AY692" s="4"/>
      <c r="AZ692" s="4"/>
      <c r="BA692" s="4"/>
      <c r="BB692" s="4"/>
      <c r="BC692" s="4"/>
      <c r="BD692" s="4"/>
      <c r="BE692" s="4"/>
    </row>
    <row r="693" spans="2:57" x14ac:dyDescent="0.3">
      <c r="B693" s="6" t="s">
        <v>716</v>
      </c>
      <c r="C693" s="6">
        <v>40</v>
      </c>
      <c r="D693" s="6" t="s">
        <v>17</v>
      </c>
      <c r="E693" s="6" t="s">
        <v>15</v>
      </c>
      <c r="F693" s="6" t="s">
        <v>18</v>
      </c>
      <c r="G693" s="19">
        <v>3617</v>
      </c>
      <c r="H693" s="11">
        <v>1</v>
      </c>
      <c r="I693" s="6">
        <v>2</v>
      </c>
      <c r="J693" s="6" t="s">
        <v>9</v>
      </c>
      <c r="K693" s="5" t="s">
        <v>14</v>
      </c>
      <c r="L693" s="3" t="str">
        <f>IF(Table1[[#This Row],[Monthly Income]]&lt;3000,"Low",IF(Table1[[#This Row],[Monthly Income]]&lt;7000,"Medium","High"))</f>
        <v>Medium</v>
      </c>
      <c r="AK693" s="6"/>
      <c r="AL693" s="6"/>
      <c r="AM693" s="6"/>
      <c r="AN693" s="6"/>
      <c r="AO693" s="6"/>
      <c r="AP693" s="6"/>
      <c r="AQ693" s="6"/>
      <c r="AR693" s="6"/>
      <c r="AS693" s="6"/>
      <c r="AU693" s="6"/>
      <c r="AV693" s="6"/>
      <c r="AW693" s="6"/>
      <c r="AX693" s="6"/>
      <c r="AY693" s="6"/>
      <c r="AZ693" s="6"/>
      <c r="BA693" s="6"/>
      <c r="BB693" s="6"/>
      <c r="BC693" s="6"/>
      <c r="BD693" s="6"/>
      <c r="BE693" s="6"/>
    </row>
    <row r="694" spans="2:57" x14ac:dyDescent="0.3">
      <c r="B694" s="4" t="s">
        <v>717</v>
      </c>
      <c r="C694" s="4">
        <v>32</v>
      </c>
      <c r="D694" s="4" t="s">
        <v>12</v>
      </c>
      <c r="E694" s="4" t="s">
        <v>15</v>
      </c>
      <c r="F694" s="4" t="s">
        <v>27</v>
      </c>
      <c r="G694" s="18">
        <v>6725</v>
      </c>
      <c r="H694" s="10">
        <v>8</v>
      </c>
      <c r="I694" s="4">
        <v>1</v>
      </c>
      <c r="J694" s="4" t="s">
        <v>14</v>
      </c>
      <c r="K694" s="3" t="s">
        <v>14</v>
      </c>
      <c r="L694" s="3" t="str">
        <f>IF(Table1[[#This Row],[Monthly Income]]&lt;3000,"Low",IF(Table1[[#This Row],[Monthly Income]]&lt;7000,"Medium","High"))</f>
        <v>Medium</v>
      </c>
      <c r="AK694" s="4"/>
      <c r="AL694" s="4"/>
      <c r="AM694" s="4"/>
      <c r="AN694" s="4"/>
      <c r="AO694" s="4"/>
      <c r="AP694" s="4"/>
      <c r="AQ694" s="4"/>
      <c r="AR694" s="4"/>
      <c r="AS694" s="4"/>
      <c r="AU694" s="4"/>
      <c r="AV694" s="4"/>
      <c r="AW694" s="4"/>
      <c r="AX694" s="4"/>
      <c r="AY694" s="4"/>
      <c r="AZ694" s="4"/>
      <c r="BA694" s="4"/>
      <c r="BB694" s="4"/>
      <c r="BC694" s="4"/>
      <c r="BD694" s="4"/>
      <c r="BE694" s="4"/>
    </row>
    <row r="695" spans="2:57" x14ac:dyDescent="0.3">
      <c r="B695" s="6" t="s">
        <v>718</v>
      </c>
      <c r="C695" s="6">
        <v>36</v>
      </c>
      <c r="D695" s="6" t="s">
        <v>17</v>
      </c>
      <c r="E695" s="6" t="s">
        <v>10</v>
      </c>
      <c r="F695" s="6" t="s">
        <v>13</v>
      </c>
      <c r="G695" s="19">
        <v>10325</v>
      </c>
      <c r="H695" s="11">
        <v>16</v>
      </c>
      <c r="I695" s="6">
        <v>4</v>
      </c>
      <c r="J695" s="6" t="s">
        <v>9</v>
      </c>
      <c r="K695" s="5" t="s">
        <v>9</v>
      </c>
      <c r="L695" s="3" t="str">
        <f>IF(Table1[[#This Row],[Monthly Income]]&lt;3000,"Low",IF(Table1[[#This Row],[Monthly Income]]&lt;7000,"Medium","High"))</f>
        <v>High</v>
      </c>
      <c r="AK695" s="6"/>
      <c r="AL695" s="6"/>
      <c r="AM695" s="6"/>
      <c r="AN695" s="6"/>
      <c r="AO695" s="6"/>
      <c r="AP695" s="6"/>
      <c r="AQ695" s="6"/>
      <c r="AR695" s="6"/>
      <c r="AS695" s="6"/>
      <c r="AU695" s="6"/>
      <c r="AV695" s="6"/>
      <c r="AW695" s="6"/>
      <c r="AX695" s="6"/>
      <c r="AY695" s="6"/>
      <c r="AZ695" s="6"/>
      <c r="BA695" s="6"/>
      <c r="BB695" s="6"/>
      <c r="BC695" s="6"/>
      <c r="BD695" s="6"/>
      <c r="BE695" s="6"/>
    </row>
    <row r="696" spans="2:57" x14ac:dyDescent="0.3">
      <c r="B696" s="4" t="s">
        <v>719</v>
      </c>
      <c r="C696" s="4">
        <v>33</v>
      </c>
      <c r="D696" s="4" t="s">
        <v>12</v>
      </c>
      <c r="E696" s="4" t="s">
        <v>15</v>
      </c>
      <c r="F696" s="4" t="s">
        <v>29</v>
      </c>
      <c r="G696" s="18">
        <v>6949</v>
      </c>
      <c r="H696" s="10">
        <v>5</v>
      </c>
      <c r="I696" s="4">
        <v>4</v>
      </c>
      <c r="J696" s="4" t="s">
        <v>14</v>
      </c>
      <c r="K696" s="3" t="s">
        <v>14</v>
      </c>
      <c r="L696" s="3" t="str">
        <f>IF(Table1[[#This Row],[Monthly Income]]&lt;3000,"Low",IF(Table1[[#This Row],[Monthly Income]]&lt;7000,"Medium","High"))</f>
        <v>Medium</v>
      </c>
      <c r="AK696" s="4"/>
      <c r="AL696" s="4"/>
      <c r="AM696" s="4"/>
      <c r="AN696" s="4"/>
      <c r="AO696" s="4"/>
      <c r="AP696" s="4"/>
      <c r="AQ696" s="4"/>
      <c r="AR696" s="4"/>
      <c r="AS696" s="4"/>
      <c r="AU696" s="4"/>
      <c r="AV696" s="4"/>
      <c r="AW696" s="4"/>
      <c r="AX696" s="4"/>
      <c r="AY696" s="4"/>
      <c r="AZ696" s="4"/>
      <c r="BA696" s="4"/>
      <c r="BB696" s="4"/>
      <c r="BC696" s="4"/>
      <c r="BD696" s="4"/>
      <c r="BE696" s="4"/>
    </row>
    <row r="697" spans="2:57" x14ac:dyDescent="0.3">
      <c r="B697" s="6" t="s">
        <v>720</v>
      </c>
      <c r="C697" s="6">
        <v>37</v>
      </c>
      <c r="D697" s="6" t="s">
        <v>17</v>
      </c>
      <c r="E697" s="6" t="s">
        <v>10</v>
      </c>
      <c r="F697" s="6" t="s">
        <v>13</v>
      </c>
      <c r="G697" s="19">
        <v>10609</v>
      </c>
      <c r="H697" s="11">
        <v>14</v>
      </c>
      <c r="I697" s="6">
        <v>3</v>
      </c>
      <c r="J697" s="6" t="s">
        <v>14</v>
      </c>
      <c r="K697" s="5" t="s">
        <v>9</v>
      </c>
      <c r="L697" s="3" t="str">
        <f>IF(Table1[[#This Row],[Monthly Income]]&lt;3000,"Low",IF(Table1[[#This Row],[Monthly Income]]&lt;7000,"Medium","High"))</f>
        <v>High</v>
      </c>
      <c r="AK697" s="6"/>
      <c r="AL697" s="6"/>
      <c r="AM697" s="6"/>
      <c r="AN697" s="6"/>
      <c r="AO697" s="6"/>
      <c r="AP697" s="6"/>
      <c r="AQ697" s="6"/>
      <c r="AR697" s="6"/>
      <c r="AS697" s="6"/>
      <c r="AU697" s="6"/>
      <c r="AV697" s="6"/>
      <c r="AW697" s="6"/>
      <c r="AX697" s="6"/>
      <c r="AY697" s="6"/>
      <c r="AZ697" s="6"/>
      <c r="BA697" s="6"/>
      <c r="BB697" s="6"/>
      <c r="BC697" s="6"/>
      <c r="BD697" s="6"/>
      <c r="BE697" s="6"/>
    </row>
    <row r="698" spans="2:57" x14ac:dyDescent="0.3">
      <c r="B698" s="4" t="s">
        <v>721</v>
      </c>
      <c r="C698" s="4">
        <v>45</v>
      </c>
      <c r="D698" s="4" t="s">
        <v>17</v>
      </c>
      <c r="E698" s="4" t="s">
        <v>15</v>
      </c>
      <c r="F698" s="4" t="s">
        <v>20</v>
      </c>
      <c r="G698" s="18">
        <v>4447</v>
      </c>
      <c r="H698" s="10">
        <v>9</v>
      </c>
      <c r="I698" s="4">
        <v>2</v>
      </c>
      <c r="J698" s="4" t="s">
        <v>14</v>
      </c>
      <c r="K698" s="3" t="s">
        <v>14</v>
      </c>
      <c r="L698" s="3" t="str">
        <f>IF(Table1[[#This Row],[Monthly Income]]&lt;3000,"Low",IF(Table1[[#This Row],[Monthly Income]]&lt;7000,"Medium","High"))</f>
        <v>Medium</v>
      </c>
      <c r="AK698" s="4"/>
      <c r="AL698" s="4"/>
      <c r="AM698" s="4"/>
      <c r="AN698" s="4"/>
      <c r="AO698" s="4"/>
      <c r="AP698" s="4"/>
      <c r="AQ698" s="4"/>
      <c r="AR698" s="4"/>
      <c r="AS698" s="4"/>
      <c r="AU698" s="4"/>
      <c r="AV698" s="4"/>
      <c r="AW698" s="4"/>
      <c r="AX698" s="4"/>
      <c r="AY698" s="4"/>
      <c r="AZ698" s="4"/>
      <c r="BA698" s="4"/>
      <c r="BB698" s="4"/>
      <c r="BC698" s="4"/>
      <c r="BD698" s="4"/>
      <c r="BE698" s="4"/>
    </row>
    <row r="699" spans="2:57" x14ac:dyDescent="0.3">
      <c r="B699" s="6" t="s">
        <v>722</v>
      </c>
      <c r="C699" s="6">
        <v>29</v>
      </c>
      <c r="D699" s="6" t="s">
        <v>12</v>
      </c>
      <c r="E699" s="6" t="s">
        <v>10</v>
      </c>
      <c r="F699" s="6" t="s">
        <v>43</v>
      </c>
      <c r="G699" s="19">
        <v>2157</v>
      </c>
      <c r="H699" s="11">
        <v>3</v>
      </c>
      <c r="I699" s="6">
        <v>4</v>
      </c>
      <c r="J699" s="6" t="s">
        <v>14</v>
      </c>
      <c r="K699" s="5" t="s">
        <v>14</v>
      </c>
      <c r="L699" s="3" t="str">
        <f>IF(Table1[[#This Row],[Monthly Income]]&lt;3000,"Low",IF(Table1[[#This Row],[Monthly Income]]&lt;7000,"Medium","High"))</f>
        <v>Low</v>
      </c>
      <c r="AK699" s="6"/>
      <c r="AL699" s="6"/>
      <c r="AM699" s="6"/>
      <c r="AN699" s="6"/>
      <c r="AO699" s="6"/>
      <c r="AP699" s="6"/>
      <c r="AQ699" s="6"/>
      <c r="AR699" s="6"/>
      <c r="AS699" s="6"/>
      <c r="AU699" s="6"/>
      <c r="AV699" s="6"/>
      <c r="AW699" s="6"/>
      <c r="AX699" s="6"/>
      <c r="AY699" s="6"/>
      <c r="AZ699" s="6"/>
      <c r="BA699" s="6"/>
      <c r="BB699" s="6"/>
      <c r="BC699" s="6"/>
      <c r="BD699" s="6"/>
      <c r="BE699" s="6"/>
    </row>
    <row r="700" spans="2:57" x14ac:dyDescent="0.3">
      <c r="B700" s="4" t="s">
        <v>723</v>
      </c>
      <c r="C700" s="4">
        <v>35</v>
      </c>
      <c r="D700" s="4" t="s">
        <v>12</v>
      </c>
      <c r="E700" s="4" t="s">
        <v>10</v>
      </c>
      <c r="F700" s="4" t="s">
        <v>13</v>
      </c>
      <c r="G700" s="18">
        <v>4601</v>
      </c>
      <c r="H700" s="10">
        <v>5</v>
      </c>
      <c r="I700" s="4">
        <v>3</v>
      </c>
      <c r="J700" s="4" t="s">
        <v>14</v>
      </c>
      <c r="K700" s="3" t="s">
        <v>14</v>
      </c>
      <c r="L700" s="3" t="str">
        <f>IF(Table1[[#This Row],[Monthly Income]]&lt;3000,"Low",IF(Table1[[#This Row],[Monthly Income]]&lt;7000,"Medium","High"))</f>
        <v>Medium</v>
      </c>
      <c r="AK700" s="4"/>
      <c r="AL700" s="4"/>
      <c r="AM700" s="4"/>
      <c r="AN700" s="4"/>
      <c r="AO700" s="4"/>
      <c r="AP700" s="4"/>
      <c r="AQ700" s="4"/>
      <c r="AR700" s="4"/>
      <c r="AS700" s="4"/>
      <c r="AU700" s="4"/>
      <c r="AV700" s="4"/>
      <c r="AW700" s="4"/>
      <c r="AX700" s="4"/>
      <c r="AY700" s="4"/>
      <c r="AZ700" s="4"/>
      <c r="BA700" s="4"/>
      <c r="BB700" s="4"/>
      <c r="BC700" s="4"/>
      <c r="BD700" s="4"/>
      <c r="BE700" s="4"/>
    </row>
    <row r="701" spans="2:57" x14ac:dyDescent="0.3">
      <c r="B701" s="6" t="s">
        <v>724</v>
      </c>
      <c r="C701" s="6">
        <v>52</v>
      </c>
      <c r="D701" s="6" t="s">
        <v>17</v>
      </c>
      <c r="E701" s="6" t="s">
        <v>15</v>
      </c>
      <c r="F701" s="6" t="s">
        <v>39</v>
      </c>
      <c r="G701" s="19">
        <v>17099</v>
      </c>
      <c r="H701" s="11">
        <v>9</v>
      </c>
      <c r="I701" s="6">
        <v>4</v>
      </c>
      <c r="J701" s="6" t="s">
        <v>14</v>
      </c>
      <c r="K701" s="5" t="s">
        <v>14</v>
      </c>
      <c r="L701" s="3" t="str">
        <f>IF(Table1[[#This Row],[Monthly Income]]&lt;3000,"Low",IF(Table1[[#This Row],[Monthly Income]]&lt;7000,"Medium","High"))</f>
        <v>High</v>
      </c>
      <c r="AK701" s="6"/>
      <c r="AL701" s="6"/>
      <c r="AM701" s="6"/>
      <c r="AN701" s="6"/>
      <c r="AO701" s="6"/>
      <c r="AP701" s="6"/>
      <c r="AQ701" s="6"/>
      <c r="AR701" s="6"/>
      <c r="AS701" s="6"/>
      <c r="AU701" s="6"/>
      <c r="AV701" s="6"/>
      <c r="AW701" s="6"/>
      <c r="AX701" s="6"/>
      <c r="AY701" s="6"/>
      <c r="AZ701" s="6"/>
      <c r="BA701" s="6"/>
      <c r="BB701" s="6"/>
      <c r="BC701" s="6"/>
      <c r="BD701" s="6"/>
      <c r="BE701" s="6"/>
    </row>
    <row r="702" spans="2:57" x14ac:dyDescent="0.3">
      <c r="B702" s="4" t="s">
        <v>725</v>
      </c>
      <c r="C702" s="4">
        <v>58</v>
      </c>
      <c r="D702" s="4" t="s">
        <v>17</v>
      </c>
      <c r="E702" s="4" t="s">
        <v>15</v>
      </c>
      <c r="F702" s="4" t="s">
        <v>18</v>
      </c>
      <c r="G702" s="18">
        <v>2479</v>
      </c>
      <c r="H702" s="10">
        <v>1</v>
      </c>
      <c r="I702" s="4">
        <v>3</v>
      </c>
      <c r="J702" s="4" t="s">
        <v>14</v>
      </c>
      <c r="K702" s="3" t="s">
        <v>9</v>
      </c>
      <c r="L702" s="3" t="str">
        <f>IF(Table1[[#This Row],[Monthly Income]]&lt;3000,"Low",IF(Table1[[#This Row],[Monthly Income]]&lt;7000,"Medium","High"))</f>
        <v>Low</v>
      </c>
      <c r="AK702" s="4"/>
      <c r="AL702" s="4"/>
      <c r="AM702" s="4"/>
      <c r="AN702" s="4"/>
      <c r="AO702" s="4"/>
      <c r="AP702" s="4"/>
      <c r="AQ702" s="4"/>
      <c r="AR702" s="4"/>
      <c r="AS702" s="4"/>
      <c r="AU702" s="4"/>
      <c r="AV702" s="4"/>
      <c r="AW702" s="4"/>
      <c r="AX702" s="4"/>
      <c r="AY702" s="4"/>
      <c r="AZ702" s="4"/>
      <c r="BA702" s="4"/>
      <c r="BB702" s="4"/>
      <c r="BC702" s="4"/>
      <c r="BD702" s="4"/>
      <c r="BE702" s="4"/>
    </row>
    <row r="703" spans="2:57" x14ac:dyDescent="0.3">
      <c r="B703" s="6" t="s">
        <v>726</v>
      </c>
      <c r="C703" s="6">
        <v>53</v>
      </c>
      <c r="D703" s="6" t="s">
        <v>17</v>
      </c>
      <c r="E703" s="6" t="s">
        <v>10</v>
      </c>
      <c r="F703" s="6" t="s">
        <v>39</v>
      </c>
      <c r="G703" s="19">
        <v>14852</v>
      </c>
      <c r="H703" s="11">
        <v>17</v>
      </c>
      <c r="I703" s="6">
        <v>3</v>
      </c>
      <c r="J703" s="6" t="s">
        <v>14</v>
      </c>
      <c r="K703" s="5" t="s">
        <v>14</v>
      </c>
      <c r="L703" s="3" t="str">
        <f>IF(Table1[[#This Row],[Monthly Income]]&lt;3000,"Low",IF(Table1[[#This Row],[Monthly Income]]&lt;7000,"Medium","High"))</f>
        <v>High</v>
      </c>
      <c r="AK703" s="6"/>
      <c r="AL703" s="6"/>
      <c r="AM703" s="6"/>
      <c r="AN703" s="6"/>
      <c r="AO703" s="6"/>
      <c r="AP703" s="6"/>
      <c r="AQ703" s="6"/>
      <c r="AR703" s="6"/>
      <c r="AS703" s="6"/>
      <c r="AU703" s="6"/>
      <c r="AV703" s="6"/>
      <c r="AW703" s="6"/>
      <c r="AX703" s="6"/>
      <c r="AY703" s="6"/>
      <c r="AZ703" s="6"/>
      <c r="BA703" s="6"/>
      <c r="BB703" s="6"/>
      <c r="BC703" s="6"/>
      <c r="BD703" s="6"/>
      <c r="BE703" s="6"/>
    </row>
    <row r="704" spans="2:57" x14ac:dyDescent="0.3">
      <c r="B704" s="4" t="s">
        <v>727</v>
      </c>
      <c r="C704" s="4">
        <v>30</v>
      </c>
      <c r="D704" s="4" t="s">
        <v>17</v>
      </c>
      <c r="E704" s="4" t="s">
        <v>10</v>
      </c>
      <c r="F704" s="4" t="s">
        <v>13</v>
      </c>
      <c r="G704" s="18">
        <v>7264</v>
      </c>
      <c r="H704" s="10">
        <v>8</v>
      </c>
      <c r="I704" s="4">
        <v>3</v>
      </c>
      <c r="J704" s="4" t="s">
        <v>14</v>
      </c>
      <c r="K704" s="3" t="s">
        <v>14</v>
      </c>
      <c r="L704" s="3" t="str">
        <f>IF(Table1[[#This Row],[Monthly Income]]&lt;3000,"Low",IF(Table1[[#This Row],[Monthly Income]]&lt;7000,"Medium","High"))</f>
        <v>High</v>
      </c>
      <c r="AK704" s="4"/>
      <c r="AL704" s="4"/>
      <c r="AM704" s="4"/>
      <c r="AN704" s="4"/>
      <c r="AO704" s="4"/>
      <c r="AP704" s="4"/>
      <c r="AQ704" s="4"/>
      <c r="AR704" s="4"/>
      <c r="AS704" s="4"/>
      <c r="AU704" s="4"/>
      <c r="AV704" s="4"/>
      <c r="AW704" s="4"/>
      <c r="AX704" s="4"/>
      <c r="AY704" s="4"/>
      <c r="AZ704" s="4"/>
      <c r="BA704" s="4"/>
      <c r="BB704" s="4"/>
      <c r="BC704" s="4"/>
      <c r="BD704" s="4"/>
      <c r="BE704" s="4"/>
    </row>
    <row r="705" spans="2:57" x14ac:dyDescent="0.3">
      <c r="B705" s="6" t="s">
        <v>728</v>
      </c>
      <c r="C705" s="6">
        <v>38</v>
      </c>
      <c r="D705" s="6" t="s">
        <v>12</v>
      </c>
      <c r="E705" s="6" t="s">
        <v>10</v>
      </c>
      <c r="F705" s="6" t="s">
        <v>13</v>
      </c>
      <c r="G705" s="19">
        <v>5666</v>
      </c>
      <c r="H705" s="11">
        <v>5</v>
      </c>
      <c r="I705" s="6">
        <v>4</v>
      </c>
      <c r="J705" s="6" t="s">
        <v>9</v>
      </c>
      <c r="K705" s="5" t="s">
        <v>14</v>
      </c>
      <c r="L705" s="3" t="str">
        <f>IF(Table1[[#This Row],[Monthly Income]]&lt;3000,"Low",IF(Table1[[#This Row],[Monthly Income]]&lt;7000,"Medium","High"))</f>
        <v>Medium</v>
      </c>
      <c r="AK705" s="6"/>
      <c r="AL705" s="6"/>
      <c r="AM705" s="6"/>
      <c r="AN705" s="6"/>
      <c r="AO705" s="6"/>
      <c r="AP705" s="6"/>
      <c r="AQ705" s="6"/>
      <c r="AR705" s="6"/>
      <c r="AS705" s="6"/>
      <c r="AU705" s="6"/>
      <c r="AV705" s="6"/>
      <c r="AW705" s="6"/>
      <c r="AX705" s="6"/>
      <c r="AY705" s="6"/>
      <c r="AZ705" s="6"/>
      <c r="BA705" s="6"/>
      <c r="BB705" s="6"/>
      <c r="BC705" s="6"/>
      <c r="BD705" s="6"/>
      <c r="BE705" s="6"/>
    </row>
    <row r="706" spans="2:57" x14ac:dyDescent="0.3">
      <c r="B706" s="4" t="s">
        <v>729</v>
      </c>
      <c r="C706" s="4">
        <v>35</v>
      </c>
      <c r="D706" s="4" t="s">
        <v>17</v>
      </c>
      <c r="E706" s="4" t="s">
        <v>10</v>
      </c>
      <c r="F706" s="4" t="s">
        <v>13</v>
      </c>
      <c r="G706" s="18">
        <v>7823</v>
      </c>
      <c r="H706" s="10">
        <v>10</v>
      </c>
      <c r="I706" s="4">
        <v>4</v>
      </c>
      <c r="J706" s="4" t="s">
        <v>14</v>
      </c>
      <c r="K706" s="3" t="s">
        <v>14</v>
      </c>
      <c r="L706" s="3" t="str">
        <f>IF(Table1[[#This Row],[Monthly Income]]&lt;3000,"Low",IF(Table1[[#This Row],[Monthly Income]]&lt;7000,"Medium","High"))</f>
        <v>High</v>
      </c>
      <c r="AK706" s="4"/>
      <c r="AL706" s="4"/>
      <c r="AM706" s="4"/>
      <c r="AN706" s="4"/>
      <c r="AO706" s="4"/>
      <c r="AP706" s="4"/>
      <c r="AQ706" s="4"/>
      <c r="AR706" s="4"/>
      <c r="AS706" s="4"/>
      <c r="AU706" s="4"/>
      <c r="AV706" s="4"/>
      <c r="AW706" s="4"/>
      <c r="AX706" s="4"/>
      <c r="AY706" s="4"/>
      <c r="AZ706" s="4"/>
      <c r="BA706" s="4"/>
      <c r="BB706" s="4"/>
      <c r="BC706" s="4"/>
      <c r="BD706" s="4"/>
      <c r="BE706" s="4"/>
    </row>
    <row r="707" spans="2:57" x14ac:dyDescent="0.3">
      <c r="B707" s="6" t="s">
        <v>730</v>
      </c>
      <c r="C707" s="6">
        <v>39</v>
      </c>
      <c r="D707" s="6" t="s">
        <v>17</v>
      </c>
      <c r="E707" s="6" t="s">
        <v>10</v>
      </c>
      <c r="F707" s="6" t="s">
        <v>13</v>
      </c>
      <c r="G707" s="19">
        <v>7880</v>
      </c>
      <c r="H707" s="11">
        <v>8</v>
      </c>
      <c r="I707" s="6">
        <v>3</v>
      </c>
      <c r="J707" s="6" t="s">
        <v>14</v>
      </c>
      <c r="K707" s="5" t="s">
        <v>14</v>
      </c>
      <c r="L707" s="3" t="str">
        <f>IF(Table1[[#This Row],[Monthly Income]]&lt;3000,"Low",IF(Table1[[#This Row],[Monthly Income]]&lt;7000,"Medium","High"))</f>
        <v>High</v>
      </c>
      <c r="AK707" s="6"/>
      <c r="AL707" s="6"/>
      <c r="AM707" s="6"/>
      <c r="AN707" s="6"/>
      <c r="AO707" s="6"/>
      <c r="AP707" s="6"/>
      <c r="AQ707" s="6"/>
      <c r="AR707" s="6"/>
      <c r="AS707" s="6"/>
      <c r="AU707" s="6"/>
      <c r="AV707" s="6"/>
      <c r="AW707" s="6"/>
      <c r="AX707" s="6"/>
      <c r="AY707" s="6"/>
      <c r="AZ707" s="6"/>
      <c r="BA707" s="6"/>
      <c r="BB707" s="6"/>
      <c r="BC707" s="6"/>
      <c r="BD707" s="6"/>
      <c r="BE707" s="6"/>
    </row>
    <row r="708" spans="2:57" x14ac:dyDescent="0.3">
      <c r="B708" s="4" t="s">
        <v>731</v>
      </c>
      <c r="C708" s="4">
        <v>40</v>
      </c>
      <c r="D708" s="4" t="s">
        <v>12</v>
      </c>
      <c r="E708" s="4" t="s">
        <v>10</v>
      </c>
      <c r="F708" s="4" t="s">
        <v>13</v>
      </c>
      <c r="G708" s="18">
        <v>13194</v>
      </c>
      <c r="H708" s="10">
        <v>1</v>
      </c>
      <c r="I708" s="4">
        <v>2</v>
      </c>
      <c r="J708" s="4" t="s">
        <v>9</v>
      </c>
      <c r="K708" s="3" t="s">
        <v>9</v>
      </c>
      <c r="L708" s="3" t="str">
        <f>IF(Table1[[#This Row],[Monthly Income]]&lt;3000,"Low",IF(Table1[[#This Row],[Monthly Income]]&lt;7000,"Medium","High"))</f>
        <v>High</v>
      </c>
      <c r="AK708" s="4"/>
      <c r="AL708" s="4"/>
      <c r="AM708" s="4"/>
      <c r="AN708" s="4"/>
      <c r="AO708" s="4"/>
      <c r="AP708" s="4"/>
      <c r="AQ708" s="4"/>
      <c r="AR708" s="4"/>
      <c r="AS708" s="4"/>
      <c r="AU708" s="4"/>
      <c r="AV708" s="4"/>
      <c r="AW708" s="4"/>
      <c r="AX708" s="4"/>
      <c r="AY708" s="4"/>
      <c r="AZ708" s="4"/>
      <c r="BA708" s="4"/>
      <c r="BB708" s="4"/>
      <c r="BC708" s="4"/>
      <c r="BD708" s="4"/>
      <c r="BE708" s="4"/>
    </row>
    <row r="709" spans="2:57" x14ac:dyDescent="0.3">
      <c r="B709" s="6" t="s">
        <v>732</v>
      </c>
      <c r="C709" s="6">
        <v>47</v>
      </c>
      <c r="D709" s="6" t="s">
        <v>17</v>
      </c>
      <c r="E709" s="6" t="s">
        <v>15</v>
      </c>
      <c r="F709" s="6" t="s">
        <v>27</v>
      </c>
      <c r="G709" s="19">
        <v>5067</v>
      </c>
      <c r="H709" s="11">
        <v>19</v>
      </c>
      <c r="I709" s="6">
        <v>3</v>
      </c>
      <c r="J709" s="6" t="s">
        <v>9</v>
      </c>
      <c r="K709" s="5" t="s">
        <v>14</v>
      </c>
      <c r="L709" s="3" t="str">
        <f>IF(Table1[[#This Row],[Monthly Income]]&lt;3000,"Low",IF(Table1[[#This Row],[Monthly Income]]&lt;7000,"Medium","High"))</f>
        <v>Medium</v>
      </c>
      <c r="AK709" s="6"/>
      <c r="AL709" s="6"/>
      <c r="AM709" s="6"/>
      <c r="AN709" s="6"/>
      <c r="AO709" s="6"/>
      <c r="AP709" s="6"/>
      <c r="AQ709" s="6"/>
      <c r="AR709" s="6"/>
      <c r="AS709" s="6"/>
      <c r="AU709" s="6"/>
      <c r="AV709" s="6"/>
      <c r="AW709" s="6"/>
      <c r="AX709" s="6"/>
      <c r="AY709" s="6"/>
      <c r="AZ709" s="6"/>
      <c r="BA709" s="6"/>
      <c r="BB709" s="6"/>
      <c r="BC709" s="6"/>
      <c r="BD709" s="6"/>
      <c r="BE709" s="6"/>
    </row>
    <row r="710" spans="2:57" x14ac:dyDescent="0.3">
      <c r="B710" s="4" t="s">
        <v>733</v>
      </c>
      <c r="C710" s="4">
        <v>36</v>
      </c>
      <c r="D710" s="4" t="s">
        <v>17</v>
      </c>
      <c r="E710" s="4" t="s">
        <v>10</v>
      </c>
      <c r="F710" s="4" t="s">
        <v>13</v>
      </c>
      <c r="G710" s="18">
        <v>5079</v>
      </c>
      <c r="H710" s="10">
        <v>7</v>
      </c>
      <c r="I710" s="4">
        <v>4</v>
      </c>
      <c r="J710" s="4" t="s">
        <v>14</v>
      </c>
      <c r="K710" s="3" t="s">
        <v>14</v>
      </c>
      <c r="L710" s="3" t="str">
        <f>IF(Table1[[#This Row],[Monthly Income]]&lt;3000,"Low",IF(Table1[[#This Row],[Monthly Income]]&lt;7000,"Medium","High"))</f>
        <v>Medium</v>
      </c>
      <c r="AK710" s="4"/>
      <c r="AL710" s="4"/>
      <c r="AM710" s="4"/>
      <c r="AN710" s="4"/>
      <c r="AO710" s="4"/>
      <c r="AP710" s="4"/>
      <c r="AQ710" s="4"/>
      <c r="AR710" s="4"/>
      <c r="AS710" s="4"/>
      <c r="AU710" s="4"/>
      <c r="AV710" s="4"/>
      <c r="AW710" s="4"/>
      <c r="AX710" s="4"/>
      <c r="AY710" s="4"/>
      <c r="AZ710" s="4"/>
      <c r="BA710" s="4"/>
      <c r="BB710" s="4"/>
      <c r="BC710" s="4"/>
      <c r="BD710" s="4"/>
      <c r="BE710" s="4"/>
    </row>
    <row r="711" spans="2:57" x14ac:dyDescent="0.3">
      <c r="B711" s="6" t="s">
        <v>734</v>
      </c>
      <c r="C711" s="6">
        <v>31</v>
      </c>
      <c r="D711" s="6" t="s">
        <v>17</v>
      </c>
      <c r="E711" s="6" t="s">
        <v>15</v>
      </c>
      <c r="F711" s="6" t="s">
        <v>18</v>
      </c>
      <c r="G711" s="19">
        <v>2321</v>
      </c>
      <c r="H711" s="11">
        <v>3</v>
      </c>
      <c r="I711" s="6">
        <v>1</v>
      </c>
      <c r="J711" s="6" t="s">
        <v>9</v>
      </c>
      <c r="K711" s="5" t="s">
        <v>9</v>
      </c>
      <c r="L711" s="3" t="str">
        <f>IF(Table1[[#This Row],[Monthly Income]]&lt;3000,"Low",IF(Table1[[#This Row],[Monthly Income]]&lt;7000,"Medium","High"))</f>
        <v>Low</v>
      </c>
      <c r="AK711" s="6"/>
      <c r="AL711" s="6"/>
      <c r="AM711" s="6"/>
      <c r="AN711" s="6"/>
      <c r="AO711" s="6"/>
      <c r="AP711" s="6"/>
      <c r="AQ711" s="6"/>
      <c r="AR711" s="6"/>
      <c r="AS711" s="6"/>
      <c r="AU711" s="6"/>
      <c r="AV711" s="6"/>
      <c r="AW711" s="6"/>
      <c r="AX711" s="6"/>
      <c r="AY711" s="6"/>
      <c r="AZ711" s="6"/>
      <c r="BA711" s="6"/>
      <c r="BB711" s="6"/>
      <c r="BC711" s="6"/>
      <c r="BD711" s="6"/>
      <c r="BE711" s="6"/>
    </row>
    <row r="712" spans="2:57" x14ac:dyDescent="0.3">
      <c r="B712" s="4" t="s">
        <v>735</v>
      </c>
      <c r="C712" s="4">
        <v>33</v>
      </c>
      <c r="D712" s="4" t="s">
        <v>17</v>
      </c>
      <c r="E712" s="4" t="s">
        <v>10</v>
      </c>
      <c r="F712" s="4" t="s">
        <v>39</v>
      </c>
      <c r="G712" s="18">
        <v>17444</v>
      </c>
      <c r="H712" s="10">
        <v>10</v>
      </c>
      <c r="I712" s="4">
        <v>3</v>
      </c>
      <c r="J712" s="4" t="s">
        <v>14</v>
      </c>
      <c r="K712" s="3" t="s">
        <v>14</v>
      </c>
      <c r="L712" s="3" t="str">
        <f>IF(Table1[[#This Row],[Monthly Income]]&lt;3000,"Low",IF(Table1[[#This Row],[Monthly Income]]&lt;7000,"Medium","High"))</f>
        <v>High</v>
      </c>
      <c r="AK712" s="4"/>
      <c r="AL712" s="4"/>
      <c r="AM712" s="4"/>
      <c r="AN712" s="4"/>
      <c r="AO712" s="4"/>
      <c r="AP712" s="4"/>
      <c r="AQ712" s="4"/>
      <c r="AR712" s="4"/>
      <c r="AS712" s="4"/>
      <c r="AU712" s="4"/>
      <c r="AV712" s="4"/>
      <c r="AW712" s="4"/>
      <c r="AX712" s="4"/>
      <c r="AY712" s="4"/>
      <c r="AZ712" s="4"/>
      <c r="BA712" s="4"/>
      <c r="BB712" s="4"/>
      <c r="BC712" s="4"/>
      <c r="BD712" s="4"/>
      <c r="BE712" s="4"/>
    </row>
    <row r="713" spans="2:57" x14ac:dyDescent="0.3">
      <c r="B713" s="6" t="s">
        <v>736</v>
      </c>
      <c r="C713" s="6">
        <v>29</v>
      </c>
      <c r="D713" s="6" t="s">
        <v>12</v>
      </c>
      <c r="E713" s="6" t="s">
        <v>15</v>
      </c>
      <c r="F713" s="6" t="s">
        <v>18</v>
      </c>
      <c r="G713" s="19">
        <v>2404</v>
      </c>
      <c r="H713" s="11">
        <v>0</v>
      </c>
      <c r="I713" s="6">
        <v>1</v>
      </c>
      <c r="J713" s="6" t="s">
        <v>9</v>
      </c>
      <c r="K713" s="5" t="s">
        <v>9</v>
      </c>
      <c r="L713" s="3" t="str">
        <f>IF(Table1[[#This Row],[Monthly Income]]&lt;3000,"Low",IF(Table1[[#This Row],[Monthly Income]]&lt;7000,"Medium","High"))</f>
        <v>Low</v>
      </c>
      <c r="AK713" s="6"/>
      <c r="AL713" s="6"/>
      <c r="AM713" s="6"/>
      <c r="AN713" s="6"/>
      <c r="AO713" s="6"/>
      <c r="AP713" s="6"/>
      <c r="AQ713" s="6"/>
      <c r="AR713" s="6"/>
      <c r="AS713" s="6"/>
      <c r="AU713" s="6"/>
      <c r="AV713" s="6"/>
      <c r="AW713" s="6"/>
      <c r="AX713" s="6"/>
      <c r="AY713" s="6"/>
      <c r="AZ713" s="6"/>
      <c r="BA713" s="6"/>
      <c r="BB713" s="6"/>
      <c r="BC713" s="6"/>
      <c r="BD713" s="6"/>
      <c r="BE713" s="6"/>
    </row>
    <row r="714" spans="2:57" x14ac:dyDescent="0.3">
      <c r="B714" s="4" t="s">
        <v>737</v>
      </c>
      <c r="C714" s="4">
        <v>33</v>
      </c>
      <c r="D714" s="4" t="s">
        <v>12</v>
      </c>
      <c r="E714" s="4" t="s">
        <v>15</v>
      </c>
      <c r="F714" s="4" t="s">
        <v>18</v>
      </c>
      <c r="G714" s="18">
        <v>3452</v>
      </c>
      <c r="H714" s="10">
        <v>3</v>
      </c>
      <c r="I714" s="4">
        <v>4</v>
      </c>
      <c r="J714" s="4" t="s">
        <v>14</v>
      </c>
      <c r="K714" s="3" t="s">
        <v>14</v>
      </c>
      <c r="L714" s="3" t="str">
        <f>IF(Table1[[#This Row],[Monthly Income]]&lt;3000,"Low",IF(Table1[[#This Row],[Monthly Income]]&lt;7000,"Medium","High"))</f>
        <v>Medium</v>
      </c>
      <c r="AK714" s="4"/>
      <c r="AL714" s="4"/>
      <c r="AM714" s="4"/>
      <c r="AN714" s="4"/>
      <c r="AO714" s="4"/>
      <c r="AP714" s="4"/>
      <c r="AQ714" s="4"/>
      <c r="AR714" s="4"/>
      <c r="AS714" s="4"/>
      <c r="AU714" s="4"/>
      <c r="AV714" s="4"/>
      <c r="AW714" s="4"/>
      <c r="AX714" s="4"/>
      <c r="AY714" s="4"/>
      <c r="AZ714" s="4"/>
      <c r="BA714" s="4"/>
      <c r="BB714" s="4"/>
      <c r="BC714" s="4"/>
      <c r="BD714" s="4"/>
      <c r="BE714" s="4"/>
    </row>
    <row r="715" spans="2:57" x14ac:dyDescent="0.3">
      <c r="B715" s="6" t="s">
        <v>738</v>
      </c>
      <c r="C715" s="6">
        <v>45</v>
      </c>
      <c r="D715" s="6" t="s">
        <v>12</v>
      </c>
      <c r="E715" s="6" t="s">
        <v>15</v>
      </c>
      <c r="F715" s="6" t="s">
        <v>20</v>
      </c>
      <c r="G715" s="19">
        <v>2270</v>
      </c>
      <c r="H715" s="11">
        <v>5</v>
      </c>
      <c r="I715" s="6">
        <v>4</v>
      </c>
      <c r="J715" s="6" t="s">
        <v>14</v>
      </c>
      <c r="K715" s="5" t="s">
        <v>14</v>
      </c>
      <c r="L715" s="3" t="str">
        <f>IF(Table1[[#This Row],[Monthly Income]]&lt;3000,"Low",IF(Table1[[#This Row],[Monthly Income]]&lt;7000,"Medium","High"))</f>
        <v>Low</v>
      </c>
      <c r="AK715" s="6"/>
      <c r="AL715" s="6"/>
      <c r="AM715" s="6"/>
      <c r="AN715" s="6"/>
      <c r="AO715" s="6"/>
      <c r="AP715" s="6"/>
      <c r="AQ715" s="6"/>
      <c r="AR715" s="6"/>
      <c r="AS715" s="6"/>
      <c r="AU715" s="6"/>
      <c r="AV715" s="6"/>
      <c r="AW715" s="6"/>
      <c r="AX715" s="6"/>
      <c r="AY715" s="6"/>
      <c r="AZ715" s="6"/>
      <c r="BA715" s="6"/>
      <c r="BB715" s="6"/>
      <c r="BC715" s="6"/>
      <c r="BD715" s="6"/>
      <c r="BE715" s="6"/>
    </row>
    <row r="716" spans="2:57" x14ac:dyDescent="0.3">
      <c r="B716" s="4" t="s">
        <v>739</v>
      </c>
      <c r="C716" s="4">
        <v>50</v>
      </c>
      <c r="D716" s="4" t="s">
        <v>17</v>
      </c>
      <c r="E716" s="4" t="s">
        <v>15</v>
      </c>
      <c r="F716" s="4" t="s">
        <v>45</v>
      </c>
      <c r="G716" s="18">
        <v>17399</v>
      </c>
      <c r="H716" s="10">
        <v>5</v>
      </c>
      <c r="I716" s="4">
        <v>4</v>
      </c>
      <c r="J716" s="4" t="s">
        <v>14</v>
      </c>
      <c r="K716" s="3" t="s">
        <v>14</v>
      </c>
      <c r="L716" s="3" t="str">
        <f>IF(Table1[[#This Row],[Monthly Income]]&lt;3000,"Low",IF(Table1[[#This Row],[Monthly Income]]&lt;7000,"Medium","High"))</f>
        <v>High</v>
      </c>
      <c r="AK716" s="4"/>
      <c r="AL716" s="4"/>
      <c r="AM716" s="4"/>
      <c r="AN716" s="4"/>
      <c r="AO716" s="4"/>
      <c r="AP716" s="4"/>
      <c r="AQ716" s="4"/>
      <c r="AR716" s="4"/>
      <c r="AS716" s="4"/>
      <c r="AU716" s="4"/>
      <c r="AV716" s="4"/>
      <c r="AW716" s="4"/>
      <c r="AX716" s="4"/>
      <c r="AY716" s="4"/>
      <c r="AZ716" s="4"/>
      <c r="BA716" s="4"/>
      <c r="BB716" s="4"/>
      <c r="BC716" s="4"/>
      <c r="BD716" s="4"/>
      <c r="BE716" s="4"/>
    </row>
    <row r="717" spans="2:57" x14ac:dyDescent="0.3">
      <c r="B717" s="6" t="s">
        <v>740</v>
      </c>
      <c r="C717" s="6">
        <v>33</v>
      </c>
      <c r="D717" s="6" t="s">
        <v>12</v>
      </c>
      <c r="E717" s="6" t="s">
        <v>15</v>
      </c>
      <c r="F717" s="6" t="s">
        <v>29</v>
      </c>
      <c r="G717" s="19">
        <v>5488</v>
      </c>
      <c r="H717" s="11">
        <v>6</v>
      </c>
      <c r="I717" s="6">
        <v>2</v>
      </c>
      <c r="J717" s="6" t="s">
        <v>9</v>
      </c>
      <c r="K717" s="5" t="s">
        <v>14</v>
      </c>
      <c r="L717" s="3" t="str">
        <f>IF(Table1[[#This Row],[Monthly Income]]&lt;3000,"Low",IF(Table1[[#This Row],[Monthly Income]]&lt;7000,"Medium","High"))</f>
        <v>Medium</v>
      </c>
      <c r="AK717" s="6"/>
      <c r="AL717" s="6"/>
      <c r="AM717" s="6"/>
      <c r="AN717" s="6"/>
      <c r="AO717" s="6"/>
      <c r="AP717" s="6"/>
      <c r="AQ717" s="6"/>
      <c r="AR717" s="6"/>
      <c r="AS717" s="6"/>
      <c r="AU717" s="6"/>
      <c r="AV717" s="6"/>
      <c r="AW717" s="6"/>
      <c r="AX717" s="6"/>
      <c r="AY717" s="6"/>
      <c r="AZ717" s="6"/>
      <c r="BA717" s="6"/>
      <c r="BB717" s="6"/>
      <c r="BC717" s="6"/>
      <c r="BD717" s="6"/>
      <c r="BE717" s="6"/>
    </row>
    <row r="718" spans="2:57" x14ac:dyDescent="0.3">
      <c r="B718" s="4" t="s">
        <v>741</v>
      </c>
      <c r="C718" s="4">
        <v>41</v>
      </c>
      <c r="D718" s="4" t="s">
        <v>17</v>
      </c>
      <c r="E718" s="4" t="s">
        <v>15</v>
      </c>
      <c r="F718" s="4" t="s">
        <v>45</v>
      </c>
      <c r="G718" s="18">
        <v>19419</v>
      </c>
      <c r="H718" s="10">
        <v>18</v>
      </c>
      <c r="I718" s="4">
        <v>3</v>
      </c>
      <c r="J718" s="4" t="s">
        <v>14</v>
      </c>
      <c r="K718" s="3" t="s">
        <v>14</v>
      </c>
      <c r="L718" s="3" t="str">
        <f>IF(Table1[[#This Row],[Monthly Income]]&lt;3000,"Low",IF(Table1[[#This Row],[Monthly Income]]&lt;7000,"Medium","High"))</f>
        <v>High</v>
      </c>
      <c r="AK718" s="4"/>
      <c r="AL718" s="4"/>
      <c r="AM718" s="4"/>
      <c r="AN718" s="4"/>
      <c r="AO718" s="4"/>
      <c r="AP718" s="4"/>
      <c r="AQ718" s="4"/>
      <c r="AR718" s="4"/>
      <c r="AS718" s="4"/>
      <c r="AU718" s="4"/>
      <c r="AV718" s="4"/>
      <c r="AW718" s="4"/>
      <c r="AX718" s="4"/>
      <c r="AY718" s="4"/>
      <c r="AZ718" s="4"/>
      <c r="BA718" s="4"/>
      <c r="BB718" s="4"/>
      <c r="BC718" s="4"/>
      <c r="BD718" s="4"/>
      <c r="BE718" s="4"/>
    </row>
    <row r="719" spans="2:57" x14ac:dyDescent="0.3">
      <c r="B719" s="6" t="s">
        <v>742</v>
      </c>
      <c r="C719" s="6">
        <v>27</v>
      </c>
      <c r="D719" s="6" t="s">
        <v>12</v>
      </c>
      <c r="E719" s="6" t="s">
        <v>15</v>
      </c>
      <c r="F719" s="6" t="s">
        <v>20</v>
      </c>
      <c r="G719" s="19">
        <v>2811</v>
      </c>
      <c r="H719" s="11">
        <v>2</v>
      </c>
      <c r="I719" s="6">
        <v>2</v>
      </c>
      <c r="J719" s="6" t="s">
        <v>14</v>
      </c>
      <c r="K719" s="5" t="s">
        <v>14</v>
      </c>
      <c r="L719" s="3" t="str">
        <f>IF(Table1[[#This Row],[Monthly Income]]&lt;3000,"Low",IF(Table1[[#This Row],[Monthly Income]]&lt;7000,"Medium","High"))</f>
        <v>Low</v>
      </c>
      <c r="AK719" s="6"/>
      <c r="AL719" s="6"/>
      <c r="AM719" s="6"/>
      <c r="AN719" s="6"/>
      <c r="AO719" s="6"/>
      <c r="AP719" s="6"/>
      <c r="AQ719" s="6"/>
      <c r="AR719" s="6"/>
      <c r="AS719" s="6"/>
      <c r="AU719" s="6"/>
      <c r="AV719" s="6"/>
      <c r="AW719" s="6"/>
      <c r="AX719" s="6"/>
      <c r="AY719" s="6"/>
      <c r="AZ719" s="6"/>
      <c r="BA719" s="6"/>
      <c r="BB719" s="6"/>
      <c r="BC719" s="6"/>
      <c r="BD719" s="6"/>
      <c r="BE719" s="6"/>
    </row>
    <row r="720" spans="2:57" x14ac:dyDescent="0.3">
      <c r="B720" s="4" t="s">
        <v>743</v>
      </c>
      <c r="C720" s="4">
        <v>45</v>
      </c>
      <c r="D720" s="4" t="s">
        <v>17</v>
      </c>
      <c r="E720" s="4" t="s">
        <v>15</v>
      </c>
      <c r="F720" s="4" t="s">
        <v>20</v>
      </c>
      <c r="G720" s="18">
        <v>3633</v>
      </c>
      <c r="H720" s="10">
        <v>9</v>
      </c>
      <c r="I720" s="4">
        <v>1</v>
      </c>
      <c r="J720" s="4" t="s">
        <v>9</v>
      </c>
      <c r="K720" s="3" t="s">
        <v>14</v>
      </c>
      <c r="L720" s="3" t="str">
        <f>IF(Table1[[#This Row],[Monthly Income]]&lt;3000,"Low",IF(Table1[[#This Row],[Monthly Income]]&lt;7000,"Medium","High"))</f>
        <v>Medium</v>
      </c>
      <c r="AK720" s="4"/>
      <c r="AL720" s="4"/>
      <c r="AM720" s="4"/>
      <c r="AN720" s="4"/>
      <c r="AO720" s="4"/>
      <c r="AP720" s="4"/>
      <c r="AQ720" s="4"/>
      <c r="AR720" s="4"/>
      <c r="AS720" s="4"/>
      <c r="AU720" s="4"/>
      <c r="AV720" s="4"/>
      <c r="AW720" s="4"/>
      <c r="AX720" s="4"/>
      <c r="AY720" s="4"/>
      <c r="AZ720" s="4"/>
      <c r="BA720" s="4"/>
      <c r="BB720" s="4"/>
      <c r="BC720" s="4"/>
      <c r="BD720" s="4"/>
      <c r="BE720" s="4"/>
    </row>
    <row r="721" spans="2:57" x14ac:dyDescent="0.3">
      <c r="B721" s="6" t="s">
        <v>744</v>
      </c>
      <c r="C721" s="6">
        <v>47</v>
      </c>
      <c r="D721" s="6" t="s">
        <v>12</v>
      </c>
      <c r="E721" s="6" t="s">
        <v>10</v>
      </c>
      <c r="F721" s="6" t="s">
        <v>13</v>
      </c>
      <c r="G721" s="19">
        <v>4163</v>
      </c>
      <c r="H721" s="11">
        <v>9</v>
      </c>
      <c r="I721" s="6">
        <v>4</v>
      </c>
      <c r="J721" s="6" t="s">
        <v>9</v>
      </c>
      <c r="K721" s="5" t="s">
        <v>14</v>
      </c>
      <c r="L721" s="3" t="str">
        <f>IF(Table1[[#This Row],[Monthly Income]]&lt;3000,"Low",IF(Table1[[#This Row],[Monthly Income]]&lt;7000,"Medium","High"))</f>
        <v>Medium</v>
      </c>
      <c r="AK721" s="6"/>
      <c r="AL721" s="6"/>
      <c r="AM721" s="6"/>
      <c r="AN721" s="6"/>
      <c r="AO721" s="6"/>
      <c r="AP721" s="6"/>
      <c r="AQ721" s="6"/>
      <c r="AR721" s="6"/>
      <c r="AS721" s="6"/>
      <c r="AU721" s="6"/>
      <c r="AV721" s="6"/>
      <c r="AW721" s="6"/>
      <c r="AX721" s="6"/>
      <c r="AY721" s="6"/>
      <c r="AZ721" s="6"/>
      <c r="BA721" s="6"/>
      <c r="BB721" s="6"/>
      <c r="BC721" s="6"/>
      <c r="BD721" s="6"/>
      <c r="BE721" s="6"/>
    </row>
    <row r="722" spans="2:57" x14ac:dyDescent="0.3">
      <c r="B722" s="4" t="s">
        <v>745</v>
      </c>
      <c r="C722" s="4">
        <v>30</v>
      </c>
      <c r="D722" s="4" t="s">
        <v>12</v>
      </c>
      <c r="E722" s="4" t="s">
        <v>15</v>
      </c>
      <c r="F722" s="4" t="s">
        <v>18</v>
      </c>
      <c r="G722" s="18">
        <v>2132</v>
      </c>
      <c r="H722" s="10">
        <v>5</v>
      </c>
      <c r="I722" s="4">
        <v>3</v>
      </c>
      <c r="J722" s="4" t="s">
        <v>9</v>
      </c>
      <c r="K722" s="3" t="s">
        <v>9</v>
      </c>
      <c r="L722" s="3" t="str">
        <f>IF(Table1[[#This Row],[Monthly Income]]&lt;3000,"Low",IF(Table1[[#This Row],[Monthly Income]]&lt;7000,"Medium","High"))</f>
        <v>Low</v>
      </c>
      <c r="AK722" s="4"/>
      <c r="AL722" s="4"/>
      <c r="AM722" s="4"/>
      <c r="AN722" s="4"/>
      <c r="AO722" s="4"/>
      <c r="AP722" s="4"/>
      <c r="AQ722" s="4"/>
      <c r="AR722" s="4"/>
      <c r="AS722" s="4"/>
      <c r="AU722" s="4"/>
      <c r="AV722" s="4"/>
      <c r="AW722" s="4"/>
      <c r="AX722" s="4"/>
      <c r="AY722" s="4"/>
      <c r="AZ722" s="4"/>
      <c r="BA722" s="4"/>
      <c r="BB722" s="4"/>
      <c r="BC722" s="4"/>
      <c r="BD722" s="4"/>
      <c r="BE722" s="4"/>
    </row>
    <row r="723" spans="2:57" x14ac:dyDescent="0.3">
      <c r="B723" s="6" t="s">
        <v>746</v>
      </c>
      <c r="C723" s="6">
        <v>50</v>
      </c>
      <c r="D723" s="6" t="s">
        <v>17</v>
      </c>
      <c r="E723" s="6" t="s">
        <v>15</v>
      </c>
      <c r="F723" s="6" t="s">
        <v>27</v>
      </c>
      <c r="G723" s="19">
        <v>13973</v>
      </c>
      <c r="H723" s="11">
        <v>12</v>
      </c>
      <c r="I723" s="6">
        <v>3</v>
      </c>
      <c r="J723" s="6" t="s">
        <v>9</v>
      </c>
      <c r="K723" s="5" t="s">
        <v>14</v>
      </c>
      <c r="L723" s="3" t="str">
        <f>IF(Table1[[#This Row],[Monthly Income]]&lt;3000,"Low",IF(Table1[[#This Row],[Monthly Income]]&lt;7000,"Medium","High"))</f>
        <v>High</v>
      </c>
      <c r="AK723" s="6"/>
      <c r="AL723" s="6"/>
      <c r="AM723" s="6"/>
      <c r="AN723" s="6"/>
      <c r="AO723" s="6"/>
      <c r="AP723" s="6"/>
      <c r="AQ723" s="6"/>
      <c r="AR723" s="6"/>
      <c r="AS723" s="6"/>
      <c r="AU723" s="6"/>
      <c r="AV723" s="6"/>
      <c r="AW723" s="6"/>
      <c r="AX723" s="6"/>
      <c r="AY723" s="6"/>
      <c r="AZ723" s="6"/>
      <c r="BA723" s="6"/>
      <c r="BB723" s="6"/>
      <c r="BC723" s="6"/>
      <c r="BD723" s="6"/>
      <c r="BE723" s="6"/>
    </row>
    <row r="724" spans="2:57" x14ac:dyDescent="0.3">
      <c r="B724" s="4" t="s">
        <v>747</v>
      </c>
      <c r="C724" s="4">
        <v>38</v>
      </c>
      <c r="D724" s="4" t="s">
        <v>17</v>
      </c>
      <c r="E724" s="4" t="s">
        <v>15</v>
      </c>
      <c r="F724" s="4" t="s">
        <v>18</v>
      </c>
      <c r="G724" s="18">
        <v>2684</v>
      </c>
      <c r="H724" s="10">
        <v>2</v>
      </c>
      <c r="I724" s="4">
        <v>3</v>
      </c>
      <c r="J724" s="4" t="s">
        <v>14</v>
      </c>
      <c r="K724" s="3" t="s">
        <v>14</v>
      </c>
      <c r="L724" s="3" t="str">
        <f>IF(Table1[[#This Row],[Monthly Income]]&lt;3000,"Low",IF(Table1[[#This Row],[Monthly Income]]&lt;7000,"Medium","High"))</f>
        <v>Low</v>
      </c>
      <c r="AK724" s="4"/>
      <c r="AL724" s="4"/>
      <c r="AM724" s="4"/>
      <c r="AN724" s="4"/>
      <c r="AO724" s="4"/>
      <c r="AP724" s="4"/>
      <c r="AQ724" s="4"/>
      <c r="AR724" s="4"/>
      <c r="AS724" s="4"/>
      <c r="AU724" s="4"/>
      <c r="AV724" s="4"/>
      <c r="AW724" s="4"/>
      <c r="AX724" s="4"/>
      <c r="AY724" s="4"/>
      <c r="AZ724" s="4"/>
      <c r="BA724" s="4"/>
      <c r="BB724" s="4"/>
      <c r="BC724" s="4"/>
      <c r="BD724" s="4"/>
      <c r="BE724" s="4"/>
    </row>
    <row r="725" spans="2:57" x14ac:dyDescent="0.3">
      <c r="B725" s="6" t="s">
        <v>748</v>
      </c>
      <c r="C725" s="6">
        <v>46</v>
      </c>
      <c r="D725" s="6" t="s">
        <v>17</v>
      </c>
      <c r="E725" s="6" t="s">
        <v>15</v>
      </c>
      <c r="F725" s="6" t="s">
        <v>27</v>
      </c>
      <c r="G725" s="19">
        <v>10845</v>
      </c>
      <c r="H725" s="11">
        <v>8</v>
      </c>
      <c r="I725" s="6">
        <v>3</v>
      </c>
      <c r="J725" s="6" t="s">
        <v>14</v>
      </c>
      <c r="K725" s="5" t="s">
        <v>14</v>
      </c>
      <c r="L725" s="3" t="str">
        <f>IF(Table1[[#This Row],[Monthly Income]]&lt;3000,"Low",IF(Table1[[#This Row],[Monthly Income]]&lt;7000,"Medium","High"))</f>
        <v>High</v>
      </c>
      <c r="AK725" s="6"/>
      <c r="AL725" s="6"/>
      <c r="AM725" s="6"/>
      <c r="AN725" s="6"/>
      <c r="AO725" s="6"/>
      <c r="AP725" s="6"/>
      <c r="AQ725" s="6"/>
      <c r="AR725" s="6"/>
      <c r="AS725" s="6"/>
      <c r="AU725" s="6"/>
      <c r="AV725" s="6"/>
      <c r="AW725" s="6"/>
      <c r="AX725" s="6"/>
      <c r="AY725" s="6"/>
      <c r="AZ725" s="6"/>
      <c r="BA725" s="6"/>
      <c r="BB725" s="6"/>
      <c r="BC725" s="6"/>
      <c r="BD725" s="6"/>
      <c r="BE725" s="6"/>
    </row>
    <row r="726" spans="2:57" x14ac:dyDescent="0.3">
      <c r="B726" s="4" t="s">
        <v>749</v>
      </c>
      <c r="C726" s="4">
        <v>24</v>
      </c>
      <c r="D726" s="4" t="s">
        <v>12</v>
      </c>
      <c r="E726" s="4" t="s">
        <v>15</v>
      </c>
      <c r="F726" s="4" t="s">
        <v>27</v>
      </c>
      <c r="G726" s="18">
        <v>4377</v>
      </c>
      <c r="H726" s="10">
        <v>4</v>
      </c>
      <c r="I726" s="4">
        <v>3</v>
      </c>
      <c r="J726" s="4" t="s">
        <v>14</v>
      </c>
      <c r="K726" s="3" t="s">
        <v>14</v>
      </c>
      <c r="L726" s="3" t="str">
        <f>IF(Table1[[#This Row],[Monthly Income]]&lt;3000,"Low",IF(Table1[[#This Row],[Monthly Income]]&lt;7000,"Medium","High"))</f>
        <v>Medium</v>
      </c>
      <c r="AK726" s="4"/>
      <c r="AL726" s="4"/>
      <c r="AM726" s="4"/>
      <c r="AN726" s="4"/>
      <c r="AO726" s="4"/>
      <c r="AP726" s="4"/>
      <c r="AQ726" s="4"/>
      <c r="AR726" s="4"/>
      <c r="AS726" s="4"/>
      <c r="AU726" s="4"/>
      <c r="AV726" s="4"/>
      <c r="AW726" s="4"/>
      <c r="AX726" s="4"/>
      <c r="AY726" s="4"/>
      <c r="AZ726" s="4"/>
      <c r="BA726" s="4"/>
      <c r="BB726" s="4"/>
      <c r="BC726" s="4"/>
      <c r="BD726" s="4"/>
      <c r="BE726" s="4"/>
    </row>
    <row r="727" spans="2:57" x14ac:dyDescent="0.3">
      <c r="B727" s="6" t="s">
        <v>750</v>
      </c>
      <c r="C727" s="6">
        <v>35</v>
      </c>
      <c r="D727" s="6" t="s">
        <v>17</v>
      </c>
      <c r="E727" s="6" t="s">
        <v>15</v>
      </c>
      <c r="F727" s="6" t="s">
        <v>20</v>
      </c>
      <c r="G727" s="19">
        <v>3743</v>
      </c>
      <c r="H727" s="11">
        <v>4</v>
      </c>
      <c r="I727" s="6">
        <v>2</v>
      </c>
      <c r="J727" s="6" t="s">
        <v>9</v>
      </c>
      <c r="K727" s="5" t="s">
        <v>9</v>
      </c>
      <c r="L727" s="3" t="str">
        <f>IF(Table1[[#This Row],[Monthly Income]]&lt;3000,"Low",IF(Table1[[#This Row],[Monthly Income]]&lt;7000,"Medium","High"))</f>
        <v>Medium</v>
      </c>
      <c r="AK727" s="6"/>
      <c r="AL727" s="6"/>
      <c r="AM727" s="6"/>
      <c r="AN727" s="6"/>
      <c r="AO727" s="6"/>
      <c r="AP727" s="6"/>
      <c r="AQ727" s="6"/>
      <c r="AR727" s="6"/>
      <c r="AS727" s="6"/>
      <c r="AU727" s="6"/>
      <c r="AV727" s="6"/>
      <c r="AW727" s="6"/>
      <c r="AX727" s="6"/>
      <c r="AY727" s="6"/>
      <c r="AZ727" s="6"/>
      <c r="BA727" s="6"/>
      <c r="BB727" s="6"/>
      <c r="BC727" s="6"/>
      <c r="BD727" s="6"/>
      <c r="BE727" s="6"/>
    </row>
    <row r="728" spans="2:57" x14ac:dyDescent="0.3">
      <c r="B728" s="4" t="s">
        <v>751</v>
      </c>
      <c r="C728" s="4">
        <v>31</v>
      </c>
      <c r="D728" s="4" t="s">
        <v>12</v>
      </c>
      <c r="E728" s="4" t="s">
        <v>15</v>
      </c>
      <c r="F728" s="4" t="s">
        <v>27</v>
      </c>
      <c r="G728" s="18">
        <v>4148</v>
      </c>
      <c r="H728" s="10">
        <v>4</v>
      </c>
      <c r="I728" s="4">
        <v>1</v>
      </c>
      <c r="J728" s="4" t="s">
        <v>14</v>
      </c>
      <c r="K728" s="3" t="s">
        <v>14</v>
      </c>
      <c r="L728" s="3" t="str">
        <f>IF(Table1[[#This Row],[Monthly Income]]&lt;3000,"Low",IF(Table1[[#This Row],[Monthly Income]]&lt;7000,"Medium","High"))</f>
        <v>Medium</v>
      </c>
      <c r="AK728" s="4"/>
      <c r="AL728" s="4"/>
      <c r="AM728" s="4"/>
      <c r="AN728" s="4"/>
      <c r="AO728" s="4"/>
      <c r="AP728" s="4"/>
      <c r="AQ728" s="4"/>
      <c r="AR728" s="4"/>
      <c r="AS728" s="4"/>
      <c r="AU728" s="4"/>
      <c r="AV728" s="4"/>
      <c r="AW728" s="4"/>
      <c r="AX728" s="4"/>
      <c r="AY728" s="4"/>
      <c r="AZ728" s="4"/>
      <c r="BA728" s="4"/>
      <c r="BB728" s="4"/>
      <c r="BC728" s="4"/>
      <c r="BD728" s="4"/>
      <c r="BE728" s="4"/>
    </row>
    <row r="729" spans="2:57" x14ac:dyDescent="0.3">
      <c r="B729" s="6" t="s">
        <v>752</v>
      </c>
      <c r="C729" s="6">
        <v>18</v>
      </c>
      <c r="D729" s="6" t="s">
        <v>17</v>
      </c>
      <c r="E729" s="6" t="s">
        <v>15</v>
      </c>
      <c r="F729" s="6" t="s">
        <v>18</v>
      </c>
      <c r="G729" s="19">
        <v>1051</v>
      </c>
      <c r="H729" s="11">
        <v>0</v>
      </c>
      <c r="I729" s="6">
        <v>4</v>
      </c>
      <c r="J729" s="6" t="s">
        <v>14</v>
      </c>
      <c r="K729" s="5" t="s">
        <v>14</v>
      </c>
      <c r="L729" s="3" t="str">
        <f>IF(Table1[[#This Row],[Monthly Income]]&lt;3000,"Low",IF(Table1[[#This Row],[Monthly Income]]&lt;7000,"Medium","High"))</f>
        <v>Low</v>
      </c>
      <c r="AK729" s="6"/>
      <c r="AL729" s="6"/>
      <c r="AM729" s="6"/>
      <c r="AN729" s="6"/>
      <c r="AO729" s="6"/>
      <c r="AP729" s="6"/>
      <c r="AQ729" s="6"/>
      <c r="AR729" s="6"/>
      <c r="AS729" s="6"/>
      <c r="AU729" s="6"/>
      <c r="AV729" s="6"/>
      <c r="AW729" s="6"/>
      <c r="AX729" s="6"/>
      <c r="AY729" s="6"/>
      <c r="AZ729" s="6"/>
      <c r="BA729" s="6"/>
      <c r="BB729" s="6"/>
      <c r="BC729" s="6"/>
      <c r="BD729" s="6"/>
      <c r="BE729" s="6"/>
    </row>
    <row r="730" spans="2:57" x14ac:dyDescent="0.3">
      <c r="B730" s="4" t="s">
        <v>753</v>
      </c>
      <c r="C730" s="4">
        <v>54</v>
      </c>
      <c r="D730" s="4" t="s">
        <v>12</v>
      </c>
      <c r="E730" s="4" t="s">
        <v>15</v>
      </c>
      <c r="F730" s="4" t="s">
        <v>27</v>
      </c>
      <c r="G730" s="18">
        <v>10739</v>
      </c>
      <c r="H730" s="10">
        <v>10</v>
      </c>
      <c r="I730" s="4">
        <v>3</v>
      </c>
      <c r="J730" s="4" t="s">
        <v>14</v>
      </c>
      <c r="K730" s="3" t="s">
        <v>14</v>
      </c>
      <c r="L730" s="3" t="str">
        <f>IF(Table1[[#This Row],[Monthly Income]]&lt;3000,"Low",IF(Table1[[#This Row],[Monthly Income]]&lt;7000,"Medium","High"))</f>
        <v>High</v>
      </c>
      <c r="AK730" s="4"/>
      <c r="AL730" s="4"/>
      <c r="AM730" s="4"/>
      <c r="AN730" s="4"/>
      <c r="AO730" s="4"/>
      <c r="AP730" s="4"/>
      <c r="AQ730" s="4"/>
      <c r="AR730" s="4"/>
      <c r="AS730" s="4"/>
      <c r="AU730" s="4"/>
      <c r="AV730" s="4"/>
      <c r="AW730" s="4"/>
      <c r="AX730" s="4"/>
      <c r="AY730" s="4"/>
      <c r="AZ730" s="4"/>
      <c r="BA730" s="4"/>
      <c r="BB730" s="4"/>
      <c r="BC730" s="4"/>
      <c r="BD730" s="4"/>
      <c r="BE730" s="4"/>
    </row>
    <row r="731" spans="2:57" x14ac:dyDescent="0.3">
      <c r="B731" s="6" t="s">
        <v>754</v>
      </c>
      <c r="C731" s="6">
        <v>35</v>
      </c>
      <c r="D731" s="6" t="s">
        <v>12</v>
      </c>
      <c r="E731" s="6" t="s">
        <v>15</v>
      </c>
      <c r="F731" s="6" t="s">
        <v>29</v>
      </c>
      <c r="G731" s="19">
        <v>10388</v>
      </c>
      <c r="H731" s="11">
        <v>16</v>
      </c>
      <c r="I731" s="6">
        <v>3</v>
      </c>
      <c r="J731" s="6" t="s">
        <v>9</v>
      </c>
      <c r="K731" s="5" t="s">
        <v>14</v>
      </c>
      <c r="L731" s="3" t="str">
        <f>IF(Table1[[#This Row],[Monthly Income]]&lt;3000,"Low",IF(Table1[[#This Row],[Monthly Income]]&lt;7000,"Medium","High"))</f>
        <v>High</v>
      </c>
      <c r="AK731" s="6"/>
      <c r="AL731" s="6"/>
      <c r="AM731" s="6"/>
      <c r="AN731" s="6"/>
      <c r="AO731" s="6"/>
      <c r="AP731" s="6"/>
      <c r="AQ731" s="6"/>
      <c r="AR731" s="6"/>
      <c r="AS731" s="6"/>
      <c r="AU731" s="6"/>
      <c r="AV731" s="6"/>
      <c r="AW731" s="6"/>
      <c r="AX731" s="6"/>
      <c r="AY731" s="6"/>
      <c r="AZ731" s="6"/>
      <c r="BA731" s="6"/>
      <c r="BB731" s="6"/>
      <c r="BC731" s="6"/>
      <c r="BD731" s="6"/>
      <c r="BE731" s="6"/>
    </row>
    <row r="732" spans="2:57" x14ac:dyDescent="0.3">
      <c r="B732" s="4" t="s">
        <v>755</v>
      </c>
      <c r="C732" s="4">
        <v>30</v>
      </c>
      <c r="D732" s="4" t="s">
        <v>12</v>
      </c>
      <c r="E732" s="4" t="s">
        <v>15</v>
      </c>
      <c r="F732" s="4" t="s">
        <v>45</v>
      </c>
      <c r="G732" s="18">
        <v>11416</v>
      </c>
      <c r="H732" s="10">
        <v>8</v>
      </c>
      <c r="I732" s="4">
        <v>1</v>
      </c>
      <c r="J732" s="4" t="s">
        <v>9</v>
      </c>
      <c r="K732" s="3" t="s">
        <v>14</v>
      </c>
      <c r="L732" s="3" t="str">
        <f>IF(Table1[[#This Row],[Monthly Income]]&lt;3000,"Low",IF(Table1[[#This Row],[Monthly Income]]&lt;7000,"Medium","High"))</f>
        <v>High</v>
      </c>
      <c r="AK732" s="4"/>
      <c r="AL732" s="4"/>
      <c r="AM732" s="4"/>
      <c r="AN732" s="4"/>
      <c r="AO732" s="4"/>
      <c r="AP732" s="4"/>
      <c r="AQ732" s="4"/>
      <c r="AR732" s="4"/>
      <c r="AS732" s="4"/>
      <c r="AU732" s="4"/>
      <c r="AV732" s="4"/>
      <c r="AW732" s="4"/>
      <c r="AX732" s="4"/>
      <c r="AY732" s="4"/>
      <c r="AZ732" s="4"/>
      <c r="BA732" s="4"/>
      <c r="BB732" s="4"/>
      <c r="BC732" s="4"/>
      <c r="BD732" s="4"/>
      <c r="BE732" s="4"/>
    </row>
    <row r="733" spans="2:57" x14ac:dyDescent="0.3">
      <c r="B733" s="6" t="s">
        <v>756</v>
      </c>
      <c r="C733" s="6">
        <v>20</v>
      </c>
      <c r="D733" s="6" t="s">
        <v>12</v>
      </c>
      <c r="E733" s="6" t="s">
        <v>15</v>
      </c>
      <c r="F733" s="6" t="s">
        <v>18</v>
      </c>
      <c r="G733" s="19">
        <v>2600</v>
      </c>
      <c r="H733" s="11">
        <v>1</v>
      </c>
      <c r="I733" s="6">
        <v>1</v>
      </c>
      <c r="J733" s="6" t="s">
        <v>9</v>
      </c>
      <c r="K733" s="5" t="s">
        <v>9</v>
      </c>
      <c r="L733" s="3" t="str">
        <f>IF(Table1[[#This Row],[Monthly Income]]&lt;3000,"Low",IF(Table1[[#This Row],[Monthly Income]]&lt;7000,"Medium","High"))</f>
        <v>Low</v>
      </c>
      <c r="AK733" s="6"/>
      <c r="AL733" s="6"/>
      <c r="AM733" s="6"/>
      <c r="AN733" s="6"/>
      <c r="AO733" s="6"/>
      <c r="AP733" s="6"/>
      <c r="AQ733" s="6"/>
      <c r="AR733" s="6"/>
      <c r="AS733" s="6"/>
      <c r="AU733" s="6"/>
      <c r="AV733" s="6"/>
      <c r="AW733" s="6"/>
      <c r="AX733" s="6"/>
      <c r="AY733" s="6"/>
      <c r="AZ733" s="6"/>
      <c r="BA733" s="6"/>
      <c r="BB733" s="6"/>
      <c r="BC733" s="6"/>
      <c r="BD733" s="6"/>
      <c r="BE733" s="6"/>
    </row>
    <row r="734" spans="2:57" x14ac:dyDescent="0.3">
      <c r="B734" s="4" t="s">
        <v>757</v>
      </c>
      <c r="C734" s="4">
        <v>30</v>
      </c>
      <c r="D734" s="4" t="s">
        <v>12</v>
      </c>
      <c r="E734" s="4" t="s">
        <v>15</v>
      </c>
      <c r="F734" s="4" t="s">
        <v>20</v>
      </c>
      <c r="G734" s="18">
        <v>2422</v>
      </c>
      <c r="H734" s="10">
        <v>3</v>
      </c>
      <c r="I734" s="4">
        <v>2</v>
      </c>
      <c r="J734" s="4" t="s">
        <v>14</v>
      </c>
      <c r="K734" s="3" t="s">
        <v>9</v>
      </c>
      <c r="L734" s="3" t="str">
        <f>IF(Table1[[#This Row],[Monthly Income]]&lt;3000,"Low",IF(Table1[[#This Row],[Monthly Income]]&lt;7000,"Medium","High"))</f>
        <v>Low</v>
      </c>
      <c r="AK734" s="4"/>
      <c r="AL734" s="4"/>
      <c r="AM734" s="4"/>
      <c r="AN734" s="4"/>
      <c r="AO734" s="4"/>
      <c r="AP734" s="4"/>
      <c r="AQ734" s="4"/>
      <c r="AR734" s="4"/>
      <c r="AS734" s="4"/>
      <c r="AU734" s="4"/>
      <c r="AV734" s="4"/>
      <c r="AW734" s="4"/>
      <c r="AX734" s="4"/>
      <c r="AY734" s="4"/>
      <c r="AZ734" s="4"/>
      <c r="BA734" s="4"/>
      <c r="BB734" s="4"/>
      <c r="BC734" s="4"/>
      <c r="BD734" s="4"/>
      <c r="BE734" s="4"/>
    </row>
    <row r="735" spans="2:57" x14ac:dyDescent="0.3">
      <c r="B735" s="6" t="s">
        <v>758</v>
      </c>
      <c r="C735" s="6">
        <v>26</v>
      </c>
      <c r="D735" s="6" t="s">
        <v>17</v>
      </c>
      <c r="E735" s="6" t="s">
        <v>15</v>
      </c>
      <c r="F735" s="6" t="s">
        <v>27</v>
      </c>
      <c r="G735" s="19">
        <v>5472</v>
      </c>
      <c r="H735" s="11">
        <v>8</v>
      </c>
      <c r="I735" s="6">
        <v>4</v>
      </c>
      <c r="J735" s="6" t="s">
        <v>14</v>
      </c>
      <c r="K735" s="5" t="s">
        <v>14</v>
      </c>
      <c r="L735" s="3" t="str">
        <f>IF(Table1[[#This Row],[Monthly Income]]&lt;3000,"Low",IF(Table1[[#This Row],[Monthly Income]]&lt;7000,"Medium","High"))</f>
        <v>Medium</v>
      </c>
      <c r="AK735" s="6"/>
      <c r="AL735" s="6"/>
      <c r="AM735" s="6"/>
      <c r="AN735" s="6"/>
      <c r="AO735" s="6"/>
      <c r="AP735" s="6"/>
      <c r="AQ735" s="6"/>
      <c r="AR735" s="6"/>
      <c r="AS735" s="6"/>
      <c r="AU735" s="6"/>
      <c r="AV735" s="6"/>
      <c r="AW735" s="6"/>
      <c r="AX735" s="6"/>
      <c r="AY735" s="6"/>
      <c r="AZ735" s="6"/>
      <c r="BA735" s="6"/>
      <c r="BB735" s="6"/>
      <c r="BC735" s="6"/>
      <c r="BD735" s="6"/>
      <c r="BE735" s="6"/>
    </row>
    <row r="736" spans="2:57" x14ac:dyDescent="0.3">
      <c r="B736" s="4" t="s">
        <v>759</v>
      </c>
      <c r="C736" s="4">
        <v>22</v>
      </c>
      <c r="D736" s="4" t="s">
        <v>17</v>
      </c>
      <c r="E736" s="4" t="s">
        <v>15</v>
      </c>
      <c r="F736" s="4" t="s">
        <v>20</v>
      </c>
      <c r="G736" s="18">
        <v>2451</v>
      </c>
      <c r="H736" s="10">
        <v>4</v>
      </c>
      <c r="I736" s="4">
        <v>1</v>
      </c>
      <c r="J736" s="4" t="s">
        <v>14</v>
      </c>
      <c r="K736" s="3" t="s">
        <v>14</v>
      </c>
      <c r="L736" s="3" t="str">
        <f>IF(Table1[[#This Row],[Monthly Income]]&lt;3000,"Low",IF(Table1[[#This Row],[Monthly Income]]&lt;7000,"Medium","High"))</f>
        <v>Low</v>
      </c>
      <c r="AK736" s="4"/>
      <c r="AL736" s="4"/>
      <c r="AM736" s="4"/>
      <c r="AN736" s="4"/>
      <c r="AO736" s="4"/>
      <c r="AP736" s="4"/>
      <c r="AQ736" s="4"/>
      <c r="AR736" s="4"/>
      <c r="AS736" s="4"/>
      <c r="AU736" s="4"/>
      <c r="AV736" s="4"/>
      <c r="AW736" s="4"/>
      <c r="AX736" s="4"/>
      <c r="AY736" s="4"/>
      <c r="AZ736" s="4"/>
      <c r="BA736" s="4"/>
      <c r="BB736" s="4"/>
      <c r="BC736" s="4"/>
      <c r="BD736" s="4"/>
      <c r="BE736" s="4"/>
    </row>
    <row r="737" spans="2:57" x14ac:dyDescent="0.3">
      <c r="B737" s="6" t="s">
        <v>760</v>
      </c>
      <c r="C737" s="6">
        <v>48</v>
      </c>
      <c r="D737" s="6" t="s">
        <v>17</v>
      </c>
      <c r="E737" s="6" t="s">
        <v>15</v>
      </c>
      <c r="F737" s="6" t="s">
        <v>29</v>
      </c>
      <c r="G737" s="19">
        <v>4240</v>
      </c>
      <c r="H737" s="11">
        <v>2</v>
      </c>
      <c r="I737" s="6">
        <v>3</v>
      </c>
      <c r="J737" s="6" t="s">
        <v>14</v>
      </c>
      <c r="K737" s="5" t="s">
        <v>14</v>
      </c>
      <c r="L737" s="3" t="str">
        <f>IF(Table1[[#This Row],[Monthly Income]]&lt;3000,"Low",IF(Table1[[#This Row],[Monthly Income]]&lt;7000,"Medium","High"))</f>
        <v>Medium</v>
      </c>
      <c r="AK737" s="6"/>
      <c r="AL737" s="6"/>
      <c r="AM737" s="6"/>
      <c r="AN737" s="6"/>
      <c r="AO737" s="6"/>
      <c r="AP737" s="6"/>
      <c r="AQ737" s="6"/>
      <c r="AR737" s="6"/>
      <c r="AS737" s="6"/>
      <c r="AU737" s="6"/>
      <c r="AV737" s="6"/>
      <c r="AW737" s="6"/>
      <c r="AX737" s="6"/>
      <c r="AY737" s="6"/>
      <c r="AZ737" s="6"/>
      <c r="BA737" s="6"/>
      <c r="BB737" s="6"/>
      <c r="BC737" s="6"/>
      <c r="BD737" s="6"/>
      <c r="BE737" s="6"/>
    </row>
    <row r="738" spans="2:57" x14ac:dyDescent="0.3">
      <c r="B738" s="4" t="s">
        <v>761</v>
      </c>
      <c r="C738" s="4">
        <v>48</v>
      </c>
      <c r="D738" s="4" t="s">
        <v>17</v>
      </c>
      <c r="E738" s="4" t="s">
        <v>15</v>
      </c>
      <c r="F738" s="4" t="s">
        <v>29</v>
      </c>
      <c r="G738" s="18">
        <v>10999</v>
      </c>
      <c r="H738" s="10">
        <v>15</v>
      </c>
      <c r="I738" s="4">
        <v>3</v>
      </c>
      <c r="J738" s="4" t="s">
        <v>14</v>
      </c>
      <c r="K738" s="3" t="s">
        <v>14</v>
      </c>
      <c r="L738" s="3" t="str">
        <f>IF(Table1[[#This Row],[Monthly Income]]&lt;3000,"Low",IF(Table1[[#This Row],[Monthly Income]]&lt;7000,"Medium","High"))</f>
        <v>High</v>
      </c>
      <c r="AK738" s="4"/>
      <c r="AL738" s="4"/>
      <c r="AM738" s="4"/>
      <c r="AN738" s="4"/>
      <c r="AO738" s="4"/>
      <c r="AP738" s="4"/>
      <c r="AQ738" s="4"/>
      <c r="AR738" s="4"/>
      <c r="AS738" s="4"/>
      <c r="AU738" s="4"/>
      <c r="AV738" s="4"/>
      <c r="AW738" s="4"/>
      <c r="AX738" s="4"/>
      <c r="AY738" s="4"/>
      <c r="AZ738" s="4"/>
      <c r="BA738" s="4"/>
      <c r="BB738" s="4"/>
      <c r="BC738" s="4"/>
      <c r="BD738" s="4"/>
      <c r="BE738" s="4"/>
    </row>
    <row r="739" spans="2:57" x14ac:dyDescent="0.3">
      <c r="B739" s="6" t="s">
        <v>762</v>
      </c>
      <c r="C739" s="6">
        <v>41</v>
      </c>
      <c r="D739" s="6" t="s">
        <v>12</v>
      </c>
      <c r="E739" s="6" t="s">
        <v>15</v>
      </c>
      <c r="F739" s="6" t="s">
        <v>27</v>
      </c>
      <c r="G739" s="19">
        <v>5003</v>
      </c>
      <c r="H739" s="11">
        <v>2</v>
      </c>
      <c r="I739" s="6">
        <v>3</v>
      </c>
      <c r="J739" s="6" t="s">
        <v>14</v>
      </c>
      <c r="K739" s="5" t="s">
        <v>14</v>
      </c>
      <c r="L739" s="3" t="str">
        <f>IF(Table1[[#This Row],[Monthly Income]]&lt;3000,"Low",IF(Table1[[#This Row],[Monthly Income]]&lt;7000,"Medium","High"))</f>
        <v>Medium</v>
      </c>
      <c r="AK739" s="6"/>
      <c r="AL739" s="6"/>
      <c r="AM739" s="6"/>
      <c r="AN739" s="6"/>
      <c r="AO739" s="6"/>
      <c r="AP739" s="6"/>
      <c r="AQ739" s="6"/>
      <c r="AR739" s="6"/>
      <c r="AS739" s="6"/>
      <c r="AU739" s="6"/>
      <c r="AV739" s="6"/>
      <c r="AW739" s="6"/>
      <c r="AX739" s="6"/>
      <c r="AY739" s="6"/>
      <c r="AZ739" s="6"/>
      <c r="BA739" s="6"/>
      <c r="BB739" s="6"/>
      <c r="BC739" s="6"/>
      <c r="BD739" s="6"/>
      <c r="BE739" s="6"/>
    </row>
    <row r="740" spans="2:57" x14ac:dyDescent="0.3">
      <c r="B740" s="4" t="s">
        <v>763</v>
      </c>
      <c r="C740" s="4">
        <v>39</v>
      </c>
      <c r="D740" s="4" t="s">
        <v>12</v>
      </c>
      <c r="E740" s="4" t="s">
        <v>15</v>
      </c>
      <c r="F740" s="4" t="s">
        <v>27</v>
      </c>
      <c r="G740" s="18">
        <v>12742</v>
      </c>
      <c r="H740" s="10">
        <v>21</v>
      </c>
      <c r="I740" s="4">
        <v>4</v>
      </c>
      <c r="J740" s="4" t="s">
        <v>14</v>
      </c>
      <c r="K740" s="3" t="s">
        <v>14</v>
      </c>
      <c r="L740" s="3" t="str">
        <f>IF(Table1[[#This Row],[Monthly Income]]&lt;3000,"Low",IF(Table1[[#This Row],[Monthly Income]]&lt;7000,"Medium","High"))</f>
        <v>High</v>
      </c>
      <c r="AK740" s="4"/>
      <c r="AL740" s="4"/>
      <c r="AM740" s="4"/>
      <c r="AN740" s="4"/>
      <c r="AO740" s="4"/>
      <c r="AP740" s="4"/>
      <c r="AQ740" s="4"/>
      <c r="AR740" s="4"/>
      <c r="AS740" s="4"/>
      <c r="AU740" s="4"/>
      <c r="AV740" s="4"/>
      <c r="AW740" s="4"/>
      <c r="AX740" s="4"/>
      <c r="AY740" s="4"/>
      <c r="AZ740" s="4"/>
      <c r="BA740" s="4"/>
      <c r="BB740" s="4"/>
      <c r="BC740" s="4"/>
      <c r="BD740" s="4"/>
      <c r="BE740" s="4"/>
    </row>
    <row r="741" spans="2:57" x14ac:dyDescent="0.3">
      <c r="B741" s="6" t="s">
        <v>764</v>
      </c>
      <c r="C741" s="6">
        <v>27</v>
      </c>
      <c r="D741" s="6" t="s">
        <v>12</v>
      </c>
      <c r="E741" s="6" t="s">
        <v>15</v>
      </c>
      <c r="F741" s="6" t="s">
        <v>27</v>
      </c>
      <c r="G741" s="19">
        <v>4227</v>
      </c>
      <c r="H741" s="11">
        <v>3</v>
      </c>
      <c r="I741" s="6">
        <v>4</v>
      </c>
      <c r="J741" s="6" t="s">
        <v>14</v>
      </c>
      <c r="K741" s="5" t="s">
        <v>14</v>
      </c>
      <c r="L741" s="3" t="str">
        <f>IF(Table1[[#This Row],[Monthly Income]]&lt;3000,"Low",IF(Table1[[#This Row],[Monthly Income]]&lt;7000,"Medium","High"))</f>
        <v>Medium</v>
      </c>
      <c r="AK741" s="6"/>
      <c r="AL741" s="6"/>
      <c r="AM741" s="6"/>
      <c r="AN741" s="6"/>
      <c r="AO741" s="6"/>
      <c r="AP741" s="6"/>
      <c r="AQ741" s="6"/>
      <c r="AR741" s="6"/>
      <c r="AS741" s="6"/>
      <c r="AU741" s="6"/>
      <c r="AV741" s="6"/>
      <c r="AW741" s="6"/>
      <c r="AX741" s="6"/>
      <c r="AY741" s="6"/>
      <c r="AZ741" s="6"/>
      <c r="BA741" s="6"/>
      <c r="BB741" s="6"/>
      <c r="BC741" s="6"/>
      <c r="BD741" s="6"/>
      <c r="BE741" s="6"/>
    </row>
    <row r="742" spans="2:57" x14ac:dyDescent="0.3">
      <c r="B742" s="4" t="s">
        <v>765</v>
      </c>
      <c r="C742" s="4">
        <v>35</v>
      </c>
      <c r="D742" s="4" t="s">
        <v>17</v>
      </c>
      <c r="E742" s="4" t="s">
        <v>15</v>
      </c>
      <c r="F742" s="4" t="s">
        <v>20</v>
      </c>
      <c r="G742" s="18">
        <v>3917</v>
      </c>
      <c r="H742" s="10">
        <v>3</v>
      </c>
      <c r="I742" s="4">
        <v>4</v>
      </c>
      <c r="J742" s="4" t="s">
        <v>14</v>
      </c>
      <c r="K742" s="3" t="s">
        <v>14</v>
      </c>
      <c r="L742" s="3" t="str">
        <f>IF(Table1[[#This Row],[Monthly Income]]&lt;3000,"Low",IF(Table1[[#This Row],[Monthly Income]]&lt;7000,"Medium","High"))</f>
        <v>Medium</v>
      </c>
      <c r="AK742" s="4"/>
      <c r="AL742" s="4"/>
      <c r="AM742" s="4"/>
      <c r="AN742" s="4"/>
      <c r="AO742" s="4"/>
      <c r="AP742" s="4"/>
      <c r="AQ742" s="4"/>
      <c r="AR742" s="4"/>
      <c r="AS742" s="4"/>
      <c r="AU742" s="4"/>
      <c r="AV742" s="4"/>
      <c r="AW742" s="4"/>
      <c r="AX742" s="4"/>
      <c r="AY742" s="4"/>
      <c r="AZ742" s="4"/>
      <c r="BA742" s="4"/>
      <c r="BB742" s="4"/>
      <c r="BC742" s="4"/>
      <c r="BD742" s="4"/>
      <c r="BE742" s="4"/>
    </row>
    <row r="743" spans="2:57" x14ac:dyDescent="0.3">
      <c r="B743" s="6" t="s">
        <v>766</v>
      </c>
      <c r="C743" s="6">
        <v>42</v>
      </c>
      <c r="D743" s="6" t="s">
        <v>17</v>
      </c>
      <c r="E743" s="6" t="s">
        <v>10</v>
      </c>
      <c r="F743" s="6" t="s">
        <v>39</v>
      </c>
      <c r="G743" s="19">
        <v>18303</v>
      </c>
      <c r="H743" s="11">
        <v>1</v>
      </c>
      <c r="I743" s="6">
        <v>3</v>
      </c>
      <c r="J743" s="6" t="s">
        <v>14</v>
      </c>
      <c r="K743" s="5" t="s">
        <v>14</v>
      </c>
      <c r="L743" s="3" t="str">
        <f>IF(Table1[[#This Row],[Monthly Income]]&lt;3000,"Low",IF(Table1[[#This Row],[Monthly Income]]&lt;7000,"Medium","High"))</f>
        <v>High</v>
      </c>
      <c r="AK743" s="6"/>
      <c r="AL743" s="6"/>
      <c r="AM743" s="6"/>
      <c r="AN743" s="6"/>
      <c r="AO743" s="6"/>
      <c r="AP743" s="6"/>
      <c r="AQ743" s="6"/>
      <c r="AR743" s="6"/>
      <c r="AS743" s="6"/>
      <c r="AU743" s="6"/>
      <c r="AV743" s="6"/>
      <c r="AW743" s="6"/>
      <c r="AX743" s="6"/>
      <c r="AY743" s="6"/>
      <c r="AZ743" s="6"/>
      <c r="BA743" s="6"/>
      <c r="BB743" s="6"/>
      <c r="BC743" s="6"/>
      <c r="BD743" s="6"/>
      <c r="BE743" s="6"/>
    </row>
    <row r="744" spans="2:57" x14ac:dyDescent="0.3">
      <c r="B744" s="4" t="s">
        <v>767</v>
      </c>
      <c r="C744" s="4">
        <v>50</v>
      </c>
      <c r="D744" s="4" t="s">
        <v>17</v>
      </c>
      <c r="E744" s="4" t="s">
        <v>15</v>
      </c>
      <c r="F744" s="4" t="s">
        <v>20</v>
      </c>
      <c r="G744" s="18">
        <v>2380</v>
      </c>
      <c r="H744" s="10">
        <v>1</v>
      </c>
      <c r="I744" s="4">
        <v>4</v>
      </c>
      <c r="J744" s="4" t="s">
        <v>14</v>
      </c>
      <c r="K744" s="3" t="s">
        <v>14</v>
      </c>
      <c r="L744" s="3" t="str">
        <f>IF(Table1[[#This Row],[Monthly Income]]&lt;3000,"Low",IF(Table1[[#This Row],[Monthly Income]]&lt;7000,"Medium","High"))</f>
        <v>Low</v>
      </c>
      <c r="AK744" s="4"/>
      <c r="AL744" s="4"/>
      <c r="AM744" s="4"/>
      <c r="AN744" s="4"/>
      <c r="AO744" s="4"/>
      <c r="AP744" s="4"/>
      <c r="AQ744" s="4"/>
      <c r="AR744" s="4"/>
      <c r="AS744" s="4"/>
      <c r="AU744" s="4"/>
      <c r="AV744" s="4"/>
      <c r="AW744" s="4"/>
      <c r="AX744" s="4"/>
      <c r="AY744" s="4"/>
      <c r="AZ744" s="4"/>
      <c r="BA744" s="4"/>
      <c r="BB744" s="4"/>
      <c r="BC744" s="4"/>
      <c r="BD744" s="4"/>
      <c r="BE744" s="4"/>
    </row>
    <row r="745" spans="2:57" x14ac:dyDescent="0.3">
      <c r="B745" s="6" t="s">
        <v>768</v>
      </c>
      <c r="C745" s="6">
        <v>59</v>
      </c>
      <c r="D745" s="6" t="s">
        <v>12</v>
      </c>
      <c r="E745" s="6" t="s">
        <v>15</v>
      </c>
      <c r="F745" s="6" t="s">
        <v>27</v>
      </c>
      <c r="G745" s="19">
        <v>13726</v>
      </c>
      <c r="H745" s="11">
        <v>5</v>
      </c>
      <c r="I745" s="6">
        <v>4</v>
      </c>
      <c r="J745" s="6" t="s">
        <v>9</v>
      </c>
      <c r="K745" s="5" t="s">
        <v>14</v>
      </c>
      <c r="L745" s="3" t="str">
        <f>IF(Table1[[#This Row],[Monthly Income]]&lt;3000,"Low",IF(Table1[[#This Row],[Monthly Income]]&lt;7000,"Medium","High"))</f>
        <v>High</v>
      </c>
      <c r="AK745" s="6"/>
      <c r="AL745" s="6"/>
      <c r="AM745" s="6"/>
      <c r="AN745" s="6"/>
      <c r="AO745" s="6"/>
      <c r="AP745" s="6"/>
      <c r="AQ745" s="6"/>
      <c r="AR745" s="6"/>
      <c r="AS745" s="6"/>
      <c r="AU745" s="6"/>
      <c r="AV745" s="6"/>
      <c r="AW745" s="6"/>
      <c r="AX745" s="6"/>
      <c r="AY745" s="6"/>
      <c r="AZ745" s="6"/>
      <c r="BA745" s="6"/>
      <c r="BB745" s="6"/>
      <c r="BC745" s="6"/>
      <c r="BD745" s="6"/>
      <c r="BE745" s="6"/>
    </row>
    <row r="746" spans="2:57" x14ac:dyDescent="0.3">
      <c r="B746" s="4" t="s">
        <v>769</v>
      </c>
      <c r="C746" s="4">
        <v>37</v>
      </c>
      <c r="D746" s="4" t="s">
        <v>12</v>
      </c>
      <c r="E746" s="4" t="s">
        <v>15</v>
      </c>
      <c r="F746" s="4" t="s">
        <v>29</v>
      </c>
      <c r="G746" s="18">
        <v>4777</v>
      </c>
      <c r="H746" s="10">
        <v>1</v>
      </c>
      <c r="I746" s="4">
        <v>2</v>
      </c>
      <c r="J746" s="4" t="s">
        <v>14</v>
      </c>
      <c r="K746" s="3" t="s">
        <v>9</v>
      </c>
      <c r="L746" s="3" t="str">
        <f>IF(Table1[[#This Row],[Monthly Income]]&lt;3000,"Low",IF(Table1[[#This Row],[Monthly Income]]&lt;7000,"Medium","High"))</f>
        <v>Medium</v>
      </c>
      <c r="AK746" s="4"/>
      <c r="AL746" s="4"/>
      <c r="AM746" s="4"/>
      <c r="AN746" s="4"/>
      <c r="AO746" s="4"/>
      <c r="AP746" s="4"/>
      <c r="AQ746" s="4"/>
      <c r="AR746" s="4"/>
      <c r="AS746" s="4"/>
      <c r="AU746" s="4"/>
      <c r="AV746" s="4"/>
      <c r="AW746" s="4"/>
      <c r="AX746" s="4"/>
      <c r="AY746" s="4"/>
      <c r="AZ746" s="4"/>
      <c r="BA746" s="4"/>
      <c r="BB746" s="4"/>
      <c r="BC746" s="4"/>
      <c r="BD746" s="4"/>
      <c r="BE746" s="4"/>
    </row>
    <row r="747" spans="2:57" x14ac:dyDescent="0.3">
      <c r="B747" s="6" t="s">
        <v>770</v>
      </c>
      <c r="C747" s="6">
        <v>55</v>
      </c>
      <c r="D747" s="6" t="s">
        <v>17</v>
      </c>
      <c r="E747" s="6" t="s">
        <v>15</v>
      </c>
      <c r="F747" s="6" t="s">
        <v>29</v>
      </c>
      <c r="G747" s="19">
        <v>6385</v>
      </c>
      <c r="H747" s="11">
        <v>8</v>
      </c>
      <c r="I747" s="6">
        <v>2</v>
      </c>
      <c r="J747" s="6" t="s">
        <v>9</v>
      </c>
      <c r="K747" s="5" t="s">
        <v>14</v>
      </c>
      <c r="L747" s="3" t="str">
        <f>IF(Table1[[#This Row],[Monthly Income]]&lt;3000,"Low",IF(Table1[[#This Row],[Monthly Income]]&lt;7000,"Medium","High"))</f>
        <v>Medium</v>
      </c>
      <c r="AK747" s="6"/>
      <c r="AL747" s="6"/>
      <c r="AM747" s="6"/>
      <c r="AN747" s="6"/>
      <c r="AO747" s="6"/>
      <c r="AP747" s="6"/>
      <c r="AQ747" s="6"/>
      <c r="AR747" s="6"/>
      <c r="AS747" s="6"/>
      <c r="AU747" s="6"/>
      <c r="AV747" s="6"/>
      <c r="AW747" s="6"/>
      <c r="AX747" s="6"/>
      <c r="AY747" s="6"/>
      <c r="AZ747" s="6"/>
      <c r="BA747" s="6"/>
      <c r="BB747" s="6"/>
      <c r="BC747" s="6"/>
      <c r="BD747" s="6"/>
      <c r="BE747" s="6"/>
    </row>
    <row r="748" spans="2:57" x14ac:dyDescent="0.3">
      <c r="B748" s="4" t="s">
        <v>771</v>
      </c>
      <c r="C748" s="4">
        <v>41</v>
      </c>
      <c r="D748" s="4" t="s">
        <v>12</v>
      </c>
      <c r="E748" s="4" t="s">
        <v>15</v>
      </c>
      <c r="F748" s="4" t="s">
        <v>45</v>
      </c>
      <c r="G748" s="18">
        <v>19973</v>
      </c>
      <c r="H748" s="10">
        <v>21</v>
      </c>
      <c r="I748" s="4">
        <v>3</v>
      </c>
      <c r="J748" s="4" t="s">
        <v>14</v>
      </c>
      <c r="K748" s="3" t="s">
        <v>14</v>
      </c>
      <c r="L748" s="3" t="str">
        <f>IF(Table1[[#This Row],[Monthly Income]]&lt;3000,"Low",IF(Table1[[#This Row],[Monthly Income]]&lt;7000,"Medium","High"))</f>
        <v>High</v>
      </c>
      <c r="AK748" s="4"/>
      <c r="AL748" s="4"/>
      <c r="AM748" s="4"/>
      <c r="AN748" s="4"/>
      <c r="AO748" s="4"/>
      <c r="AP748" s="4"/>
      <c r="AQ748" s="4"/>
      <c r="AR748" s="4"/>
      <c r="AS748" s="4"/>
      <c r="AU748" s="4"/>
      <c r="AV748" s="4"/>
      <c r="AW748" s="4"/>
      <c r="AX748" s="4"/>
      <c r="AY748" s="4"/>
      <c r="AZ748" s="4"/>
      <c r="BA748" s="4"/>
      <c r="BB748" s="4"/>
      <c r="BC748" s="4"/>
      <c r="BD748" s="4"/>
      <c r="BE748" s="4"/>
    </row>
    <row r="749" spans="2:57" x14ac:dyDescent="0.3">
      <c r="B749" s="6" t="s">
        <v>772</v>
      </c>
      <c r="C749" s="6">
        <v>38</v>
      </c>
      <c r="D749" s="6" t="s">
        <v>17</v>
      </c>
      <c r="E749" s="6" t="s">
        <v>10</v>
      </c>
      <c r="F749" s="6" t="s">
        <v>13</v>
      </c>
      <c r="G749" s="19">
        <v>6861</v>
      </c>
      <c r="H749" s="11">
        <v>1</v>
      </c>
      <c r="I749" s="6">
        <v>4</v>
      </c>
      <c r="J749" s="6" t="s">
        <v>9</v>
      </c>
      <c r="K749" s="5" t="s">
        <v>14</v>
      </c>
      <c r="L749" s="3" t="str">
        <f>IF(Table1[[#This Row],[Monthly Income]]&lt;3000,"Low",IF(Table1[[#This Row],[Monthly Income]]&lt;7000,"Medium","High"))</f>
        <v>Medium</v>
      </c>
      <c r="AK749" s="6"/>
      <c r="AL749" s="6"/>
      <c r="AM749" s="6"/>
      <c r="AN749" s="6"/>
      <c r="AO749" s="6"/>
      <c r="AP749" s="6"/>
      <c r="AQ749" s="6"/>
      <c r="AR749" s="6"/>
      <c r="AS749" s="6"/>
      <c r="AU749" s="6"/>
      <c r="AV749" s="6"/>
      <c r="AW749" s="6"/>
      <c r="AX749" s="6"/>
      <c r="AY749" s="6"/>
      <c r="AZ749" s="6"/>
      <c r="BA749" s="6"/>
      <c r="BB749" s="6"/>
      <c r="BC749" s="6"/>
      <c r="BD749" s="6"/>
      <c r="BE749" s="6"/>
    </row>
    <row r="750" spans="2:57" x14ac:dyDescent="0.3">
      <c r="B750" s="4" t="s">
        <v>773</v>
      </c>
      <c r="C750" s="4">
        <v>26</v>
      </c>
      <c r="D750" s="4" t="s">
        <v>17</v>
      </c>
      <c r="E750" s="4" t="s">
        <v>10</v>
      </c>
      <c r="F750" s="4" t="s">
        <v>13</v>
      </c>
      <c r="G750" s="18">
        <v>4969</v>
      </c>
      <c r="H750" s="10">
        <v>2</v>
      </c>
      <c r="I750" s="4">
        <v>1</v>
      </c>
      <c r="J750" s="4" t="s">
        <v>14</v>
      </c>
      <c r="K750" s="3" t="s">
        <v>9</v>
      </c>
      <c r="L750" s="3" t="str">
        <f>IF(Table1[[#This Row],[Monthly Income]]&lt;3000,"Low",IF(Table1[[#This Row],[Monthly Income]]&lt;7000,"Medium","High"))</f>
        <v>Medium</v>
      </c>
      <c r="AK750" s="4"/>
      <c r="AL750" s="4"/>
      <c r="AM750" s="4"/>
      <c r="AN750" s="4"/>
      <c r="AO750" s="4"/>
      <c r="AP750" s="4"/>
      <c r="AQ750" s="4"/>
      <c r="AR750" s="4"/>
      <c r="AS750" s="4"/>
      <c r="AU750" s="4"/>
      <c r="AV750" s="4"/>
      <c r="AW750" s="4"/>
      <c r="AX750" s="4"/>
      <c r="AY750" s="4"/>
      <c r="AZ750" s="4"/>
      <c r="BA750" s="4"/>
      <c r="BB750" s="4"/>
      <c r="BC750" s="4"/>
      <c r="BD750" s="4"/>
      <c r="BE750" s="4"/>
    </row>
    <row r="751" spans="2:57" x14ac:dyDescent="0.3">
      <c r="B751" s="6" t="s">
        <v>774</v>
      </c>
      <c r="C751" s="6">
        <v>52</v>
      </c>
      <c r="D751" s="6" t="s">
        <v>12</v>
      </c>
      <c r="E751" s="6" t="s">
        <v>10</v>
      </c>
      <c r="F751" s="6" t="s">
        <v>39</v>
      </c>
      <c r="G751" s="19">
        <v>19845</v>
      </c>
      <c r="H751" s="11">
        <v>32</v>
      </c>
      <c r="I751" s="6">
        <v>4</v>
      </c>
      <c r="J751" s="6" t="s">
        <v>14</v>
      </c>
      <c r="K751" s="5" t="s">
        <v>9</v>
      </c>
      <c r="L751" s="3" t="str">
        <f>IF(Table1[[#This Row],[Monthly Income]]&lt;3000,"Low",IF(Table1[[#This Row],[Monthly Income]]&lt;7000,"Medium","High"))</f>
        <v>High</v>
      </c>
      <c r="AK751" s="6"/>
      <c r="AL751" s="6"/>
      <c r="AM751" s="6"/>
      <c r="AN751" s="6"/>
      <c r="AO751" s="6"/>
      <c r="AP751" s="6"/>
      <c r="AQ751" s="6"/>
      <c r="AR751" s="6"/>
      <c r="AS751" s="6"/>
      <c r="AU751" s="6"/>
      <c r="AV751" s="6"/>
      <c r="AW751" s="6"/>
      <c r="AX751" s="6"/>
      <c r="AY751" s="6"/>
      <c r="AZ751" s="6"/>
      <c r="BA751" s="6"/>
      <c r="BB751" s="6"/>
      <c r="BC751" s="6"/>
      <c r="BD751" s="6"/>
      <c r="BE751" s="6"/>
    </row>
    <row r="752" spans="2:57" x14ac:dyDescent="0.3">
      <c r="B752" s="4" t="s">
        <v>775</v>
      </c>
      <c r="C752" s="4">
        <v>44</v>
      </c>
      <c r="D752" s="4" t="s">
        <v>12</v>
      </c>
      <c r="E752" s="4" t="s">
        <v>10</v>
      </c>
      <c r="F752" s="4" t="s">
        <v>13</v>
      </c>
      <c r="G752" s="18">
        <v>13320</v>
      </c>
      <c r="H752" s="10">
        <v>12</v>
      </c>
      <c r="I752" s="4">
        <v>4</v>
      </c>
      <c r="J752" s="4" t="s">
        <v>9</v>
      </c>
      <c r="K752" s="3" t="s">
        <v>14</v>
      </c>
      <c r="L752" s="3" t="str">
        <f>IF(Table1[[#This Row],[Monthly Income]]&lt;3000,"Low",IF(Table1[[#This Row],[Monthly Income]]&lt;7000,"Medium","High"))</f>
        <v>High</v>
      </c>
      <c r="AK752" s="4"/>
      <c r="AL752" s="4"/>
      <c r="AM752" s="4"/>
      <c r="AN752" s="4"/>
      <c r="AO752" s="4"/>
      <c r="AP752" s="4"/>
      <c r="AQ752" s="4"/>
      <c r="AR752" s="4"/>
      <c r="AS752" s="4"/>
      <c r="AU752" s="4"/>
      <c r="AV752" s="4"/>
      <c r="AW752" s="4"/>
      <c r="AX752" s="4"/>
      <c r="AY752" s="4"/>
      <c r="AZ752" s="4"/>
      <c r="BA752" s="4"/>
      <c r="BB752" s="4"/>
      <c r="BC752" s="4"/>
      <c r="BD752" s="4"/>
      <c r="BE752" s="4"/>
    </row>
    <row r="753" spans="2:57" x14ac:dyDescent="0.3">
      <c r="B753" s="6" t="s">
        <v>776</v>
      </c>
      <c r="C753" s="6">
        <v>50</v>
      </c>
      <c r="D753" s="6" t="s">
        <v>12</v>
      </c>
      <c r="E753" s="6" t="s">
        <v>10</v>
      </c>
      <c r="F753" s="6" t="s">
        <v>13</v>
      </c>
      <c r="G753" s="19">
        <v>6347</v>
      </c>
      <c r="H753" s="11">
        <v>18</v>
      </c>
      <c r="I753" s="6">
        <v>3</v>
      </c>
      <c r="J753" s="6" t="s">
        <v>14</v>
      </c>
      <c r="K753" s="5" t="s">
        <v>14</v>
      </c>
      <c r="L753" s="3" t="str">
        <f>IF(Table1[[#This Row],[Monthly Income]]&lt;3000,"Low",IF(Table1[[#This Row],[Monthly Income]]&lt;7000,"Medium","High"))</f>
        <v>Medium</v>
      </c>
      <c r="AK753" s="6"/>
      <c r="AL753" s="6"/>
      <c r="AM753" s="6"/>
      <c r="AN753" s="6"/>
      <c r="AO753" s="6"/>
      <c r="AP753" s="6"/>
      <c r="AQ753" s="6"/>
      <c r="AR753" s="6"/>
      <c r="AS753" s="6"/>
      <c r="AU753" s="6"/>
      <c r="AV753" s="6"/>
      <c r="AW753" s="6"/>
      <c r="AX753" s="6"/>
      <c r="AY753" s="6"/>
      <c r="AZ753" s="6"/>
      <c r="BA753" s="6"/>
      <c r="BB753" s="6"/>
      <c r="BC753" s="6"/>
      <c r="BD753" s="6"/>
      <c r="BE753" s="6"/>
    </row>
    <row r="754" spans="2:57" x14ac:dyDescent="0.3">
      <c r="B754" s="4" t="s">
        <v>777</v>
      </c>
      <c r="C754" s="4">
        <v>36</v>
      </c>
      <c r="D754" s="4" t="s">
        <v>12</v>
      </c>
      <c r="E754" s="4" t="s">
        <v>15</v>
      </c>
      <c r="F754" s="4" t="s">
        <v>20</v>
      </c>
      <c r="G754" s="18">
        <v>2743</v>
      </c>
      <c r="H754" s="10">
        <v>17</v>
      </c>
      <c r="I754" s="4">
        <v>1</v>
      </c>
      <c r="J754" s="4" t="s">
        <v>14</v>
      </c>
      <c r="K754" s="3" t="s">
        <v>9</v>
      </c>
      <c r="L754" s="3" t="str">
        <f>IF(Table1[[#This Row],[Monthly Income]]&lt;3000,"Low",IF(Table1[[#This Row],[Monthly Income]]&lt;7000,"Medium","High"))</f>
        <v>Low</v>
      </c>
      <c r="AK754" s="4"/>
      <c r="AL754" s="4"/>
      <c r="AM754" s="4"/>
      <c r="AN754" s="4"/>
      <c r="AO754" s="4"/>
      <c r="AP754" s="4"/>
      <c r="AQ754" s="4"/>
      <c r="AR754" s="4"/>
      <c r="AS754" s="4"/>
      <c r="AU754" s="4"/>
      <c r="AV754" s="4"/>
      <c r="AW754" s="4"/>
      <c r="AX754" s="4"/>
      <c r="AY754" s="4"/>
      <c r="AZ754" s="4"/>
      <c r="BA754" s="4"/>
      <c r="BB754" s="4"/>
      <c r="BC754" s="4"/>
      <c r="BD754" s="4"/>
      <c r="BE754" s="4"/>
    </row>
    <row r="755" spans="2:57" x14ac:dyDescent="0.3">
      <c r="B755" s="6" t="s">
        <v>778</v>
      </c>
      <c r="C755" s="6">
        <v>39</v>
      </c>
      <c r="D755" s="6" t="s">
        <v>12</v>
      </c>
      <c r="E755" s="6" t="s">
        <v>15</v>
      </c>
      <c r="F755" s="6" t="s">
        <v>27</v>
      </c>
      <c r="G755" s="19">
        <v>10880</v>
      </c>
      <c r="H755" s="11">
        <v>21</v>
      </c>
      <c r="I755" s="6">
        <v>1</v>
      </c>
      <c r="J755" s="6" t="s">
        <v>9</v>
      </c>
      <c r="K755" s="5" t="s">
        <v>14</v>
      </c>
      <c r="L755" s="3" t="str">
        <f>IF(Table1[[#This Row],[Monthly Income]]&lt;3000,"Low",IF(Table1[[#This Row],[Monthly Income]]&lt;7000,"Medium","High"))</f>
        <v>High</v>
      </c>
      <c r="AK755" s="6"/>
      <c r="AL755" s="6"/>
      <c r="AM755" s="6"/>
      <c r="AN755" s="6"/>
      <c r="AO755" s="6"/>
      <c r="AP755" s="6"/>
      <c r="AQ755" s="6"/>
      <c r="AR755" s="6"/>
      <c r="AS755" s="6"/>
      <c r="AU755" s="6"/>
      <c r="AV755" s="6"/>
      <c r="AW755" s="6"/>
      <c r="AX755" s="6"/>
      <c r="AY755" s="6"/>
      <c r="AZ755" s="6"/>
      <c r="BA755" s="6"/>
      <c r="BB755" s="6"/>
      <c r="BC755" s="6"/>
      <c r="BD755" s="6"/>
      <c r="BE755" s="6"/>
    </row>
    <row r="756" spans="2:57" x14ac:dyDescent="0.3">
      <c r="B756" s="4" t="s">
        <v>779</v>
      </c>
      <c r="C756" s="4">
        <v>33</v>
      </c>
      <c r="D756" s="4" t="s">
        <v>12</v>
      </c>
      <c r="E756" s="4" t="s">
        <v>10</v>
      </c>
      <c r="F756" s="4" t="s">
        <v>43</v>
      </c>
      <c r="G756" s="18">
        <v>2342</v>
      </c>
      <c r="H756" s="10">
        <v>2</v>
      </c>
      <c r="I756" s="4">
        <v>4</v>
      </c>
      <c r="J756" s="4" t="s">
        <v>14</v>
      </c>
      <c r="K756" s="3" t="s">
        <v>14</v>
      </c>
      <c r="L756" s="3" t="str">
        <f>IF(Table1[[#This Row],[Monthly Income]]&lt;3000,"Low",IF(Table1[[#This Row],[Monthly Income]]&lt;7000,"Medium","High"))</f>
        <v>Low</v>
      </c>
      <c r="AK756" s="4"/>
      <c r="AL756" s="4"/>
      <c r="AM756" s="4"/>
      <c r="AN756" s="4"/>
      <c r="AO756" s="4"/>
      <c r="AP756" s="4"/>
      <c r="AQ756" s="4"/>
      <c r="AR756" s="4"/>
      <c r="AS756" s="4"/>
      <c r="AU756" s="4"/>
      <c r="AV756" s="4"/>
      <c r="AW756" s="4"/>
      <c r="AX756" s="4"/>
      <c r="AY756" s="4"/>
      <c r="AZ756" s="4"/>
      <c r="BA756" s="4"/>
      <c r="BB756" s="4"/>
      <c r="BC756" s="4"/>
      <c r="BD756" s="4"/>
      <c r="BE756" s="4"/>
    </row>
    <row r="757" spans="2:57" x14ac:dyDescent="0.3">
      <c r="B757" s="6" t="s">
        <v>780</v>
      </c>
      <c r="C757" s="6">
        <v>45</v>
      </c>
      <c r="D757" s="6" t="s">
        <v>12</v>
      </c>
      <c r="E757" s="6" t="s">
        <v>10</v>
      </c>
      <c r="F757" s="6" t="s">
        <v>39</v>
      </c>
      <c r="G757" s="19">
        <v>17650</v>
      </c>
      <c r="H757" s="11">
        <v>9</v>
      </c>
      <c r="I757" s="6">
        <v>4</v>
      </c>
      <c r="J757" s="6" t="s">
        <v>14</v>
      </c>
      <c r="K757" s="5" t="s">
        <v>14</v>
      </c>
      <c r="L757" s="3" t="str">
        <f>IF(Table1[[#This Row],[Monthly Income]]&lt;3000,"Low",IF(Table1[[#This Row],[Monthly Income]]&lt;7000,"Medium","High"))</f>
        <v>High</v>
      </c>
      <c r="AK757" s="6"/>
      <c r="AL757" s="6"/>
      <c r="AM757" s="6"/>
      <c r="AN757" s="6"/>
      <c r="AO757" s="6"/>
      <c r="AP757" s="6"/>
      <c r="AQ757" s="6"/>
      <c r="AR757" s="6"/>
      <c r="AS757" s="6"/>
      <c r="AU757" s="6"/>
      <c r="AV757" s="6"/>
      <c r="AW757" s="6"/>
      <c r="AX757" s="6"/>
      <c r="AY757" s="6"/>
      <c r="AZ757" s="6"/>
      <c r="BA757" s="6"/>
      <c r="BB757" s="6"/>
      <c r="BC757" s="6"/>
      <c r="BD757" s="6"/>
      <c r="BE757" s="6"/>
    </row>
    <row r="758" spans="2:57" x14ac:dyDescent="0.3">
      <c r="B758" s="4" t="s">
        <v>781</v>
      </c>
      <c r="C758" s="4">
        <v>32</v>
      </c>
      <c r="D758" s="4" t="s">
        <v>12</v>
      </c>
      <c r="E758" s="4" t="s">
        <v>15</v>
      </c>
      <c r="F758" s="4" t="s">
        <v>20</v>
      </c>
      <c r="G758" s="18">
        <v>4025</v>
      </c>
      <c r="H758" s="10">
        <v>8</v>
      </c>
      <c r="I758" s="4">
        <v>3</v>
      </c>
      <c r="J758" s="4" t="s">
        <v>14</v>
      </c>
      <c r="K758" s="3" t="s">
        <v>14</v>
      </c>
      <c r="L758" s="3" t="str">
        <f>IF(Table1[[#This Row],[Monthly Income]]&lt;3000,"Low",IF(Table1[[#This Row],[Monthly Income]]&lt;7000,"Medium","High"))</f>
        <v>Medium</v>
      </c>
      <c r="AK758" s="4"/>
      <c r="AL758" s="4"/>
      <c r="AM758" s="4"/>
      <c r="AN758" s="4"/>
      <c r="AO758" s="4"/>
      <c r="AP758" s="4"/>
      <c r="AQ758" s="4"/>
      <c r="AR758" s="4"/>
      <c r="AS758" s="4"/>
      <c r="AU758" s="4"/>
      <c r="AV758" s="4"/>
      <c r="AW758" s="4"/>
      <c r="AX758" s="4"/>
      <c r="AY758" s="4"/>
      <c r="AZ758" s="4"/>
      <c r="BA758" s="4"/>
      <c r="BB758" s="4"/>
      <c r="BC758" s="4"/>
      <c r="BD758" s="4"/>
      <c r="BE758" s="4"/>
    </row>
    <row r="759" spans="2:57" x14ac:dyDescent="0.3">
      <c r="B759" s="6" t="s">
        <v>782</v>
      </c>
      <c r="C759" s="6">
        <v>34</v>
      </c>
      <c r="D759" s="6" t="s">
        <v>17</v>
      </c>
      <c r="E759" s="6" t="s">
        <v>10</v>
      </c>
      <c r="F759" s="6" t="s">
        <v>13</v>
      </c>
      <c r="G759" s="19">
        <v>9725</v>
      </c>
      <c r="H759" s="11">
        <v>15</v>
      </c>
      <c r="I759" s="6">
        <v>4</v>
      </c>
      <c r="J759" s="6" t="s">
        <v>14</v>
      </c>
      <c r="K759" s="5" t="s">
        <v>14</v>
      </c>
      <c r="L759" s="3" t="str">
        <f>IF(Table1[[#This Row],[Monthly Income]]&lt;3000,"Low",IF(Table1[[#This Row],[Monthly Income]]&lt;7000,"Medium","High"))</f>
        <v>High</v>
      </c>
      <c r="AK759" s="6"/>
      <c r="AL759" s="6"/>
      <c r="AM759" s="6"/>
      <c r="AN759" s="6"/>
      <c r="AO759" s="6"/>
      <c r="AP759" s="6"/>
      <c r="AQ759" s="6"/>
      <c r="AR759" s="6"/>
      <c r="AS759" s="6"/>
      <c r="AU759" s="6"/>
      <c r="AV759" s="6"/>
      <c r="AW759" s="6"/>
      <c r="AX759" s="6"/>
      <c r="AY759" s="6"/>
      <c r="AZ759" s="6"/>
      <c r="BA759" s="6"/>
      <c r="BB759" s="6"/>
      <c r="BC759" s="6"/>
      <c r="BD759" s="6"/>
      <c r="BE759" s="6"/>
    </row>
    <row r="760" spans="2:57" x14ac:dyDescent="0.3">
      <c r="B760" s="4" t="s">
        <v>783</v>
      </c>
      <c r="C760" s="4">
        <v>59</v>
      </c>
      <c r="D760" s="4" t="s">
        <v>17</v>
      </c>
      <c r="E760" s="4" t="s">
        <v>10</v>
      </c>
      <c r="F760" s="4" t="s">
        <v>39</v>
      </c>
      <c r="G760" s="18">
        <v>11904</v>
      </c>
      <c r="H760" s="10">
        <v>6</v>
      </c>
      <c r="I760" s="4">
        <v>4</v>
      </c>
      <c r="J760" s="4" t="s">
        <v>9</v>
      </c>
      <c r="K760" s="3" t="s">
        <v>14</v>
      </c>
      <c r="L760" s="3" t="str">
        <f>IF(Table1[[#This Row],[Monthly Income]]&lt;3000,"Low",IF(Table1[[#This Row],[Monthly Income]]&lt;7000,"Medium","High"))</f>
        <v>High</v>
      </c>
      <c r="AK760" s="4"/>
      <c r="AL760" s="4"/>
      <c r="AM760" s="4"/>
      <c r="AN760" s="4"/>
      <c r="AO760" s="4"/>
      <c r="AP760" s="4"/>
      <c r="AQ760" s="4"/>
      <c r="AR760" s="4"/>
      <c r="AS760" s="4"/>
      <c r="AU760" s="4"/>
      <c r="AV760" s="4"/>
      <c r="AW760" s="4"/>
      <c r="AX760" s="4"/>
      <c r="AY760" s="4"/>
      <c r="AZ760" s="4"/>
      <c r="BA760" s="4"/>
      <c r="BB760" s="4"/>
      <c r="BC760" s="4"/>
      <c r="BD760" s="4"/>
      <c r="BE760" s="4"/>
    </row>
    <row r="761" spans="2:57" x14ac:dyDescent="0.3">
      <c r="B761" s="6" t="s">
        <v>784</v>
      </c>
      <c r="C761" s="6">
        <v>45</v>
      </c>
      <c r="D761" s="6" t="s">
        <v>17</v>
      </c>
      <c r="E761" s="6" t="s">
        <v>102</v>
      </c>
      <c r="F761" s="6" t="s">
        <v>104</v>
      </c>
      <c r="G761" s="19">
        <v>2177</v>
      </c>
      <c r="H761" s="11">
        <v>6</v>
      </c>
      <c r="I761" s="6">
        <v>2</v>
      </c>
      <c r="J761" s="6" t="s">
        <v>14</v>
      </c>
      <c r="K761" s="5" t="s">
        <v>14</v>
      </c>
      <c r="L761" s="3" t="str">
        <f>IF(Table1[[#This Row],[Monthly Income]]&lt;3000,"Low",IF(Table1[[#This Row],[Monthly Income]]&lt;7000,"Medium","High"))</f>
        <v>Low</v>
      </c>
      <c r="AK761" s="6"/>
      <c r="AL761" s="6"/>
      <c r="AM761" s="6"/>
      <c r="AN761" s="6"/>
      <c r="AO761" s="6"/>
      <c r="AP761" s="6"/>
      <c r="AQ761" s="6"/>
      <c r="AR761" s="6"/>
      <c r="AS761" s="6"/>
      <c r="AU761" s="6"/>
      <c r="AV761" s="6"/>
      <c r="AW761" s="6"/>
      <c r="AX761" s="6"/>
      <c r="AY761" s="6"/>
      <c r="AZ761" s="6"/>
      <c r="BA761" s="6"/>
      <c r="BB761" s="6"/>
      <c r="BC761" s="6"/>
      <c r="BD761" s="6"/>
      <c r="BE761" s="6"/>
    </row>
    <row r="762" spans="2:57" x14ac:dyDescent="0.3">
      <c r="B762" s="4" t="s">
        <v>785</v>
      </c>
      <c r="C762" s="4">
        <v>53</v>
      </c>
      <c r="D762" s="4" t="s">
        <v>12</v>
      </c>
      <c r="E762" s="4" t="s">
        <v>10</v>
      </c>
      <c r="F762" s="4" t="s">
        <v>13</v>
      </c>
      <c r="G762" s="18">
        <v>7525</v>
      </c>
      <c r="H762" s="10">
        <v>15</v>
      </c>
      <c r="I762" s="4">
        <v>2</v>
      </c>
      <c r="J762" s="4" t="s">
        <v>14</v>
      </c>
      <c r="K762" s="3" t="s">
        <v>14</v>
      </c>
      <c r="L762" s="3" t="str">
        <f>IF(Table1[[#This Row],[Monthly Income]]&lt;3000,"Low",IF(Table1[[#This Row],[Monthly Income]]&lt;7000,"Medium","High"))</f>
        <v>High</v>
      </c>
      <c r="AK762" s="4"/>
      <c r="AL762" s="4"/>
      <c r="AM762" s="4"/>
      <c r="AN762" s="4"/>
      <c r="AO762" s="4"/>
      <c r="AP762" s="4"/>
      <c r="AQ762" s="4"/>
      <c r="AR762" s="4"/>
      <c r="AS762" s="4"/>
      <c r="AU762" s="4"/>
      <c r="AV762" s="4"/>
      <c r="AW762" s="4"/>
      <c r="AX762" s="4"/>
      <c r="AY762" s="4"/>
      <c r="AZ762" s="4"/>
      <c r="BA762" s="4"/>
      <c r="BB762" s="4"/>
      <c r="BC762" s="4"/>
      <c r="BD762" s="4"/>
      <c r="BE762" s="4"/>
    </row>
    <row r="763" spans="2:57" x14ac:dyDescent="0.3">
      <c r="B763" s="6" t="s">
        <v>786</v>
      </c>
      <c r="C763" s="6">
        <v>36</v>
      </c>
      <c r="D763" s="6" t="s">
        <v>17</v>
      </c>
      <c r="E763" s="6" t="s">
        <v>15</v>
      </c>
      <c r="F763" s="6" t="s">
        <v>20</v>
      </c>
      <c r="G763" s="19">
        <v>4834</v>
      </c>
      <c r="H763" s="11">
        <v>1</v>
      </c>
      <c r="I763" s="6">
        <v>3</v>
      </c>
      <c r="J763" s="6" t="s">
        <v>14</v>
      </c>
      <c r="K763" s="5" t="s">
        <v>9</v>
      </c>
      <c r="L763" s="3" t="str">
        <f>IF(Table1[[#This Row],[Monthly Income]]&lt;3000,"Low",IF(Table1[[#This Row],[Monthly Income]]&lt;7000,"Medium","High"))</f>
        <v>Medium</v>
      </c>
      <c r="AK763" s="6"/>
      <c r="AL763" s="6"/>
      <c r="AM763" s="6"/>
      <c r="AN763" s="6"/>
      <c r="AO763" s="6"/>
      <c r="AP763" s="6"/>
      <c r="AQ763" s="6"/>
      <c r="AR763" s="6"/>
      <c r="AS763" s="6"/>
      <c r="AU763" s="6"/>
      <c r="AV763" s="6"/>
      <c r="AW763" s="6"/>
      <c r="AX763" s="6"/>
      <c r="AY763" s="6"/>
      <c r="AZ763" s="6"/>
      <c r="BA763" s="6"/>
      <c r="BB763" s="6"/>
      <c r="BC763" s="6"/>
      <c r="BD763" s="6"/>
      <c r="BE763" s="6"/>
    </row>
    <row r="764" spans="2:57" x14ac:dyDescent="0.3">
      <c r="B764" s="4" t="s">
        <v>787</v>
      </c>
      <c r="C764" s="4">
        <v>26</v>
      </c>
      <c r="D764" s="4" t="s">
        <v>17</v>
      </c>
      <c r="E764" s="4" t="s">
        <v>15</v>
      </c>
      <c r="F764" s="4" t="s">
        <v>18</v>
      </c>
      <c r="G764" s="18">
        <v>2042</v>
      </c>
      <c r="H764" s="10">
        <v>3</v>
      </c>
      <c r="I764" s="4">
        <v>1</v>
      </c>
      <c r="J764" s="4" t="s">
        <v>9</v>
      </c>
      <c r="K764" s="3" t="s">
        <v>9</v>
      </c>
      <c r="L764" s="3" t="str">
        <f>IF(Table1[[#This Row],[Monthly Income]]&lt;3000,"Low",IF(Table1[[#This Row],[Monthly Income]]&lt;7000,"Medium","High"))</f>
        <v>Low</v>
      </c>
      <c r="AK764" s="4"/>
      <c r="AL764" s="4"/>
      <c r="AM764" s="4"/>
      <c r="AN764" s="4"/>
      <c r="AO764" s="4"/>
      <c r="AP764" s="4"/>
      <c r="AQ764" s="4"/>
      <c r="AR764" s="4"/>
      <c r="AS764" s="4"/>
      <c r="AU764" s="4"/>
      <c r="AV764" s="4"/>
      <c r="AW764" s="4"/>
      <c r="AX764" s="4"/>
      <c r="AY764" s="4"/>
      <c r="AZ764" s="4"/>
      <c r="BA764" s="4"/>
      <c r="BB764" s="4"/>
      <c r="BC764" s="4"/>
      <c r="BD764" s="4"/>
      <c r="BE764" s="4"/>
    </row>
    <row r="765" spans="2:57" x14ac:dyDescent="0.3">
      <c r="B765" s="6" t="s">
        <v>788</v>
      </c>
      <c r="C765" s="6">
        <v>34</v>
      </c>
      <c r="D765" s="6" t="s">
        <v>12</v>
      </c>
      <c r="E765" s="6" t="s">
        <v>10</v>
      </c>
      <c r="F765" s="6" t="s">
        <v>43</v>
      </c>
      <c r="G765" s="19">
        <v>2220</v>
      </c>
      <c r="H765" s="11">
        <v>1</v>
      </c>
      <c r="I765" s="6">
        <v>3</v>
      </c>
      <c r="J765" s="6" t="s">
        <v>9</v>
      </c>
      <c r="K765" s="5" t="s">
        <v>14</v>
      </c>
      <c r="L765" s="3" t="str">
        <f>IF(Table1[[#This Row],[Monthly Income]]&lt;3000,"Low",IF(Table1[[#This Row],[Monthly Income]]&lt;7000,"Medium","High"))</f>
        <v>Low</v>
      </c>
      <c r="AK765" s="6"/>
      <c r="AL765" s="6"/>
      <c r="AM765" s="6"/>
      <c r="AN765" s="6"/>
      <c r="AO765" s="6"/>
      <c r="AP765" s="6"/>
      <c r="AQ765" s="6"/>
      <c r="AR765" s="6"/>
      <c r="AS765" s="6"/>
      <c r="AU765" s="6"/>
      <c r="AV765" s="6"/>
      <c r="AW765" s="6"/>
      <c r="AX765" s="6"/>
      <c r="AY765" s="6"/>
      <c r="AZ765" s="6"/>
      <c r="BA765" s="6"/>
      <c r="BB765" s="6"/>
      <c r="BC765" s="6"/>
      <c r="BD765" s="6"/>
      <c r="BE765" s="6"/>
    </row>
    <row r="766" spans="2:57" x14ac:dyDescent="0.3">
      <c r="B766" s="4" t="s">
        <v>789</v>
      </c>
      <c r="C766" s="4">
        <v>28</v>
      </c>
      <c r="D766" s="4" t="s">
        <v>17</v>
      </c>
      <c r="E766" s="4" t="s">
        <v>10</v>
      </c>
      <c r="F766" s="4" t="s">
        <v>43</v>
      </c>
      <c r="G766" s="18">
        <v>1052</v>
      </c>
      <c r="H766" s="10">
        <v>1</v>
      </c>
      <c r="I766" s="4">
        <v>2</v>
      </c>
      <c r="J766" s="4" t="s">
        <v>14</v>
      </c>
      <c r="K766" s="3" t="s">
        <v>14</v>
      </c>
      <c r="L766" s="3" t="str">
        <f>IF(Table1[[#This Row],[Monthly Income]]&lt;3000,"Low",IF(Table1[[#This Row],[Monthly Income]]&lt;7000,"Medium","High"))</f>
        <v>Low</v>
      </c>
      <c r="AK766" s="4"/>
      <c r="AL766" s="4"/>
      <c r="AM766" s="4"/>
      <c r="AN766" s="4"/>
      <c r="AO766" s="4"/>
      <c r="AP766" s="4"/>
      <c r="AQ766" s="4"/>
      <c r="AR766" s="4"/>
      <c r="AS766" s="4"/>
      <c r="AU766" s="4"/>
      <c r="AV766" s="4"/>
      <c r="AW766" s="4"/>
      <c r="AX766" s="4"/>
      <c r="AY766" s="4"/>
      <c r="AZ766" s="4"/>
      <c r="BA766" s="4"/>
      <c r="BB766" s="4"/>
      <c r="BC766" s="4"/>
      <c r="BD766" s="4"/>
      <c r="BE766" s="4"/>
    </row>
    <row r="767" spans="2:57" x14ac:dyDescent="0.3">
      <c r="B767" s="6" t="s">
        <v>790</v>
      </c>
      <c r="C767" s="6">
        <v>38</v>
      </c>
      <c r="D767" s="6" t="s">
        <v>17</v>
      </c>
      <c r="E767" s="6" t="s">
        <v>15</v>
      </c>
      <c r="F767" s="6" t="s">
        <v>18</v>
      </c>
      <c r="G767" s="19">
        <v>2821</v>
      </c>
      <c r="H767" s="11">
        <v>2</v>
      </c>
      <c r="I767" s="6">
        <v>3</v>
      </c>
      <c r="J767" s="6" t="s">
        <v>14</v>
      </c>
      <c r="K767" s="5" t="s">
        <v>14</v>
      </c>
      <c r="L767" s="3" t="str">
        <f>IF(Table1[[#This Row],[Monthly Income]]&lt;3000,"Low",IF(Table1[[#This Row],[Monthly Income]]&lt;7000,"Medium","High"))</f>
        <v>Low</v>
      </c>
      <c r="AK767" s="6"/>
      <c r="AL767" s="6"/>
      <c r="AM767" s="6"/>
      <c r="AN767" s="6"/>
      <c r="AO767" s="6"/>
      <c r="AP767" s="6"/>
      <c r="AQ767" s="6"/>
      <c r="AR767" s="6"/>
      <c r="AS767" s="6"/>
      <c r="AU767" s="6"/>
      <c r="AV767" s="6"/>
      <c r="AW767" s="6"/>
      <c r="AX767" s="6"/>
      <c r="AY767" s="6"/>
      <c r="AZ767" s="6"/>
      <c r="BA767" s="6"/>
      <c r="BB767" s="6"/>
      <c r="BC767" s="6"/>
      <c r="BD767" s="6"/>
      <c r="BE767" s="6"/>
    </row>
    <row r="768" spans="2:57" x14ac:dyDescent="0.3">
      <c r="B768" s="4" t="s">
        <v>791</v>
      </c>
      <c r="C768" s="4">
        <v>50</v>
      </c>
      <c r="D768" s="4" t="s">
        <v>17</v>
      </c>
      <c r="E768" s="4" t="s">
        <v>15</v>
      </c>
      <c r="F768" s="4" t="s">
        <v>45</v>
      </c>
      <c r="G768" s="18">
        <v>19237</v>
      </c>
      <c r="H768" s="10">
        <v>8</v>
      </c>
      <c r="I768" s="4">
        <v>3</v>
      </c>
      <c r="J768" s="4" t="s">
        <v>9</v>
      </c>
      <c r="K768" s="3" t="s">
        <v>14</v>
      </c>
      <c r="L768" s="3" t="str">
        <f>IF(Table1[[#This Row],[Monthly Income]]&lt;3000,"Low",IF(Table1[[#This Row],[Monthly Income]]&lt;7000,"Medium","High"))</f>
        <v>High</v>
      </c>
      <c r="AK768" s="4"/>
      <c r="AL768" s="4"/>
      <c r="AM768" s="4"/>
      <c r="AN768" s="4"/>
      <c r="AO768" s="4"/>
      <c r="AP768" s="4"/>
      <c r="AQ768" s="4"/>
      <c r="AR768" s="4"/>
      <c r="AS768" s="4"/>
      <c r="AU768" s="4"/>
      <c r="AV768" s="4"/>
      <c r="AW768" s="4"/>
      <c r="AX768" s="4"/>
      <c r="AY768" s="4"/>
      <c r="AZ768" s="4"/>
      <c r="BA768" s="4"/>
      <c r="BB768" s="4"/>
      <c r="BC768" s="4"/>
      <c r="BD768" s="4"/>
      <c r="BE768" s="4"/>
    </row>
    <row r="769" spans="2:57" x14ac:dyDescent="0.3">
      <c r="B769" s="6" t="s">
        <v>792</v>
      </c>
      <c r="C769" s="6">
        <v>37</v>
      </c>
      <c r="D769" s="6" t="s">
        <v>12</v>
      </c>
      <c r="E769" s="6" t="s">
        <v>15</v>
      </c>
      <c r="F769" s="6" t="s">
        <v>29</v>
      </c>
      <c r="G769" s="19">
        <v>4107</v>
      </c>
      <c r="H769" s="11">
        <v>4</v>
      </c>
      <c r="I769" s="6">
        <v>2</v>
      </c>
      <c r="J769" s="6" t="s">
        <v>14</v>
      </c>
      <c r="K769" s="5" t="s">
        <v>14</v>
      </c>
      <c r="L769" s="3" t="str">
        <f>IF(Table1[[#This Row],[Monthly Income]]&lt;3000,"Low",IF(Table1[[#This Row],[Monthly Income]]&lt;7000,"Medium","High"))</f>
        <v>Medium</v>
      </c>
      <c r="AK769" s="6"/>
      <c r="AL769" s="6"/>
      <c r="AM769" s="6"/>
      <c r="AN769" s="6"/>
      <c r="AO769" s="6"/>
      <c r="AP769" s="6"/>
      <c r="AQ769" s="6"/>
      <c r="AR769" s="6"/>
      <c r="AS769" s="6"/>
      <c r="AU769" s="6"/>
      <c r="AV769" s="6"/>
      <c r="AW769" s="6"/>
      <c r="AX769" s="6"/>
      <c r="AY769" s="6"/>
      <c r="AZ769" s="6"/>
      <c r="BA769" s="6"/>
      <c r="BB769" s="6"/>
      <c r="BC769" s="6"/>
      <c r="BD769" s="6"/>
      <c r="BE769" s="6"/>
    </row>
    <row r="770" spans="2:57" x14ac:dyDescent="0.3">
      <c r="B770" s="4" t="s">
        <v>793</v>
      </c>
      <c r="C770" s="4">
        <v>40</v>
      </c>
      <c r="D770" s="4" t="s">
        <v>17</v>
      </c>
      <c r="E770" s="4" t="s">
        <v>10</v>
      </c>
      <c r="F770" s="4" t="s">
        <v>13</v>
      </c>
      <c r="G770" s="18">
        <v>8396</v>
      </c>
      <c r="H770" s="10">
        <v>7</v>
      </c>
      <c r="I770" s="4">
        <v>1</v>
      </c>
      <c r="J770" s="4" t="s">
        <v>14</v>
      </c>
      <c r="K770" s="3" t="s">
        <v>14</v>
      </c>
      <c r="L770" s="3" t="str">
        <f>IF(Table1[[#This Row],[Monthly Income]]&lt;3000,"Low",IF(Table1[[#This Row],[Monthly Income]]&lt;7000,"Medium","High"))</f>
        <v>High</v>
      </c>
      <c r="AK770" s="4"/>
      <c r="AL770" s="4"/>
      <c r="AM770" s="4"/>
      <c r="AN770" s="4"/>
      <c r="AO770" s="4"/>
      <c r="AP770" s="4"/>
      <c r="AQ770" s="4"/>
      <c r="AR770" s="4"/>
      <c r="AS770" s="4"/>
      <c r="AU770" s="4"/>
      <c r="AV770" s="4"/>
      <c r="AW770" s="4"/>
      <c r="AX770" s="4"/>
      <c r="AY770" s="4"/>
      <c r="AZ770" s="4"/>
      <c r="BA770" s="4"/>
      <c r="BB770" s="4"/>
      <c r="BC770" s="4"/>
      <c r="BD770" s="4"/>
      <c r="BE770" s="4"/>
    </row>
    <row r="771" spans="2:57" x14ac:dyDescent="0.3">
      <c r="B771" s="6" t="s">
        <v>794</v>
      </c>
      <c r="C771" s="6">
        <v>26</v>
      </c>
      <c r="D771" s="6" t="s">
        <v>12</v>
      </c>
      <c r="E771" s="6" t="s">
        <v>15</v>
      </c>
      <c r="F771" s="6" t="s">
        <v>18</v>
      </c>
      <c r="G771" s="19">
        <v>2007</v>
      </c>
      <c r="H771" s="11">
        <v>5</v>
      </c>
      <c r="I771" s="6">
        <v>3</v>
      </c>
      <c r="J771" s="6" t="s">
        <v>14</v>
      </c>
      <c r="K771" s="5" t="s">
        <v>14</v>
      </c>
      <c r="L771" s="3" t="str">
        <f>IF(Table1[[#This Row],[Monthly Income]]&lt;3000,"Low",IF(Table1[[#This Row],[Monthly Income]]&lt;7000,"Medium","High"))</f>
        <v>Low</v>
      </c>
      <c r="AK771" s="6"/>
      <c r="AL771" s="6"/>
      <c r="AM771" s="6"/>
      <c r="AN771" s="6"/>
      <c r="AO771" s="6"/>
      <c r="AP771" s="6"/>
      <c r="AQ771" s="6"/>
      <c r="AR771" s="6"/>
      <c r="AS771" s="6"/>
      <c r="AU771" s="6"/>
      <c r="AV771" s="6"/>
      <c r="AW771" s="6"/>
      <c r="AX771" s="6"/>
      <c r="AY771" s="6"/>
      <c r="AZ771" s="6"/>
      <c r="BA771" s="6"/>
      <c r="BB771" s="6"/>
      <c r="BC771" s="6"/>
      <c r="BD771" s="6"/>
      <c r="BE771" s="6"/>
    </row>
    <row r="772" spans="2:57" x14ac:dyDescent="0.3">
      <c r="B772" s="4" t="s">
        <v>795</v>
      </c>
      <c r="C772" s="4">
        <v>46</v>
      </c>
      <c r="D772" s="4" t="s">
        <v>17</v>
      </c>
      <c r="E772" s="4" t="s">
        <v>15</v>
      </c>
      <c r="F772" s="4" t="s">
        <v>45</v>
      </c>
      <c r="G772" s="18">
        <v>19627</v>
      </c>
      <c r="H772" s="10">
        <v>2</v>
      </c>
      <c r="I772" s="4">
        <v>4</v>
      </c>
      <c r="J772" s="4" t="s">
        <v>14</v>
      </c>
      <c r="K772" s="3" t="s">
        <v>14</v>
      </c>
      <c r="L772" s="3" t="str">
        <f>IF(Table1[[#This Row],[Monthly Income]]&lt;3000,"Low",IF(Table1[[#This Row],[Monthly Income]]&lt;7000,"Medium","High"))</f>
        <v>High</v>
      </c>
      <c r="AK772" s="4"/>
      <c r="AL772" s="4"/>
      <c r="AM772" s="4"/>
      <c r="AN772" s="4"/>
      <c r="AO772" s="4"/>
      <c r="AP772" s="4"/>
      <c r="AQ772" s="4"/>
      <c r="AR772" s="4"/>
      <c r="AS772" s="4"/>
      <c r="AU772" s="4"/>
      <c r="AV772" s="4"/>
      <c r="AW772" s="4"/>
      <c r="AX772" s="4"/>
      <c r="AY772" s="4"/>
      <c r="AZ772" s="4"/>
      <c r="BA772" s="4"/>
      <c r="BB772" s="4"/>
      <c r="BC772" s="4"/>
      <c r="BD772" s="4"/>
      <c r="BE772" s="4"/>
    </row>
    <row r="773" spans="2:57" x14ac:dyDescent="0.3">
      <c r="B773" s="6" t="s">
        <v>796</v>
      </c>
      <c r="C773" s="6">
        <v>54</v>
      </c>
      <c r="D773" s="6" t="s">
        <v>12</v>
      </c>
      <c r="E773" s="6" t="s">
        <v>10</v>
      </c>
      <c r="F773" s="6" t="s">
        <v>13</v>
      </c>
      <c r="G773" s="19">
        <v>10686</v>
      </c>
      <c r="H773" s="11">
        <v>9</v>
      </c>
      <c r="I773" s="6">
        <v>3</v>
      </c>
      <c r="J773" s="6" t="s">
        <v>14</v>
      </c>
      <c r="K773" s="5" t="s">
        <v>14</v>
      </c>
      <c r="L773" s="3" t="str">
        <f>IF(Table1[[#This Row],[Monthly Income]]&lt;3000,"Low",IF(Table1[[#This Row],[Monthly Income]]&lt;7000,"Medium","High"))</f>
        <v>High</v>
      </c>
      <c r="AK773" s="6"/>
      <c r="AL773" s="6"/>
      <c r="AM773" s="6"/>
      <c r="AN773" s="6"/>
      <c r="AO773" s="6"/>
      <c r="AP773" s="6"/>
      <c r="AQ773" s="6"/>
      <c r="AR773" s="6"/>
      <c r="AS773" s="6"/>
      <c r="AU773" s="6"/>
      <c r="AV773" s="6"/>
      <c r="AW773" s="6"/>
      <c r="AX773" s="6"/>
      <c r="AY773" s="6"/>
      <c r="AZ773" s="6"/>
      <c r="BA773" s="6"/>
      <c r="BB773" s="6"/>
      <c r="BC773" s="6"/>
      <c r="BD773" s="6"/>
      <c r="BE773" s="6"/>
    </row>
    <row r="774" spans="2:57" x14ac:dyDescent="0.3">
      <c r="B774" s="4" t="s">
        <v>797</v>
      </c>
      <c r="C774" s="4">
        <v>56</v>
      </c>
      <c r="D774" s="4" t="s">
        <v>12</v>
      </c>
      <c r="E774" s="4" t="s">
        <v>15</v>
      </c>
      <c r="F774" s="4" t="s">
        <v>18</v>
      </c>
      <c r="G774" s="18">
        <v>2942</v>
      </c>
      <c r="H774" s="10">
        <v>5</v>
      </c>
      <c r="I774" s="4">
        <v>3</v>
      </c>
      <c r="J774" s="4" t="s">
        <v>14</v>
      </c>
      <c r="K774" s="3" t="s">
        <v>14</v>
      </c>
      <c r="L774" s="3" t="str">
        <f>IF(Table1[[#This Row],[Monthly Income]]&lt;3000,"Low",IF(Table1[[#This Row],[Monthly Income]]&lt;7000,"Medium","High"))</f>
        <v>Low</v>
      </c>
      <c r="AK774" s="4"/>
      <c r="AL774" s="4"/>
      <c r="AM774" s="4"/>
      <c r="AN774" s="4"/>
      <c r="AO774" s="4"/>
      <c r="AP774" s="4"/>
      <c r="AQ774" s="4"/>
      <c r="AR774" s="4"/>
      <c r="AS774" s="4"/>
      <c r="AU774" s="4"/>
      <c r="AV774" s="4"/>
      <c r="AW774" s="4"/>
      <c r="AX774" s="4"/>
      <c r="AY774" s="4"/>
      <c r="AZ774" s="4"/>
      <c r="BA774" s="4"/>
      <c r="BB774" s="4"/>
      <c r="BC774" s="4"/>
      <c r="BD774" s="4"/>
      <c r="BE774" s="4"/>
    </row>
    <row r="775" spans="2:57" x14ac:dyDescent="0.3">
      <c r="B775" s="6" t="s">
        <v>798</v>
      </c>
      <c r="C775" s="6">
        <v>36</v>
      </c>
      <c r="D775" s="6" t="s">
        <v>12</v>
      </c>
      <c r="E775" s="6" t="s">
        <v>15</v>
      </c>
      <c r="F775" s="6" t="s">
        <v>27</v>
      </c>
      <c r="G775" s="19">
        <v>8858</v>
      </c>
      <c r="H775" s="11">
        <v>14</v>
      </c>
      <c r="I775" s="6">
        <v>4</v>
      </c>
      <c r="J775" s="6" t="s">
        <v>14</v>
      </c>
      <c r="K775" s="5" t="s">
        <v>14</v>
      </c>
      <c r="L775" s="3" t="str">
        <f>IF(Table1[[#This Row],[Monthly Income]]&lt;3000,"Low",IF(Table1[[#This Row],[Monthly Income]]&lt;7000,"Medium","High"))</f>
        <v>High</v>
      </c>
      <c r="AK775" s="6"/>
      <c r="AL775" s="6"/>
      <c r="AM775" s="6"/>
      <c r="AN775" s="6"/>
      <c r="AO775" s="6"/>
      <c r="AP775" s="6"/>
      <c r="AQ775" s="6"/>
      <c r="AR775" s="6"/>
      <c r="AS775" s="6"/>
      <c r="AU775" s="6"/>
      <c r="AV775" s="6"/>
      <c r="AW775" s="6"/>
      <c r="AX775" s="6"/>
      <c r="AY775" s="6"/>
      <c r="AZ775" s="6"/>
      <c r="BA775" s="6"/>
      <c r="BB775" s="6"/>
      <c r="BC775" s="6"/>
      <c r="BD775" s="6"/>
      <c r="BE775" s="6"/>
    </row>
    <row r="776" spans="2:57" x14ac:dyDescent="0.3">
      <c r="B776" s="4" t="s">
        <v>799</v>
      </c>
      <c r="C776" s="4">
        <v>55</v>
      </c>
      <c r="D776" s="4" t="s">
        <v>17</v>
      </c>
      <c r="E776" s="4" t="s">
        <v>15</v>
      </c>
      <c r="F776" s="4" t="s">
        <v>39</v>
      </c>
      <c r="G776" s="18">
        <v>16756</v>
      </c>
      <c r="H776" s="10">
        <v>9</v>
      </c>
      <c r="I776" s="4">
        <v>1</v>
      </c>
      <c r="J776" s="4" t="s">
        <v>14</v>
      </c>
      <c r="K776" s="3" t="s">
        <v>14</v>
      </c>
      <c r="L776" s="3" t="str">
        <f>IF(Table1[[#This Row],[Monthly Income]]&lt;3000,"Low",IF(Table1[[#This Row],[Monthly Income]]&lt;7000,"Medium","High"))</f>
        <v>High</v>
      </c>
      <c r="AK776" s="4"/>
      <c r="AL776" s="4"/>
      <c r="AM776" s="4"/>
      <c r="AN776" s="4"/>
      <c r="AO776" s="4"/>
      <c r="AP776" s="4"/>
      <c r="AQ776" s="4"/>
      <c r="AR776" s="4"/>
      <c r="AS776" s="4"/>
      <c r="AU776" s="4"/>
      <c r="AV776" s="4"/>
      <c r="AW776" s="4"/>
      <c r="AX776" s="4"/>
      <c r="AY776" s="4"/>
      <c r="AZ776" s="4"/>
      <c r="BA776" s="4"/>
      <c r="BB776" s="4"/>
      <c r="BC776" s="4"/>
      <c r="BD776" s="4"/>
      <c r="BE776" s="4"/>
    </row>
    <row r="777" spans="2:57" x14ac:dyDescent="0.3">
      <c r="B777" s="6" t="s">
        <v>800</v>
      </c>
      <c r="C777" s="6">
        <v>43</v>
      </c>
      <c r="D777" s="6" t="s">
        <v>17</v>
      </c>
      <c r="E777" s="6" t="s">
        <v>10</v>
      </c>
      <c r="F777" s="6" t="s">
        <v>13</v>
      </c>
      <c r="G777" s="19">
        <v>10798</v>
      </c>
      <c r="H777" s="11">
        <v>1</v>
      </c>
      <c r="I777" s="6">
        <v>4</v>
      </c>
      <c r="J777" s="6" t="s">
        <v>14</v>
      </c>
      <c r="K777" s="5" t="s">
        <v>14</v>
      </c>
      <c r="L777" s="3" t="str">
        <f>IF(Table1[[#This Row],[Monthly Income]]&lt;3000,"Low",IF(Table1[[#This Row],[Monthly Income]]&lt;7000,"Medium","High"))</f>
        <v>High</v>
      </c>
      <c r="AK777" s="6"/>
      <c r="AL777" s="6"/>
      <c r="AM777" s="6"/>
      <c r="AN777" s="6"/>
      <c r="AO777" s="6"/>
      <c r="AP777" s="6"/>
      <c r="AQ777" s="6"/>
      <c r="AR777" s="6"/>
      <c r="AS777" s="6"/>
      <c r="AU777" s="6"/>
      <c r="AV777" s="6"/>
      <c r="AW777" s="6"/>
      <c r="AX777" s="6"/>
      <c r="AY777" s="6"/>
      <c r="AZ777" s="6"/>
      <c r="BA777" s="6"/>
      <c r="BB777" s="6"/>
      <c r="BC777" s="6"/>
      <c r="BD777" s="6"/>
      <c r="BE777" s="6"/>
    </row>
    <row r="778" spans="2:57" x14ac:dyDescent="0.3">
      <c r="B778" s="4" t="s">
        <v>801</v>
      </c>
      <c r="C778" s="4">
        <v>20</v>
      </c>
      <c r="D778" s="4" t="s">
        <v>12</v>
      </c>
      <c r="E778" s="4" t="s">
        <v>10</v>
      </c>
      <c r="F778" s="4" t="s">
        <v>43</v>
      </c>
      <c r="G778" s="18">
        <v>2323</v>
      </c>
      <c r="H778" s="10">
        <v>2</v>
      </c>
      <c r="I778" s="4">
        <v>4</v>
      </c>
      <c r="J778" s="4" t="s">
        <v>9</v>
      </c>
      <c r="K778" s="3" t="s">
        <v>9</v>
      </c>
      <c r="L778" s="3" t="str">
        <f>IF(Table1[[#This Row],[Monthly Income]]&lt;3000,"Low",IF(Table1[[#This Row],[Monthly Income]]&lt;7000,"Medium","High"))</f>
        <v>Low</v>
      </c>
      <c r="AK778" s="4"/>
      <c r="AL778" s="4"/>
      <c r="AM778" s="4"/>
      <c r="AN778" s="4"/>
      <c r="AO778" s="4"/>
      <c r="AP778" s="4"/>
      <c r="AQ778" s="4"/>
      <c r="AR778" s="4"/>
      <c r="AS778" s="4"/>
      <c r="AU778" s="4"/>
      <c r="AV778" s="4"/>
      <c r="AW778" s="4"/>
      <c r="AX778" s="4"/>
      <c r="AY778" s="4"/>
      <c r="AZ778" s="4"/>
      <c r="BA778" s="4"/>
      <c r="BB778" s="4"/>
      <c r="BC778" s="4"/>
      <c r="BD778" s="4"/>
      <c r="BE778" s="4"/>
    </row>
    <row r="779" spans="2:57" x14ac:dyDescent="0.3">
      <c r="B779" s="6" t="s">
        <v>802</v>
      </c>
      <c r="C779" s="6">
        <v>21</v>
      </c>
      <c r="D779" s="6" t="s">
        <v>12</v>
      </c>
      <c r="E779" s="6" t="s">
        <v>15</v>
      </c>
      <c r="F779" s="6" t="s">
        <v>20</v>
      </c>
      <c r="G779" s="19">
        <v>1416</v>
      </c>
      <c r="H779" s="11">
        <v>1</v>
      </c>
      <c r="I779" s="6">
        <v>1</v>
      </c>
      <c r="J779" s="6" t="s">
        <v>14</v>
      </c>
      <c r="K779" s="5" t="s">
        <v>9</v>
      </c>
      <c r="L779" s="3" t="str">
        <f>IF(Table1[[#This Row],[Monthly Income]]&lt;3000,"Low",IF(Table1[[#This Row],[Monthly Income]]&lt;7000,"Medium","High"))</f>
        <v>Low</v>
      </c>
      <c r="AK779" s="6"/>
      <c r="AL779" s="6"/>
      <c r="AM779" s="6"/>
      <c r="AN779" s="6"/>
      <c r="AO779" s="6"/>
      <c r="AP779" s="6"/>
      <c r="AQ779" s="6"/>
      <c r="AR779" s="6"/>
      <c r="AS779" s="6"/>
      <c r="AU779" s="6"/>
      <c r="AV779" s="6"/>
      <c r="AW779" s="6"/>
      <c r="AX779" s="6"/>
      <c r="AY779" s="6"/>
      <c r="AZ779" s="6"/>
      <c r="BA779" s="6"/>
      <c r="BB779" s="6"/>
      <c r="BC779" s="6"/>
      <c r="BD779" s="6"/>
      <c r="BE779" s="6"/>
    </row>
    <row r="780" spans="2:57" x14ac:dyDescent="0.3">
      <c r="B780" s="4" t="s">
        <v>803</v>
      </c>
      <c r="C780" s="4">
        <v>46</v>
      </c>
      <c r="D780" s="4" t="s">
        <v>12</v>
      </c>
      <c r="E780" s="4" t="s">
        <v>15</v>
      </c>
      <c r="F780" s="4" t="s">
        <v>18</v>
      </c>
      <c r="G780" s="18">
        <v>4615</v>
      </c>
      <c r="H780" s="10">
        <v>16</v>
      </c>
      <c r="I780" s="4">
        <v>1</v>
      </c>
      <c r="J780" s="4" t="s">
        <v>9</v>
      </c>
      <c r="K780" s="3" t="s">
        <v>14</v>
      </c>
      <c r="L780" s="3" t="str">
        <f>IF(Table1[[#This Row],[Monthly Income]]&lt;3000,"Low",IF(Table1[[#This Row],[Monthly Income]]&lt;7000,"Medium","High"))</f>
        <v>Medium</v>
      </c>
      <c r="AK780" s="4"/>
      <c r="AL780" s="4"/>
      <c r="AM780" s="4"/>
      <c r="AN780" s="4"/>
      <c r="AO780" s="4"/>
      <c r="AP780" s="4"/>
      <c r="AQ780" s="4"/>
      <c r="AR780" s="4"/>
      <c r="AS780" s="4"/>
      <c r="AU780" s="4"/>
      <c r="AV780" s="4"/>
      <c r="AW780" s="4"/>
      <c r="AX780" s="4"/>
      <c r="AY780" s="4"/>
      <c r="AZ780" s="4"/>
      <c r="BA780" s="4"/>
      <c r="BB780" s="4"/>
      <c r="BC780" s="4"/>
      <c r="BD780" s="4"/>
      <c r="BE780" s="4"/>
    </row>
    <row r="781" spans="2:57" x14ac:dyDescent="0.3">
      <c r="B781" s="6" t="s">
        <v>804</v>
      </c>
      <c r="C781" s="6">
        <v>51</v>
      </c>
      <c r="D781" s="6" t="s">
        <v>17</v>
      </c>
      <c r="E781" s="6" t="s">
        <v>15</v>
      </c>
      <c r="F781" s="6" t="s">
        <v>18</v>
      </c>
      <c r="G781" s="19">
        <v>2461</v>
      </c>
      <c r="H781" s="11">
        <v>10</v>
      </c>
      <c r="I781" s="6">
        <v>3</v>
      </c>
      <c r="J781" s="6" t="s">
        <v>9</v>
      </c>
      <c r="K781" s="5" t="s">
        <v>9</v>
      </c>
      <c r="L781" s="3" t="str">
        <f>IF(Table1[[#This Row],[Monthly Income]]&lt;3000,"Low",IF(Table1[[#This Row],[Monthly Income]]&lt;7000,"Medium","High"))</f>
        <v>Low</v>
      </c>
      <c r="AK781" s="6"/>
      <c r="AL781" s="6"/>
      <c r="AM781" s="6"/>
      <c r="AN781" s="6"/>
      <c r="AO781" s="6"/>
      <c r="AP781" s="6"/>
      <c r="AQ781" s="6"/>
      <c r="AR781" s="6"/>
      <c r="AS781" s="6"/>
      <c r="AU781" s="6"/>
      <c r="AV781" s="6"/>
      <c r="AW781" s="6"/>
      <c r="AX781" s="6"/>
      <c r="AY781" s="6"/>
      <c r="AZ781" s="6"/>
      <c r="BA781" s="6"/>
      <c r="BB781" s="6"/>
      <c r="BC781" s="6"/>
      <c r="BD781" s="6"/>
      <c r="BE781" s="6"/>
    </row>
    <row r="782" spans="2:57" x14ac:dyDescent="0.3">
      <c r="B782" s="4" t="s">
        <v>805</v>
      </c>
      <c r="C782" s="4">
        <v>28</v>
      </c>
      <c r="D782" s="4" t="s">
        <v>17</v>
      </c>
      <c r="E782" s="4" t="s">
        <v>15</v>
      </c>
      <c r="F782" s="4" t="s">
        <v>29</v>
      </c>
      <c r="G782" s="18">
        <v>8722</v>
      </c>
      <c r="H782" s="10">
        <v>10</v>
      </c>
      <c r="I782" s="4">
        <v>1</v>
      </c>
      <c r="J782" s="4" t="s">
        <v>14</v>
      </c>
      <c r="K782" s="3" t="s">
        <v>9</v>
      </c>
      <c r="L782" s="3" t="str">
        <f>IF(Table1[[#This Row],[Monthly Income]]&lt;3000,"Low",IF(Table1[[#This Row],[Monthly Income]]&lt;7000,"Medium","High"))</f>
        <v>High</v>
      </c>
      <c r="AK782" s="4"/>
      <c r="AL782" s="4"/>
      <c r="AM782" s="4"/>
      <c r="AN782" s="4"/>
      <c r="AO782" s="4"/>
      <c r="AP782" s="4"/>
      <c r="AQ782" s="4"/>
      <c r="AR782" s="4"/>
      <c r="AS782" s="4"/>
      <c r="AU782" s="4"/>
      <c r="AV782" s="4"/>
      <c r="AW782" s="4"/>
      <c r="AX782" s="4"/>
      <c r="AY782" s="4"/>
      <c r="AZ782" s="4"/>
      <c r="BA782" s="4"/>
      <c r="BB782" s="4"/>
      <c r="BC782" s="4"/>
      <c r="BD782" s="4"/>
      <c r="BE782" s="4"/>
    </row>
    <row r="783" spans="2:57" x14ac:dyDescent="0.3">
      <c r="B783" s="6" t="s">
        <v>806</v>
      </c>
      <c r="C783" s="6">
        <v>26</v>
      </c>
      <c r="D783" s="6" t="s">
        <v>17</v>
      </c>
      <c r="E783" s="6" t="s">
        <v>15</v>
      </c>
      <c r="F783" s="6" t="s">
        <v>20</v>
      </c>
      <c r="G783" s="19">
        <v>3955</v>
      </c>
      <c r="H783" s="11">
        <v>5</v>
      </c>
      <c r="I783" s="6">
        <v>1</v>
      </c>
      <c r="J783" s="6" t="s">
        <v>14</v>
      </c>
      <c r="K783" s="5" t="s">
        <v>14</v>
      </c>
      <c r="L783" s="3" t="str">
        <f>IF(Table1[[#This Row],[Monthly Income]]&lt;3000,"Low",IF(Table1[[#This Row],[Monthly Income]]&lt;7000,"Medium","High"))</f>
        <v>Medium</v>
      </c>
      <c r="AK783" s="6"/>
      <c r="AL783" s="6"/>
      <c r="AM783" s="6"/>
      <c r="AN783" s="6"/>
      <c r="AO783" s="6"/>
      <c r="AP783" s="6"/>
      <c r="AQ783" s="6"/>
      <c r="AR783" s="6"/>
      <c r="AS783" s="6"/>
      <c r="AU783" s="6"/>
      <c r="AV783" s="6"/>
      <c r="AW783" s="6"/>
      <c r="AX783" s="6"/>
      <c r="AY783" s="6"/>
      <c r="AZ783" s="6"/>
      <c r="BA783" s="6"/>
      <c r="BB783" s="6"/>
      <c r="BC783" s="6"/>
      <c r="BD783" s="6"/>
      <c r="BE783" s="6"/>
    </row>
    <row r="784" spans="2:57" x14ac:dyDescent="0.3">
      <c r="B784" s="4" t="s">
        <v>807</v>
      </c>
      <c r="C784" s="4">
        <v>30</v>
      </c>
      <c r="D784" s="4" t="s">
        <v>17</v>
      </c>
      <c r="E784" s="4" t="s">
        <v>15</v>
      </c>
      <c r="F784" s="4" t="s">
        <v>27</v>
      </c>
      <c r="G784" s="18">
        <v>9957</v>
      </c>
      <c r="H784" s="10">
        <v>6</v>
      </c>
      <c r="I784" s="4">
        <v>1</v>
      </c>
      <c r="J784" s="4" t="s">
        <v>14</v>
      </c>
      <c r="K784" s="3" t="s">
        <v>14</v>
      </c>
      <c r="L784" s="3" t="str">
        <f>IF(Table1[[#This Row],[Monthly Income]]&lt;3000,"Low",IF(Table1[[#This Row],[Monthly Income]]&lt;7000,"Medium","High"))</f>
        <v>High</v>
      </c>
      <c r="AK784" s="4"/>
      <c r="AL784" s="4"/>
      <c r="AM784" s="4"/>
      <c r="AN784" s="4"/>
      <c r="AO784" s="4"/>
      <c r="AP784" s="4"/>
      <c r="AQ784" s="4"/>
      <c r="AR784" s="4"/>
      <c r="AS784" s="4"/>
      <c r="AU784" s="4"/>
      <c r="AV784" s="4"/>
      <c r="AW784" s="4"/>
      <c r="AX784" s="4"/>
      <c r="AY784" s="4"/>
      <c r="AZ784" s="4"/>
      <c r="BA784" s="4"/>
      <c r="BB784" s="4"/>
      <c r="BC784" s="4"/>
      <c r="BD784" s="4"/>
      <c r="BE784" s="4"/>
    </row>
    <row r="785" spans="2:57" x14ac:dyDescent="0.3">
      <c r="B785" s="6" t="s">
        <v>808</v>
      </c>
      <c r="C785" s="6">
        <v>41</v>
      </c>
      <c r="D785" s="6" t="s">
        <v>12</v>
      </c>
      <c r="E785" s="6" t="s">
        <v>15</v>
      </c>
      <c r="F785" s="6" t="s">
        <v>18</v>
      </c>
      <c r="G785" s="19">
        <v>3376</v>
      </c>
      <c r="H785" s="11">
        <v>10</v>
      </c>
      <c r="I785" s="6">
        <v>3</v>
      </c>
      <c r="J785" s="6" t="s">
        <v>14</v>
      </c>
      <c r="K785" s="5" t="s">
        <v>14</v>
      </c>
      <c r="L785" s="3" t="str">
        <f>IF(Table1[[#This Row],[Monthly Income]]&lt;3000,"Low",IF(Table1[[#This Row],[Monthly Income]]&lt;7000,"Medium","High"))</f>
        <v>Medium</v>
      </c>
      <c r="AK785" s="6"/>
      <c r="AL785" s="6"/>
      <c r="AM785" s="6"/>
      <c r="AN785" s="6"/>
      <c r="AO785" s="6"/>
      <c r="AP785" s="6"/>
      <c r="AQ785" s="6"/>
      <c r="AR785" s="6"/>
      <c r="AS785" s="6"/>
      <c r="AU785" s="6"/>
      <c r="AV785" s="6"/>
      <c r="AW785" s="6"/>
      <c r="AX785" s="6"/>
      <c r="AY785" s="6"/>
      <c r="AZ785" s="6"/>
      <c r="BA785" s="6"/>
      <c r="BB785" s="6"/>
      <c r="BC785" s="6"/>
      <c r="BD785" s="6"/>
      <c r="BE785" s="6"/>
    </row>
    <row r="786" spans="2:57" x14ac:dyDescent="0.3">
      <c r="B786" s="4" t="s">
        <v>809</v>
      </c>
      <c r="C786" s="4">
        <v>38</v>
      </c>
      <c r="D786" s="4" t="s">
        <v>12</v>
      </c>
      <c r="E786" s="4" t="s">
        <v>15</v>
      </c>
      <c r="F786" s="4" t="s">
        <v>29</v>
      </c>
      <c r="G786" s="18">
        <v>8823</v>
      </c>
      <c r="H786" s="10">
        <v>19</v>
      </c>
      <c r="I786" s="4">
        <v>3</v>
      </c>
      <c r="J786" s="4" t="s">
        <v>14</v>
      </c>
      <c r="K786" s="3" t="s">
        <v>14</v>
      </c>
      <c r="L786" s="3" t="str">
        <f>IF(Table1[[#This Row],[Monthly Income]]&lt;3000,"Low",IF(Table1[[#This Row],[Monthly Income]]&lt;7000,"Medium","High"))</f>
        <v>High</v>
      </c>
      <c r="AK786" s="4"/>
      <c r="AL786" s="4"/>
      <c r="AM786" s="4"/>
      <c r="AN786" s="4"/>
      <c r="AO786" s="4"/>
      <c r="AP786" s="4"/>
      <c r="AQ786" s="4"/>
      <c r="AR786" s="4"/>
      <c r="AS786" s="4"/>
      <c r="AU786" s="4"/>
      <c r="AV786" s="4"/>
      <c r="AW786" s="4"/>
      <c r="AX786" s="4"/>
      <c r="AY786" s="4"/>
      <c r="AZ786" s="4"/>
      <c r="BA786" s="4"/>
      <c r="BB786" s="4"/>
      <c r="BC786" s="4"/>
      <c r="BD786" s="4"/>
      <c r="BE786" s="4"/>
    </row>
    <row r="787" spans="2:57" x14ac:dyDescent="0.3">
      <c r="B787" s="6" t="s">
        <v>810</v>
      </c>
      <c r="C787" s="6">
        <v>40</v>
      </c>
      <c r="D787" s="6" t="s">
        <v>17</v>
      </c>
      <c r="E787" s="6" t="s">
        <v>15</v>
      </c>
      <c r="F787" s="6" t="s">
        <v>29</v>
      </c>
      <c r="G787" s="19">
        <v>10322</v>
      </c>
      <c r="H787" s="11">
        <v>11</v>
      </c>
      <c r="I787" s="6">
        <v>4</v>
      </c>
      <c r="J787" s="6" t="s">
        <v>14</v>
      </c>
      <c r="K787" s="5" t="s">
        <v>14</v>
      </c>
      <c r="L787" s="3" t="str">
        <f>IF(Table1[[#This Row],[Monthly Income]]&lt;3000,"Low",IF(Table1[[#This Row],[Monthly Income]]&lt;7000,"Medium","High"))</f>
        <v>High</v>
      </c>
      <c r="AK787" s="6"/>
      <c r="AL787" s="6"/>
      <c r="AM787" s="6"/>
      <c r="AN787" s="6"/>
      <c r="AO787" s="6"/>
      <c r="AP787" s="6"/>
      <c r="AQ787" s="6"/>
      <c r="AR787" s="6"/>
      <c r="AS787" s="6"/>
      <c r="AU787" s="6"/>
      <c r="AV787" s="6"/>
      <c r="AW787" s="6"/>
      <c r="AX787" s="6"/>
      <c r="AY787" s="6"/>
      <c r="AZ787" s="6"/>
      <c r="BA787" s="6"/>
      <c r="BB787" s="6"/>
      <c r="BC787" s="6"/>
      <c r="BD787" s="6"/>
      <c r="BE787" s="6"/>
    </row>
    <row r="788" spans="2:57" x14ac:dyDescent="0.3">
      <c r="B788" s="4" t="s">
        <v>811</v>
      </c>
      <c r="C788" s="4">
        <v>27</v>
      </c>
      <c r="D788" s="4" t="s">
        <v>17</v>
      </c>
      <c r="E788" s="4" t="s">
        <v>15</v>
      </c>
      <c r="F788" s="4" t="s">
        <v>20</v>
      </c>
      <c r="G788" s="18">
        <v>4621</v>
      </c>
      <c r="H788" s="10">
        <v>3</v>
      </c>
      <c r="I788" s="4">
        <v>3</v>
      </c>
      <c r="J788" s="4" t="s">
        <v>14</v>
      </c>
      <c r="K788" s="3" t="s">
        <v>14</v>
      </c>
      <c r="L788" s="3" t="str">
        <f>IF(Table1[[#This Row],[Monthly Income]]&lt;3000,"Low",IF(Table1[[#This Row],[Monthly Income]]&lt;7000,"Medium","High"))</f>
        <v>Medium</v>
      </c>
      <c r="AK788" s="4"/>
      <c r="AL788" s="4"/>
      <c r="AM788" s="4"/>
      <c r="AN788" s="4"/>
      <c r="AO788" s="4"/>
      <c r="AP788" s="4"/>
      <c r="AQ788" s="4"/>
      <c r="AR788" s="4"/>
      <c r="AS788" s="4"/>
      <c r="AU788" s="4"/>
      <c r="AV788" s="4"/>
      <c r="AW788" s="4"/>
      <c r="AX788" s="4"/>
      <c r="AY788" s="4"/>
      <c r="AZ788" s="4"/>
      <c r="BA788" s="4"/>
      <c r="BB788" s="4"/>
      <c r="BC788" s="4"/>
      <c r="BD788" s="4"/>
      <c r="BE788" s="4"/>
    </row>
    <row r="789" spans="2:57" x14ac:dyDescent="0.3">
      <c r="B789" s="6" t="s">
        <v>812</v>
      </c>
      <c r="C789" s="6">
        <v>55</v>
      </c>
      <c r="D789" s="6" t="s">
        <v>17</v>
      </c>
      <c r="E789" s="6" t="s">
        <v>15</v>
      </c>
      <c r="F789" s="6" t="s">
        <v>27</v>
      </c>
      <c r="G789" s="19">
        <v>10976</v>
      </c>
      <c r="H789" s="11">
        <v>3</v>
      </c>
      <c r="I789" s="6">
        <v>2</v>
      </c>
      <c r="J789" s="6" t="s">
        <v>14</v>
      </c>
      <c r="K789" s="5" t="s">
        <v>14</v>
      </c>
      <c r="L789" s="3" t="str">
        <f>IF(Table1[[#This Row],[Monthly Income]]&lt;3000,"Low",IF(Table1[[#This Row],[Monthly Income]]&lt;7000,"Medium","High"))</f>
        <v>High</v>
      </c>
      <c r="AK789" s="6"/>
      <c r="AL789" s="6"/>
      <c r="AM789" s="6"/>
      <c r="AN789" s="6"/>
      <c r="AO789" s="6"/>
      <c r="AP789" s="6"/>
      <c r="AQ789" s="6"/>
      <c r="AR789" s="6"/>
      <c r="AS789" s="6"/>
      <c r="AU789" s="6"/>
      <c r="AV789" s="6"/>
      <c r="AW789" s="6"/>
      <c r="AX789" s="6"/>
      <c r="AY789" s="6"/>
      <c r="AZ789" s="6"/>
      <c r="BA789" s="6"/>
      <c r="BB789" s="6"/>
      <c r="BC789" s="6"/>
      <c r="BD789" s="6"/>
      <c r="BE789" s="6"/>
    </row>
    <row r="790" spans="2:57" x14ac:dyDescent="0.3">
      <c r="B790" s="4" t="s">
        <v>813</v>
      </c>
      <c r="C790" s="4">
        <v>28</v>
      </c>
      <c r="D790" s="4" t="s">
        <v>12</v>
      </c>
      <c r="E790" s="4" t="s">
        <v>15</v>
      </c>
      <c r="F790" s="4" t="s">
        <v>18</v>
      </c>
      <c r="G790" s="18">
        <v>3660</v>
      </c>
      <c r="H790" s="10">
        <v>8</v>
      </c>
      <c r="I790" s="4">
        <v>3</v>
      </c>
      <c r="J790" s="4" t="s">
        <v>14</v>
      </c>
      <c r="K790" s="3" t="s">
        <v>14</v>
      </c>
      <c r="L790" s="3" t="str">
        <f>IF(Table1[[#This Row],[Monthly Income]]&lt;3000,"Low",IF(Table1[[#This Row],[Monthly Income]]&lt;7000,"Medium","High"))</f>
        <v>Medium</v>
      </c>
      <c r="AK790" s="4"/>
      <c r="AL790" s="4"/>
      <c r="AM790" s="4"/>
      <c r="AN790" s="4"/>
      <c r="AO790" s="4"/>
      <c r="AP790" s="4"/>
      <c r="AQ790" s="4"/>
      <c r="AR790" s="4"/>
      <c r="AS790" s="4"/>
      <c r="AU790" s="4"/>
      <c r="AV790" s="4"/>
      <c r="AW790" s="4"/>
      <c r="AX790" s="4"/>
      <c r="AY790" s="4"/>
      <c r="AZ790" s="4"/>
      <c r="BA790" s="4"/>
      <c r="BB790" s="4"/>
      <c r="BC790" s="4"/>
      <c r="BD790" s="4"/>
      <c r="BE790" s="4"/>
    </row>
    <row r="791" spans="2:57" x14ac:dyDescent="0.3">
      <c r="B791" s="6" t="s">
        <v>814</v>
      </c>
      <c r="C791" s="6">
        <v>44</v>
      </c>
      <c r="D791" s="6" t="s">
        <v>17</v>
      </c>
      <c r="E791" s="6" t="s">
        <v>102</v>
      </c>
      <c r="F791" s="6" t="s">
        <v>104</v>
      </c>
      <c r="G791" s="19">
        <v>10482</v>
      </c>
      <c r="H791" s="11">
        <v>20</v>
      </c>
      <c r="I791" s="6">
        <v>1</v>
      </c>
      <c r="J791" s="6" t="s">
        <v>14</v>
      </c>
      <c r="K791" s="5" t="s">
        <v>9</v>
      </c>
      <c r="L791" s="3" t="str">
        <f>IF(Table1[[#This Row],[Monthly Income]]&lt;3000,"Low",IF(Table1[[#This Row],[Monthly Income]]&lt;7000,"Medium","High"))</f>
        <v>High</v>
      </c>
      <c r="AK791" s="6"/>
      <c r="AL791" s="6"/>
      <c r="AM791" s="6"/>
      <c r="AN791" s="6"/>
      <c r="AO791" s="6"/>
      <c r="AP791" s="6"/>
      <c r="AQ791" s="6"/>
      <c r="AR791" s="6"/>
      <c r="AS791" s="6"/>
      <c r="AU791" s="6"/>
      <c r="AV791" s="6"/>
      <c r="AW791" s="6"/>
      <c r="AX791" s="6"/>
      <c r="AY791" s="6"/>
      <c r="AZ791" s="6"/>
      <c r="BA791" s="6"/>
      <c r="BB791" s="6"/>
      <c r="BC791" s="6"/>
      <c r="BD791" s="6"/>
      <c r="BE791" s="6"/>
    </row>
    <row r="792" spans="2:57" x14ac:dyDescent="0.3">
      <c r="B792" s="4" t="s">
        <v>815</v>
      </c>
      <c r="C792" s="4">
        <v>33</v>
      </c>
      <c r="D792" s="4" t="s">
        <v>17</v>
      </c>
      <c r="E792" s="4" t="s">
        <v>15</v>
      </c>
      <c r="F792" s="4" t="s">
        <v>29</v>
      </c>
      <c r="G792" s="18">
        <v>7119</v>
      </c>
      <c r="H792" s="10">
        <v>3</v>
      </c>
      <c r="I792" s="4">
        <v>4</v>
      </c>
      <c r="J792" s="4" t="s">
        <v>14</v>
      </c>
      <c r="K792" s="3" t="s">
        <v>14</v>
      </c>
      <c r="L792" s="3" t="str">
        <f>IF(Table1[[#This Row],[Monthly Income]]&lt;3000,"Low",IF(Table1[[#This Row],[Monthly Income]]&lt;7000,"Medium","High"))</f>
        <v>High</v>
      </c>
      <c r="AK792" s="4"/>
      <c r="AL792" s="4"/>
      <c r="AM792" s="4"/>
      <c r="AN792" s="4"/>
      <c r="AO792" s="4"/>
      <c r="AP792" s="4"/>
      <c r="AQ792" s="4"/>
      <c r="AR792" s="4"/>
      <c r="AS792" s="4"/>
      <c r="AU792" s="4"/>
      <c r="AV792" s="4"/>
      <c r="AW792" s="4"/>
      <c r="AX792" s="4"/>
      <c r="AY792" s="4"/>
      <c r="AZ792" s="4"/>
      <c r="BA792" s="4"/>
      <c r="BB792" s="4"/>
      <c r="BC792" s="4"/>
      <c r="BD792" s="4"/>
      <c r="BE792" s="4"/>
    </row>
    <row r="793" spans="2:57" x14ac:dyDescent="0.3">
      <c r="B793" s="6" t="s">
        <v>816</v>
      </c>
      <c r="C793" s="6">
        <v>35</v>
      </c>
      <c r="D793" s="6" t="s">
        <v>17</v>
      </c>
      <c r="E793" s="6" t="s">
        <v>10</v>
      </c>
      <c r="F793" s="6" t="s">
        <v>13</v>
      </c>
      <c r="G793" s="19">
        <v>9582</v>
      </c>
      <c r="H793" s="11">
        <v>8</v>
      </c>
      <c r="I793" s="6">
        <v>1</v>
      </c>
      <c r="J793" s="6" t="s">
        <v>9</v>
      </c>
      <c r="K793" s="5" t="s">
        <v>9</v>
      </c>
      <c r="L793" s="3" t="str">
        <f>IF(Table1[[#This Row],[Monthly Income]]&lt;3000,"Low",IF(Table1[[#This Row],[Monthly Income]]&lt;7000,"Medium","High"))</f>
        <v>High</v>
      </c>
      <c r="AK793" s="6"/>
      <c r="AL793" s="6"/>
      <c r="AM793" s="6"/>
      <c r="AN793" s="6"/>
      <c r="AO793" s="6"/>
      <c r="AP793" s="6"/>
      <c r="AQ793" s="6"/>
      <c r="AR793" s="6"/>
      <c r="AS793" s="6"/>
      <c r="AU793" s="6"/>
      <c r="AV793" s="6"/>
      <c r="AW793" s="6"/>
      <c r="AX793" s="6"/>
      <c r="AY793" s="6"/>
      <c r="AZ793" s="6"/>
      <c r="BA793" s="6"/>
      <c r="BB793" s="6"/>
      <c r="BC793" s="6"/>
      <c r="BD793" s="6"/>
      <c r="BE793" s="6"/>
    </row>
    <row r="794" spans="2:57" x14ac:dyDescent="0.3">
      <c r="B794" s="4" t="s">
        <v>817</v>
      </c>
      <c r="C794" s="4">
        <v>33</v>
      </c>
      <c r="D794" s="4" t="s">
        <v>12</v>
      </c>
      <c r="E794" s="4" t="s">
        <v>15</v>
      </c>
      <c r="F794" s="4" t="s">
        <v>18</v>
      </c>
      <c r="G794" s="18">
        <v>4508</v>
      </c>
      <c r="H794" s="10">
        <v>13</v>
      </c>
      <c r="I794" s="4">
        <v>3</v>
      </c>
      <c r="J794" s="4" t="s">
        <v>14</v>
      </c>
      <c r="K794" s="3" t="s">
        <v>9</v>
      </c>
      <c r="L794" s="3" t="str">
        <f>IF(Table1[[#This Row],[Monthly Income]]&lt;3000,"Low",IF(Table1[[#This Row],[Monthly Income]]&lt;7000,"Medium","High"))</f>
        <v>Medium</v>
      </c>
      <c r="AK794" s="4"/>
      <c r="AL794" s="4"/>
      <c r="AM794" s="4"/>
      <c r="AN794" s="4"/>
      <c r="AO794" s="4"/>
      <c r="AP794" s="4"/>
      <c r="AQ794" s="4"/>
      <c r="AR794" s="4"/>
      <c r="AS794" s="4"/>
      <c r="AU794" s="4"/>
      <c r="AV794" s="4"/>
      <c r="AW794" s="4"/>
      <c r="AX794" s="4"/>
      <c r="AY794" s="4"/>
      <c r="AZ794" s="4"/>
      <c r="BA794" s="4"/>
      <c r="BB794" s="4"/>
      <c r="BC794" s="4"/>
      <c r="BD794" s="4"/>
      <c r="BE794" s="4"/>
    </row>
    <row r="795" spans="2:57" x14ac:dyDescent="0.3">
      <c r="B795" s="6" t="s">
        <v>818</v>
      </c>
      <c r="C795" s="6">
        <v>28</v>
      </c>
      <c r="D795" s="6" t="s">
        <v>17</v>
      </c>
      <c r="E795" s="6" t="s">
        <v>15</v>
      </c>
      <c r="F795" s="6" t="s">
        <v>20</v>
      </c>
      <c r="G795" s="19">
        <v>2207</v>
      </c>
      <c r="H795" s="11">
        <v>4</v>
      </c>
      <c r="I795" s="6">
        <v>3</v>
      </c>
      <c r="J795" s="6" t="s">
        <v>14</v>
      </c>
      <c r="K795" s="5" t="s">
        <v>14</v>
      </c>
      <c r="L795" s="3" t="str">
        <f>IF(Table1[[#This Row],[Monthly Income]]&lt;3000,"Low",IF(Table1[[#This Row],[Monthly Income]]&lt;7000,"Medium","High"))</f>
        <v>Low</v>
      </c>
      <c r="AK795" s="6"/>
      <c r="AL795" s="6"/>
      <c r="AM795" s="6"/>
      <c r="AN795" s="6"/>
      <c r="AO795" s="6"/>
      <c r="AP795" s="6"/>
      <c r="AQ795" s="6"/>
      <c r="AR795" s="6"/>
      <c r="AS795" s="6"/>
      <c r="AU795" s="6"/>
      <c r="AV795" s="6"/>
      <c r="AW795" s="6"/>
      <c r="AX795" s="6"/>
      <c r="AY795" s="6"/>
      <c r="AZ795" s="6"/>
      <c r="BA795" s="6"/>
      <c r="BB795" s="6"/>
      <c r="BC795" s="6"/>
      <c r="BD795" s="6"/>
      <c r="BE795" s="6"/>
    </row>
    <row r="796" spans="2:57" x14ac:dyDescent="0.3">
      <c r="B796" s="4" t="s">
        <v>819</v>
      </c>
      <c r="C796" s="4">
        <v>34</v>
      </c>
      <c r="D796" s="4" t="s">
        <v>17</v>
      </c>
      <c r="E796" s="4" t="s">
        <v>15</v>
      </c>
      <c r="F796" s="4" t="s">
        <v>29</v>
      </c>
      <c r="G796" s="18">
        <v>7756</v>
      </c>
      <c r="H796" s="10">
        <v>6</v>
      </c>
      <c r="I796" s="4">
        <v>4</v>
      </c>
      <c r="J796" s="4" t="s">
        <v>14</v>
      </c>
      <c r="K796" s="3" t="s">
        <v>14</v>
      </c>
      <c r="L796" s="3" t="str">
        <f>IF(Table1[[#This Row],[Monthly Income]]&lt;3000,"Low",IF(Table1[[#This Row],[Monthly Income]]&lt;7000,"Medium","High"))</f>
        <v>High</v>
      </c>
      <c r="AK796" s="4"/>
      <c r="AL796" s="4"/>
      <c r="AM796" s="4"/>
      <c r="AN796" s="4"/>
      <c r="AO796" s="4"/>
      <c r="AP796" s="4"/>
      <c r="AQ796" s="4"/>
      <c r="AR796" s="4"/>
      <c r="AS796" s="4"/>
      <c r="AU796" s="4"/>
      <c r="AV796" s="4"/>
      <c r="AW796" s="4"/>
      <c r="AX796" s="4"/>
      <c r="AY796" s="4"/>
      <c r="AZ796" s="4"/>
      <c r="BA796" s="4"/>
      <c r="BB796" s="4"/>
      <c r="BC796" s="4"/>
      <c r="BD796" s="4"/>
      <c r="BE796" s="4"/>
    </row>
    <row r="797" spans="2:57" x14ac:dyDescent="0.3">
      <c r="B797" s="6" t="s">
        <v>820</v>
      </c>
      <c r="C797" s="6">
        <v>37</v>
      </c>
      <c r="D797" s="6" t="s">
        <v>12</v>
      </c>
      <c r="E797" s="6" t="s">
        <v>10</v>
      </c>
      <c r="F797" s="6" t="s">
        <v>13</v>
      </c>
      <c r="G797" s="19">
        <v>6694</v>
      </c>
      <c r="H797" s="11">
        <v>1</v>
      </c>
      <c r="I797" s="6">
        <v>4</v>
      </c>
      <c r="J797" s="6" t="s">
        <v>9</v>
      </c>
      <c r="K797" s="5" t="s">
        <v>14</v>
      </c>
      <c r="L797" s="3" t="str">
        <f>IF(Table1[[#This Row],[Monthly Income]]&lt;3000,"Low",IF(Table1[[#This Row],[Monthly Income]]&lt;7000,"Medium","High"))</f>
        <v>Medium</v>
      </c>
      <c r="AK797" s="6"/>
      <c r="AL797" s="6"/>
      <c r="AM797" s="6"/>
      <c r="AN797" s="6"/>
      <c r="AO797" s="6"/>
      <c r="AP797" s="6"/>
      <c r="AQ797" s="6"/>
      <c r="AR797" s="6"/>
      <c r="AS797" s="6"/>
      <c r="AU797" s="6"/>
      <c r="AV797" s="6"/>
      <c r="AW797" s="6"/>
      <c r="AX797" s="6"/>
      <c r="AY797" s="6"/>
      <c r="AZ797" s="6"/>
      <c r="BA797" s="6"/>
      <c r="BB797" s="6"/>
      <c r="BC797" s="6"/>
      <c r="BD797" s="6"/>
      <c r="BE797" s="6"/>
    </row>
    <row r="798" spans="2:57" x14ac:dyDescent="0.3">
      <c r="B798" s="4" t="s">
        <v>821</v>
      </c>
      <c r="C798" s="4">
        <v>25</v>
      </c>
      <c r="D798" s="4" t="s">
        <v>17</v>
      </c>
      <c r="E798" s="4" t="s">
        <v>15</v>
      </c>
      <c r="F798" s="4" t="s">
        <v>20</v>
      </c>
      <c r="G798" s="18">
        <v>3691</v>
      </c>
      <c r="H798" s="10">
        <v>7</v>
      </c>
      <c r="I798" s="4">
        <v>4</v>
      </c>
      <c r="J798" s="4" t="s">
        <v>9</v>
      </c>
      <c r="K798" s="3" t="s">
        <v>9</v>
      </c>
      <c r="L798" s="3" t="str">
        <f>IF(Table1[[#This Row],[Monthly Income]]&lt;3000,"Low",IF(Table1[[#This Row],[Monthly Income]]&lt;7000,"Medium","High"))</f>
        <v>Medium</v>
      </c>
      <c r="AK798" s="4"/>
      <c r="AL798" s="4"/>
      <c r="AM798" s="4"/>
      <c r="AN798" s="4"/>
      <c r="AO798" s="4"/>
      <c r="AP798" s="4"/>
      <c r="AQ798" s="4"/>
      <c r="AR798" s="4"/>
      <c r="AS798" s="4"/>
      <c r="AU798" s="4"/>
      <c r="AV798" s="4"/>
      <c r="AW798" s="4"/>
      <c r="AX798" s="4"/>
      <c r="AY798" s="4"/>
      <c r="AZ798" s="4"/>
      <c r="BA798" s="4"/>
      <c r="BB798" s="4"/>
      <c r="BC798" s="4"/>
      <c r="BD798" s="4"/>
      <c r="BE798" s="4"/>
    </row>
    <row r="799" spans="2:57" x14ac:dyDescent="0.3">
      <c r="B799" s="6" t="s">
        <v>822</v>
      </c>
      <c r="C799" s="6">
        <v>26</v>
      </c>
      <c r="D799" s="6" t="s">
        <v>17</v>
      </c>
      <c r="E799" s="6" t="s">
        <v>15</v>
      </c>
      <c r="F799" s="6" t="s">
        <v>20</v>
      </c>
      <c r="G799" s="19">
        <v>2377</v>
      </c>
      <c r="H799" s="11">
        <v>1</v>
      </c>
      <c r="I799" s="6">
        <v>3</v>
      </c>
      <c r="J799" s="6" t="s">
        <v>14</v>
      </c>
      <c r="K799" s="5" t="s">
        <v>9</v>
      </c>
      <c r="L799" s="3" t="str">
        <f>IF(Table1[[#This Row],[Monthly Income]]&lt;3000,"Low",IF(Table1[[#This Row],[Monthly Income]]&lt;7000,"Medium","High"))</f>
        <v>Low</v>
      </c>
      <c r="AK799" s="6"/>
      <c r="AL799" s="6"/>
      <c r="AM799" s="6"/>
      <c r="AN799" s="6"/>
      <c r="AO799" s="6"/>
      <c r="AP799" s="6"/>
      <c r="AQ799" s="6"/>
      <c r="AR799" s="6"/>
      <c r="AS799" s="6"/>
      <c r="AU799" s="6"/>
      <c r="AV799" s="6"/>
      <c r="AW799" s="6"/>
      <c r="AX799" s="6"/>
      <c r="AY799" s="6"/>
      <c r="AZ799" s="6"/>
      <c r="BA799" s="6"/>
      <c r="BB799" s="6"/>
      <c r="BC799" s="6"/>
      <c r="BD799" s="6"/>
      <c r="BE799" s="6"/>
    </row>
    <row r="800" spans="2:57" x14ac:dyDescent="0.3">
      <c r="B800" s="4" t="s">
        <v>823</v>
      </c>
      <c r="C800" s="4">
        <v>33</v>
      </c>
      <c r="D800" s="4" t="s">
        <v>17</v>
      </c>
      <c r="E800" s="4" t="s">
        <v>15</v>
      </c>
      <c r="F800" s="4" t="s">
        <v>18</v>
      </c>
      <c r="G800" s="18">
        <v>2313</v>
      </c>
      <c r="H800" s="10">
        <v>2</v>
      </c>
      <c r="I800" s="4">
        <v>2</v>
      </c>
      <c r="J800" s="4" t="s">
        <v>9</v>
      </c>
      <c r="K800" s="3" t="s">
        <v>9</v>
      </c>
      <c r="L800" s="3" t="str">
        <f>IF(Table1[[#This Row],[Monthly Income]]&lt;3000,"Low",IF(Table1[[#This Row],[Monthly Income]]&lt;7000,"Medium","High"))</f>
        <v>Low</v>
      </c>
      <c r="AK800" s="4"/>
      <c r="AL800" s="4"/>
      <c r="AM800" s="4"/>
      <c r="AN800" s="4"/>
      <c r="AO800" s="4"/>
      <c r="AP800" s="4"/>
      <c r="AQ800" s="4"/>
      <c r="AR800" s="4"/>
      <c r="AS800" s="4"/>
      <c r="AU800" s="4"/>
      <c r="AV800" s="4"/>
      <c r="AW800" s="4"/>
      <c r="AX800" s="4"/>
      <c r="AY800" s="4"/>
      <c r="AZ800" s="4"/>
      <c r="BA800" s="4"/>
      <c r="BB800" s="4"/>
      <c r="BC800" s="4"/>
      <c r="BD800" s="4"/>
      <c r="BE800" s="4"/>
    </row>
    <row r="801" spans="2:57" x14ac:dyDescent="0.3">
      <c r="B801" s="6" t="s">
        <v>824</v>
      </c>
      <c r="C801" s="6">
        <v>42</v>
      </c>
      <c r="D801" s="6" t="s">
        <v>17</v>
      </c>
      <c r="E801" s="6" t="s">
        <v>15</v>
      </c>
      <c r="F801" s="6" t="s">
        <v>39</v>
      </c>
      <c r="G801" s="19">
        <v>17665</v>
      </c>
      <c r="H801" s="11">
        <v>22</v>
      </c>
      <c r="I801" s="6">
        <v>1</v>
      </c>
      <c r="J801" s="6" t="s">
        <v>14</v>
      </c>
      <c r="K801" s="5" t="s">
        <v>14</v>
      </c>
      <c r="L801" s="3" t="str">
        <f>IF(Table1[[#This Row],[Monthly Income]]&lt;3000,"Low",IF(Table1[[#This Row],[Monthly Income]]&lt;7000,"Medium","High"))</f>
        <v>High</v>
      </c>
      <c r="AK801" s="6"/>
      <c r="AL801" s="6"/>
      <c r="AM801" s="6"/>
      <c r="AN801" s="6"/>
      <c r="AO801" s="6"/>
      <c r="AP801" s="6"/>
      <c r="AQ801" s="6"/>
      <c r="AR801" s="6"/>
      <c r="AS801" s="6"/>
      <c r="AU801" s="6"/>
      <c r="AV801" s="6"/>
      <c r="AW801" s="6"/>
      <c r="AX801" s="6"/>
      <c r="AY801" s="6"/>
      <c r="AZ801" s="6"/>
      <c r="BA801" s="6"/>
      <c r="BB801" s="6"/>
      <c r="BC801" s="6"/>
      <c r="BD801" s="6"/>
      <c r="BE801" s="6"/>
    </row>
    <row r="802" spans="2:57" x14ac:dyDescent="0.3">
      <c r="B802" s="4" t="s">
        <v>825</v>
      </c>
      <c r="C802" s="4">
        <v>28</v>
      </c>
      <c r="D802" s="4" t="s">
        <v>17</v>
      </c>
      <c r="E802" s="4" t="s">
        <v>15</v>
      </c>
      <c r="F802" s="4" t="s">
        <v>20</v>
      </c>
      <c r="G802" s="18">
        <v>2596</v>
      </c>
      <c r="H802" s="10">
        <v>1</v>
      </c>
      <c r="I802" s="4">
        <v>2</v>
      </c>
      <c r="J802" s="4" t="s">
        <v>14</v>
      </c>
      <c r="K802" s="3" t="s">
        <v>9</v>
      </c>
      <c r="L802" s="3" t="str">
        <f>IF(Table1[[#This Row],[Monthly Income]]&lt;3000,"Low",IF(Table1[[#This Row],[Monthly Income]]&lt;7000,"Medium","High"))</f>
        <v>Low</v>
      </c>
      <c r="AK802" s="4"/>
      <c r="AL802" s="4"/>
      <c r="AM802" s="4"/>
      <c r="AN802" s="4"/>
      <c r="AO802" s="4"/>
      <c r="AP802" s="4"/>
      <c r="AQ802" s="4"/>
      <c r="AR802" s="4"/>
      <c r="AS802" s="4"/>
      <c r="AU802" s="4"/>
      <c r="AV802" s="4"/>
      <c r="AW802" s="4"/>
      <c r="AX802" s="4"/>
      <c r="AY802" s="4"/>
      <c r="AZ802" s="4"/>
      <c r="BA802" s="4"/>
      <c r="BB802" s="4"/>
      <c r="BC802" s="4"/>
      <c r="BD802" s="4"/>
      <c r="BE802" s="4"/>
    </row>
    <row r="803" spans="2:57" x14ac:dyDescent="0.3">
      <c r="B803" s="6" t="s">
        <v>826</v>
      </c>
      <c r="C803" s="6">
        <v>50</v>
      </c>
      <c r="D803" s="6" t="s">
        <v>17</v>
      </c>
      <c r="E803" s="6" t="s">
        <v>10</v>
      </c>
      <c r="F803" s="6" t="s">
        <v>13</v>
      </c>
      <c r="G803" s="19">
        <v>4728</v>
      </c>
      <c r="H803" s="11">
        <v>0</v>
      </c>
      <c r="I803" s="6">
        <v>3</v>
      </c>
      <c r="J803" s="6" t="s">
        <v>9</v>
      </c>
      <c r="K803" s="5" t="s">
        <v>9</v>
      </c>
      <c r="L803" s="3" t="str">
        <f>IF(Table1[[#This Row],[Monthly Income]]&lt;3000,"Low",IF(Table1[[#This Row],[Monthly Income]]&lt;7000,"Medium","High"))</f>
        <v>Medium</v>
      </c>
      <c r="AK803" s="6"/>
      <c r="AL803" s="6"/>
      <c r="AM803" s="6"/>
      <c r="AN803" s="6"/>
      <c r="AO803" s="6"/>
      <c r="AP803" s="6"/>
      <c r="AQ803" s="6"/>
      <c r="AR803" s="6"/>
      <c r="AS803" s="6"/>
      <c r="AU803" s="6"/>
      <c r="AV803" s="6"/>
      <c r="AW803" s="6"/>
      <c r="AX803" s="6"/>
      <c r="AY803" s="6"/>
      <c r="AZ803" s="6"/>
      <c r="BA803" s="6"/>
      <c r="BB803" s="6"/>
      <c r="BC803" s="6"/>
      <c r="BD803" s="6"/>
      <c r="BE803" s="6"/>
    </row>
    <row r="804" spans="2:57" x14ac:dyDescent="0.3">
      <c r="B804" s="4" t="s">
        <v>827</v>
      </c>
      <c r="C804" s="4">
        <v>33</v>
      </c>
      <c r="D804" s="4" t="s">
        <v>12</v>
      </c>
      <c r="E804" s="4" t="s">
        <v>10</v>
      </c>
      <c r="F804" s="4" t="s">
        <v>13</v>
      </c>
      <c r="G804" s="18">
        <v>4302</v>
      </c>
      <c r="H804" s="10">
        <v>3</v>
      </c>
      <c r="I804" s="4">
        <v>2</v>
      </c>
      <c r="J804" s="4" t="s">
        <v>14</v>
      </c>
      <c r="K804" s="3" t="s">
        <v>14</v>
      </c>
      <c r="L804" s="3" t="str">
        <f>IF(Table1[[#This Row],[Monthly Income]]&lt;3000,"Low",IF(Table1[[#This Row],[Monthly Income]]&lt;7000,"Medium","High"))</f>
        <v>Medium</v>
      </c>
      <c r="AK804" s="4"/>
      <c r="AL804" s="4"/>
      <c r="AM804" s="4"/>
      <c r="AN804" s="4"/>
      <c r="AO804" s="4"/>
      <c r="AP804" s="4"/>
      <c r="AQ804" s="4"/>
      <c r="AR804" s="4"/>
      <c r="AS804" s="4"/>
      <c r="AU804" s="4"/>
      <c r="AV804" s="4"/>
      <c r="AW804" s="4"/>
      <c r="AX804" s="4"/>
      <c r="AY804" s="4"/>
      <c r="AZ804" s="4"/>
      <c r="BA804" s="4"/>
      <c r="BB804" s="4"/>
      <c r="BC804" s="4"/>
      <c r="BD804" s="4"/>
      <c r="BE804" s="4"/>
    </row>
    <row r="805" spans="2:57" x14ac:dyDescent="0.3">
      <c r="B805" s="6" t="s">
        <v>828</v>
      </c>
      <c r="C805" s="6">
        <v>34</v>
      </c>
      <c r="D805" s="6" t="s">
        <v>17</v>
      </c>
      <c r="E805" s="6" t="s">
        <v>15</v>
      </c>
      <c r="F805" s="6" t="s">
        <v>18</v>
      </c>
      <c r="G805" s="19">
        <v>2979</v>
      </c>
      <c r="H805" s="11">
        <v>0</v>
      </c>
      <c r="I805" s="6">
        <v>4</v>
      </c>
      <c r="J805" s="6" t="s">
        <v>14</v>
      </c>
      <c r="K805" s="5" t="s">
        <v>14</v>
      </c>
      <c r="L805" s="3" t="str">
        <f>IF(Table1[[#This Row],[Monthly Income]]&lt;3000,"Low",IF(Table1[[#This Row],[Monthly Income]]&lt;7000,"Medium","High"))</f>
        <v>Low</v>
      </c>
      <c r="AK805" s="6"/>
      <c r="AL805" s="6"/>
      <c r="AM805" s="6"/>
      <c r="AN805" s="6"/>
      <c r="AO805" s="6"/>
      <c r="AP805" s="6"/>
      <c r="AQ805" s="6"/>
      <c r="AR805" s="6"/>
      <c r="AS805" s="6"/>
      <c r="AU805" s="6"/>
      <c r="AV805" s="6"/>
      <c r="AW805" s="6"/>
      <c r="AX805" s="6"/>
      <c r="AY805" s="6"/>
      <c r="AZ805" s="6"/>
      <c r="BA805" s="6"/>
      <c r="BB805" s="6"/>
      <c r="BC805" s="6"/>
      <c r="BD805" s="6"/>
      <c r="BE805" s="6"/>
    </row>
    <row r="806" spans="2:57" x14ac:dyDescent="0.3">
      <c r="B806" s="4" t="s">
        <v>829</v>
      </c>
      <c r="C806" s="4">
        <v>48</v>
      </c>
      <c r="D806" s="4" t="s">
        <v>17</v>
      </c>
      <c r="E806" s="4" t="s">
        <v>15</v>
      </c>
      <c r="F806" s="4" t="s">
        <v>39</v>
      </c>
      <c r="G806" s="18">
        <v>16885</v>
      </c>
      <c r="H806" s="10">
        <v>5</v>
      </c>
      <c r="I806" s="4">
        <v>4</v>
      </c>
      <c r="J806" s="4" t="s">
        <v>14</v>
      </c>
      <c r="K806" s="3" t="s">
        <v>14</v>
      </c>
      <c r="L806" s="3" t="str">
        <f>IF(Table1[[#This Row],[Monthly Income]]&lt;3000,"Low",IF(Table1[[#This Row],[Monthly Income]]&lt;7000,"Medium","High"))</f>
        <v>High</v>
      </c>
      <c r="AK806" s="4"/>
      <c r="AL806" s="4"/>
      <c r="AM806" s="4"/>
      <c r="AN806" s="4"/>
      <c r="AO806" s="4"/>
      <c r="AP806" s="4"/>
      <c r="AQ806" s="4"/>
      <c r="AR806" s="4"/>
      <c r="AS806" s="4"/>
      <c r="AU806" s="4"/>
      <c r="AV806" s="4"/>
      <c r="AW806" s="4"/>
      <c r="AX806" s="4"/>
      <c r="AY806" s="4"/>
      <c r="AZ806" s="4"/>
      <c r="BA806" s="4"/>
      <c r="BB806" s="4"/>
      <c r="BC806" s="4"/>
      <c r="BD806" s="4"/>
      <c r="BE806" s="4"/>
    </row>
    <row r="807" spans="2:57" x14ac:dyDescent="0.3">
      <c r="B807" s="6" t="s">
        <v>830</v>
      </c>
      <c r="C807" s="6">
        <v>45</v>
      </c>
      <c r="D807" s="6" t="s">
        <v>12</v>
      </c>
      <c r="E807" s="6" t="s">
        <v>10</v>
      </c>
      <c r="F807" s="6" t="s">
        <v>13</v>
      </c>
      <c r="G807" s="19">
        <v>5593</v>
      </c>
      <c r="H807" s="11">
        <v>15</v>
      </c>
      <c r="I807" s="6">
        <v>3</v>
      </c>
      <c r="J807" s="6" t="s">
        <v>14</v>
      </c>
      <c r="K807" s="5" t="s">
        <v>14</v>
      </c>
      <c r="L807" s="3" t="str">
        <f>IF(Table1[[#This Row],[Monthly Income]]&lt;3000,"Low",IF(Table1[[#This Row],[Monthly Income]]&lt;7000,"Medium","High"))</f>
        <v>Medium</v>
      </c>
      <c r="AK807" s="6"/>
      <c r="AL807" s="6"/>
      <c r="AM807" s="6"/>
      <c r="AN807" s="6"/>
      <c r="AO807" s="6"/>
      <c r="AP807" s="6"/>
      <c r="AQ807" s="6"/>
      <c r="AR807" s="6"/>
      <c r="AS807" s="6"/>
      <c r="AU807" s="6"/>
      <c r="AV807" s="6"/>
      <c r="AW807" s="6"/>
      <c r="AX807" s="6"/>
      <c r="AY807" s="6"/>
      <c r="AZ807" s="6"/>
      <c r="BA807" s="6"/>
      <c r="BB807" s="6"/>
      <c r="BC807" s="6"/>
      <c r="BD807" s="6"/>
      <c r="BE807" s="6"/>
    </row>
    <row r="808" spans="2:57" x14ac:dyDescent="0.3">
      <c r="B808" s="4" t="s">
        <v>831</v>
      </c>
      <c r="C808" s="4">
        <v>52</v>
      </c>
      <c r="D808" s="4" t="s">
        <v>17</v>
      </c>
      <c r="E808" s="4" t="s">
        <v>15</v>
      </c>
      <c r="F808" s="4" t="s">
        <v>29</v>
      </c>
      <c r="G808" s="18">
        <v>10445</v>
      </c>
      <c r="H808" s="10">
        <v>8</v>
      </c>
      <c r="I808" s="4">
        <v>2</v>
      </c>
      <c r="J808" s="4" t="s">
        <v>14</v>
      </c>
      <c r="K808" s="3" t="s">
        <v>14</v>
      </c>
      <c r="L808" s="3" t="str">
        <f>IF(Table1[[#This Row],[Monthly Income]]&lt;3000,"Low",IF(Table1[[#This Row],[Monthly Income]]&lt;7000,"Medium","High"))</f>
        <v>High</v>
      </c>
      <c r="AK808" s="4"/>
      <c r="AL808" s="4"/>
      <c r="AM808" s="4"/>
      <c r="AN808" s="4"/>
      <c r="AO808" s="4"/>
      <c r="AP808" s="4"/>
      <c r="AQ808" s="4"/>
      <c r="AR808" s="4"/>
      <c r="AS808" s="4"/>
      <c r="AU808" s="4"/>
      <c r="AV808" s="4"/>
      <c r="AW808" s="4"/>
      <c r="AX808" s="4"/>
      <c r="AY808" s="4"/>
      <c r="AZ808" s="4"/>
      <c r="BA808" s="4"/>
      <c r="BB808" s="4"/>
      <c r="BC808" s="4"/>
      <c r="BD808" s="4"/>
      <c r="BE808" s="4"/>
    </row>
    <row r="809" spans="2:57" x14ac:dyDescent="0.3">
      <c r="B809" s="6" t="s">
        <v>832</v>
      </c>
      <c r="C809" s="6">
        <v>38</v>
      </c>
      <c r="D809" s="6" t="s">
        <v>17</v>
      </c>
      <c r="E809" s="6" t="s">
        <v>10</v>
      </c>
      <c r="F809" s="6" t="s">
        <v>13</v>
      </c>
      <c r="G809" s="19">
        <v>8740</v>
      </c>
      <c r="H809" s="11">
        <v>8</v>
      </c>
      <c r="I809" s="6">
        <v>3</v>
      </c>
      <c r="J809" s="6" t="s">
        <v>9</v>
      </c>
      <c r="K809" s="5" t="s">
        <v>14</v>
      </c>
      <c r="L809" s="3" t="str">
        <f>IF(Table1[[#This Row],[Monthly Income]]&lt;3000,"Low",IF(Table1[[#This Row],[Monthly Income]]&lt;7000,"Medium","High"))</f>
        <v>High</v>
      </c>
      <c r="AK809" s="6"/>
      <c r="AL809" s="6"/>
      <c r="AM809" s="6"/>
      <c r="AN809" s="6"/>
      <c r="AO809" s="6"/>
      <c r="AP809" s="6"/>
      <c r="AQ809" s="6"/>
      <c r="AR809" s="6"/>
      <c r="AS809" s="6"/>
      <c r="AU809" s="6"/>
      <c r="AV809" s="6"/>
      <c r="AW809" s="6"/>
      <c r="AX809" s="6"/>
      <c r="AY809" s="6"/>
      <c r="AZ809" s="6"/>
      <c r="BA809" s="6"/>
      <c r="BB809" s="6"/>
      <c r="BC809" s="6"/>
      <c r="BD809" s="6"/>
      <c r="BE809" s="6"/>
    </row>
    <row r="810" spans="2:57" x14ac:dyDescent="0.3">
      <c r="B810" s="4" t="s">
        <v>833</v>
      </c>
      <c r="C810" s="4">
        <v>29</v>
      </c>
      <c r="D810" s="4" t="s">
        <v>12</v>
      </c>
      <c r="E810" s="4" t="s">
        <v>15</v>
      </c>
      <c r="F810" s="4" t="s">
        <v>18</v>
      </c>
      <c r="G810" s="18">
        <v>2514</v>
      </c>
      <c r="H810" s="10">
        <v>7</v>
      </c>
      <c r="I810" s="4">
        <v>4</v>
      </c>
      <c r="J810" s="4" t="s">
        <v>14</v>
      </c>
      <c r="K810" s="3" t="s">
        <v>14</v>
      </c>
      <c r="L810" s="3" t="str">
        <f>IF(Table1[[#This Row],[Monthly Income]]&lt;3000,"Low",IF(Table1[[#This Row],[Monthly Income]]&lt;7000,"Medium","High"))</f>
        <v>Low</v>
      </c>
      <c r="AK810" s="4"/>
      <c r="AL810" s="4"/>
      <c r="AM810" s="4"/>
      <c r="AN810" s="4"/>
      <c r="AO810" s="4"/>
      <c r="AP810" s="4"/>
      <c r="AQ810" s="4"/>
      <c r="AR810" s="4"/>
      <c r="AS810" s="4"/>
      <c r="AU810" s="4"/>
      <c r="AV810" s="4"/>
      <c r="AW810" s="4"/>
      <c r="AX810" s="4"/>
      <c r="AY810" s="4"/>
      <c r="AZ810" s="4"/>
      <c r="BA810" s="4"/>
      <c r="BB810" s="4"/>
      <c r="BC810" s="4"/>
      <c r="BD810" s="4"/>
      <c r="BE810" s="4"/>
    </row>
    <row r="811" spans="2:57" x14ac:dyDescent="0.3">
      <c r="B811" s="6" t="s">
        <v>834</v>
      </c>
      <c r="C811" s="6">
        <v>28</v>
      </c>
      <c r="D811" s="6" t="s">
        <v>12</v>
      </c>
      <c r="E811" s="6" t="s">
        <v>15</v>
      </c>
      <c r="F811" s="6" t="s">
        <v>27</v>
      </c>
      <c r="G811" s="19">
        <v>7655</v>
      </c>
      <c r="H811" s="11">
        <v>9</v>
      </c>
      <c r="I811" s="6">
        <v>2</v>
      </c>
      <c r="J811" s="6" t="s">
        <v>14</v>
      </c>
      <c r="K811" s="5" t="s">
        <v>14</v>
      </c>
      <c r="L811" s="3" t="str">
        <f>IF(Table1[[#This Row],[Monthly Income]]&lt;3000,"Low",IF(Table1[[#This Row],[Monthly Income]]&lt;7000,"Medium","High"))</f>
        <v>High</v>
      </c>
      <c r="AK811" s="6"/>
      <c r="AL811" s="6"/>
      <c r="AM811" s="6"/>
      <c r="AN811" s="6"/>
      <c r="AO811" s="6"/>
      <c r="AP811" s="6"/>
      <c r="AQ811" s="6"/>
      <c r="AR811" s="6"/>
      <c r="AS811" s="6"/>
      <c r="AU811" s="6"/>
      <c r="AV811" s="6"/>
      <c r="AW811" s="6"/>
      <c r="AX811" s="6"/>
      <c r="AY811" s="6"/>
      <c r="AZ811" s="6"/>
      <c r="BA811" s="6"/>
      <c r="BB811" s="6"/>
      <c r="BC811" s="6"/>
      <c r="BD811" s="6"/>
      <c r="BE811" s="6"/>
    </row>
    <row r="812" spans="2:57" x14ac:dyDescent="0.3">
      <c r="B812" s="4" t="s">
        <v>835</v>
      </c>
      <c r="C812" s="4">
        <v>46</v>
      </c>
      <c r="D812" s="4" t="s">
        <v>17</v>
      </c>
      <c r="E812" s="4" t="s">
        <v>10</v>
      </c>
      <c r="F812" s="4" t="s">
        <v>39</v>
      </c>
      <c r="G812" s="18">
        <v>17465</v>
      </c>
      <c r="H812" s="10">
        <v>12</v>
      </c>
      <c r="I812" s="4">
        <v>3</v>
      </c>
      <c r="J812" s="4" t="s">
        <v>14</v>
      </c>
      <c r="K812" s="3" t="s">
        <v>14</v>
      </c>
      <c r="L812" s="3" t="str">
        <f>IF(Table1[[#This Row],[Monthly Income]]&lt;3000,"Low",IF(Table1[[#This Row],[Monthly Income]]&lt;7000,"Medium","High"))</f>
        <v>High</v>
      </c>
      <c r="AK812" s="4"/>
      <c r="AL812" s="4"/>
      <c r="AM812" s="4"/>
      <c r="AN812" s="4"/>
      <c r="AO812" s="4"/>
      <c r="AP812" s="4"/>
      <c r="AQ812" s="4"/>
      <c r="AR812" s="4"/>
      <c r="AS812" s="4"/>
      <c r="AU812" s="4"/>
      <c r="AV812" s="4"/>
      <c r="AW812" s="4"/>
      <c r="AX812" s="4"/>
      <c r="AY812" s="4"/>
      <c r="AZ812" s="4"/>
      <c r="BA812" s="4"/>
      <c r="BB812" s="4"/>
      <c r="BC812" s="4"/>
      <c r="BD812" s="4"/>
      <c r="BE812" s="4"/>
    </row>
    <row r="813" spans="2:57" x14ac:dyDescent="0.3">
      <c r="B813" s="6" t="s">
        <v>836</v>
      </c>
      <c r="C813" s="6">
        <v>38</v>
      </c>
      <c r="D813" s="6" t="s">
        <v>17</v>
      </c>
      <c r="E813" s="6" t="s">
        <v>10</v>
      </c>
      <c r="F813" s="6" t="s">
        <v>13</v>
      </c>
      <c r="G813" s="19">
        <v>7351</v>
      </c>
      <c r="H813" s="11">
        <v>1</v>
      </c>
      <c r="I813" s="6">
        <v>2</v>
      </c>
      <c r="J813" s="6" t="s">
        <v>14</v>
      </c>
      <c r="K813" s="5" t="s">
        <v>14</v>
      </c>
      <c r="L813" s="3" t="str">
        <f>IF(Table1[[#This Row],[Monthly Income]]&lt;3000,"Low",IF(Table1[[#This Row],[Monthly Income]]&lt;7000,"Medium","High"))</f>
        <v>High</v>
      </c>
      <c r="AK813" s="6"/>
      <c r="AL813" s="6"/>
      <c r="AM813" s="6"/>
      <c r="AN813" s="6"/>
      <c r="AO813" s="6"/>
      <c r="AP813" s="6"/>
      <c r="AQ813" s="6"/>
      <c r="AR813" s="6"/>
      <c r="AS813" s="6"/>
      <c r="AU813" s="6"/>
      <c r="AV813" s="6"/>
      <c r="AW813" s="6"/>
      <c r="AX813" s="6"/>
      <c r="AY813" s="6"/>
      <c r="AZ813" s="6"/>
      <c r="BA813" s="6"/>
      <c r="BB813" s="6"/>
      <c r="BC813" s="6"/>
      <c r="BD813" s="6"/>
      <c r="BE813" s="6"/>
    </row>
    <row r="814" spans="2:57" x14ac:dyDescent="0.3">
      <c r="B814" s="4" t="s">
        <v>837</v>
      </c>
      <c r="C814" s="4">
        <v>43</v>
      </c>
      <c r="D814" s="4" t="s">
        <v>12</v>
      </c>
      <c r="E814" s="4" t="s">
        <v>15</v>
      </c>
      <c r="F814" s="4" t="s">
        <v>27</v>
      </c>
      <c r="G814" s="18">
        <v>10820</v>
      </c>
      <c r="H814" s="10">
        <v>8</v>
      </c>
      <c r="I814" s="4">
        <v>1</v>
      </c>
      <c r="J814" s="4" t="s">
        <v>14</v>
      </c>
      <c r="K814" s="3" t="s">
        <v>14</v>
      </c>
      <c r="L814" s="3" t="str">
        <f>IF(Table1[[#This Row],[Monthly Income]]&lt;3000,"Low",IF(Table1[[#This Row],[Monthly Income]]&lt;7000,"Medium","High"))</f>
        <v>High</v>
      </c>
      <c r="AK814" s="4"/>
      <c r="AL814" s="4"/>
      <c r="AM814" s="4"/>
      <c r="AN814" s="4"/>
      <c r="AO814" s="4"/>
      <c r="AP814" s="4"/>
      <c r="AQ814" s="4"/>
      <c r="AR814" s="4"/>
      <c r="AS814" s="4"/>
      <c r="AU814" s="4"/>
      <c r="AV814" s="4"/>
      <c r="AW814" s="4"/>
      <c r="AX814" s="4"/>
      <c r="AY814" s="4"/>
      <c r="AZ814" s="4"/>
      <c r="BA814" s="4"/>
      <c r="BB814" s="4"/>
      <c r="BC814" s="4"/>
      <c r="BD814" s="4"/>
      <c r="BE814" s="4"/>
    </row>
    <row r="815" spans="2:57" x14ac:dyDescent="0.3">
      <c r="B815" s="6" t="s">
        <v>838</v>
      </c>
      <c r="C815" s="6">
        <v>39</v>
      </c>
      <c r="D815" s="6" t="s">
        <v>17</v>
      </c>
      <c r="E815" s="6" t="s">
        <v>15</v>
      </c>
      <c r="F815" s="6" t="s">
        <v>29</v>
      </c>
      <c r="G815" s="19">
        <v>12169</v>
      </c>
      <c r="H815" s="11">
        <v>18</v>
      </c>
      <c r="I815" s="6">
        <v>4</v>
      </c>
      <c r="J815" s="6" t="s">
        <v>14</v>
      </c>
      <c r="K815" s="5" t="s">
        <v>9</v>
      </c>
      <c r="L815" s="3" t="str">
        <f>IF(Table1[[#This Row],[Monthly Income]]&lt;3000,"Low",IF(Table1[[#This Row],[Monthly Income]]&lt;7000,"Medium","High"))</f>
        <v>High</v>
      </c>
      <c r="AK815" s="6"/>
      <c r="AL815" s="6"/>
      <c r="AM815" s="6"/>
      <c r="AN815" s="6"/>
      <c r="AO815" s="6"/>
      <c r="AP815" s="6"/>
      <c r="AQ815" s="6"/>
      <c r="AR815" s="6"/>
      <c r="AS815" s="6"/>
      <c r="AU815" s="6"/>
      <c r="AV815" s="6"/>
      <c r="AW815" s="6"/>
      <c r="AX815" s="6"/>
      <c r="AY815" s="6"/>
      <c r="AZ815" s="6"/>
      <c r="BA815" s="6"/>
      <c r="BB815" s="6"/>
      <c r="BC815" s="6"/>
      <c r="BD815" s="6"/>
      <c r="BE815" s="6"/>
    </row>
    <row r="816" spans="2:57" x14ac:dyDescent="0.3">
      <c r="B816" s="4" t="s">
        <v>839</v>
      </c>
      <c r="C816" s="4">
        <v>40</v>
      </c>
      <c r="D816" s="4" t="s">
        <v>17</v>
      </c>
      <c r="E816" s="4" t="s">
        <v>15</v>
      </c>
      <c r="F816" s="4" t="s">
        <v>45</v>
      </c>
      <c r="G816" s="18">
        <v>19626</v>
      </c>
      <c r="H816" s="10">
        <v>20</v>
      </c>
      <c r="I816" s="4">
        <v>3</v>
      </c>
      <c r="J816" s="4" t="s">
        <v>14</v>
      </c>
      <c r="K816" s="3" t="s">
        <v>14</v>
      </c>
      <c r="L816" s="3" t="str">
        <f>IF(Table1[[#This Row],[Monthly Income]]&lt;3000,"Low",IF(Table1[[#This Row],[Monthly Income]]&lt;7000,"Medium","High"))</f>
        <v>High</v>
      </c>
      <c r="AK816" s="4"/>
      <c r="AL816" s="4"/>
      <c r="AM816" s="4"/>
      <c r="AN816" s="4"/>
      <c r="AO816" s="4"/>
      <c r="AP816" s="4"/>
      <c r="AQ816" s="4"/>
      <c r="AR816" s="4"/>
      <c r="AS816" s="4"/>
      <c r="AU816" s="4"/>
      <c r="AV816" s="4"/>
      <c r="AW816" s="4"/>
      <c r="AX816" s="4"/>
      <c r="AY816" s="4"/>
      <c r="AZ816" s="4"/>
      <c r="BA816" s="4"/>
      <c r="BB816" s="4"/>
      <c r="BC816" s="4"/>
      <c r="BD816" s="4"/>
      <c r="BE816" s="4"/>
    </row>
    <row r="817" spans="2:57" x14ac:dyDescent="0.3">
      <c r="B817" s="6" t="s">
        <v>840</v>
      </c>
      <c r="C817" s="6">
        <v>21</v>
      </c>
      <c r="D817" s="6" t="s">
        <v>12</v>
      </c>
      <c r="E817" s="6" t="s">
        <v>15</v>
      </c>
      <c r="F817" s="6" t="s">
        <v>18</v>
      </c>
      <c r="G817" s="19">
        <v>2070</v>
      </c>
      <c r="H817" s="11">
        <v>2</v>
      </c>
      <c r="I817" s="6">
        <v>2</v>
      </c>
      <c r="J817" s="6" t="s">
        <v>9</v>
      </c>
      <c r="K817" s="5" t="s">
        <v>14</v>
      </c>
      <c r="L817" s="3" t="str">
        <f>IF(Table1[[#This Row],[Monthly Income]]&lt;3000,"Low",IF(Table1[[#This Row],[Monthly Income]]&lt;7000,"Medium","High"))</f>
        <v>Low</v>
      </c>
      <c r="AK817" s="6"/>
      <c r="AL817" s="6"/>
      <c r="AM817" s="6"/>
      <c r="AN817" s="6"/>
      <c r="AO817" s="6"/>
      <c r="AP817" s="6"/>
      <c r="AQ817" s="6"/>
      <c r="AR817" s="6"/>
      <c r="AS817" s="6"/>
      <c r="AU817" s="6"/>
      <c r="AV817" s="6"/>
      <c r="AW817" s="6"/>
      <c r="AX817" s="6"/>
      <c r="AY817" s="6"/>
      <c r="AZ817" s="6"/>
      <c r="BA817" s="6"/>
      <c r="BB817" s="6"/>
      <c r="BC817" s="6"/>
      <c r="BD817" s="6"/>
      <c r="BE817" s="6"/>
    </row>
    <row r="818" spans="2:57" x14ac:dyDescent="0.3">
      <c r="B818" s="4" t="s">
        <v>841</v>
      </c>
      <c r="C818" s="4">
        <v>39</v>
      </c>
      <c r="D818" s="4" t="s">
        <v>17</v>
      </c>
      <c r="E818" s="4" t="s">
        <v>15</v>
      </c>
      <c r="F818" s="4" t="s">
        <v>20</v>
      </c>
      <c r="G818" s="18">
        <v>6782</v>
      </c>
      <c r="H818" s="10">
        <v>5</v>
      </c>
      <c r="I818" s="4">
        <v>2</v>
      </c>
      <c r="J818" s="4" t="s">
        <v>14</v>
      </c>
      <c r="K818" s="3" t="s">
        <v>14</v>
      </c>
      <c r="L818" s="3" t="str">
        <f>IF(Table1[[#This Row],[Monthly Income]]&lt;3000,"Low",IF(Table1[[#This Row],[Monthly Income]]&lt;7000,"Medium","High"))</f>
        <v>Medium</v>
      </c>
      <c r="AK818" s="4"/>
      <c r="AL818" s="4"/>
      <c r="AM818" s="4"/>
      <c r="AN818" s="4"/>
      <c r="AO818" s="4"/>
      <c r="AP818" s="4"/>
      <c r="AQ818" s="4"/>
      <c r="AR818" s="4"/>
      <c r="AS818" s="4"/>
      <c r="AU818" s="4"/>
      <c r="AV818" s="4"/>
      <c r="AW818" s="4"/>
      <c r="AX818" s="4"/>
      <c r="AY818" s="4"/>
      <c r="AZ818" s="4"/>
      <c r="BA818" s="4"/>
      <c r="BB818" s="4"/>
      <c r="BC818" s="4"/>
      <c r="BD818" s="4"/>
      <c r="BE818" s="4"/>
    </row>
    <row r="819" spans="2:57" x14ac:dyDescent="0.3">
      <c r="B819" s="6" t="s">
        <v>842</v>
      </c>
      <c r="C819" s="6">
        <v>36</v>
      </c>
      <c r="D819" s="6" t="s">
        <v>17</v>
      </c>
      <c r="E819" s="6" t="s">
        <v>15</v>
      </c>
      <c r="F819" s="6" t="s">
        <v>27</v>
      </c>
      <c r="G819" s="19">
        <v>7779</v>
      </c>
      <c r="H819" s="11">
        <v>11</v>
      </c>
      <c r="I819" s="6">
        <v>4</v>
      </c>
      <c r="J819" s="6" t="s">
        <v>14</v>
      </c>
      <c r="K819" s="5" t="s">
        <v>14</v>
      </c>
      <c r="L819" s="3" t="str">
        <f>IF(Table1[[#This Row],[Monthly Income]]&lt;3000,"Low",IF(Table1[[#This Row],[Monthly Income]]&lt;7000,"Medium","High"))</f>
        <v>High</v>
      </c>
      <c r="AK819" s="6"/>
      <c r="AL819" s="6"/>
      <c r="AM819" s="6"/>
      <c r="AN819" s="6"/>
      <c r="AO819" s="6"/>
      <c r="AP819" s="6"/>
      <c r="AQ819" s="6"/>
      <c r="AR819" s="6"/>
      <c r="AS819" s="6"/>
      <c r="AU819" s="6"/>
      <c r="AV819" s="6"/>
      <c r="AW819" s="6"/>
      <c r="AX819" s="6"/>
      <c r="AY819" s="6"/>
      <c r="AZ819" s="6"/>
      <c r="BA819" s="6"/>
      <c r="BB819" s="6"/>
      <c r="BC819" s="6"/>
      <c r="BD819" s="6"/>
      <c r="BE819" s="6"/>
    </row>
    <row r="820" spans="2:57" x14ac:dyDescent="0.3">
      <c r="B820" s="4" t="s">
        <v>843</v>
      </c>
      <c r="C820" s="4">
        <v>31</v>
      </c>
      <c r="D820" s="4" t="s">
        <v>17</v>
      </c>
      <c r="E820" s="4" t="s">
        <v>10</v>
      </c>
      <c r="F820" s="4" t="s">
        <v>43</v>
      </c>
      <c r="G820" s="18">
        <v>2791</v>
      </c>
      <c r="H820" s="10">
        <v>2</v>
      </c>
      <c r="I820" s="4">
        <v>4</v>
      </c>
      <c r="J820" s="4" t="s">
        <v>14</v>
      </c>
      <c r="K820" s="3" t="s">
        <v>14</v>
      </c>
      <c r="L820" s="3" t="str">
        <f>IF(Table1[[#This Row],[Monthly Income]]&lt;3000,"Low",IF(Table1[[#This Row],[Monthly Income]]&lt;7000,"Medium","High"))</f>
        <v>Low</v>
      </c>
      <c r="AK820" s="4"/>
      <c r="AL820" s="4"/>
      <c r="AM820" s="4"/>
      <c r="AN820" s="4"/>
      <c r="AO820" s="4"/>
      <c r="AP820" s="4"/>
      <c r="AQ820" s="4"/>
      <c r="AR820" s="4"/>
      <c r="AS820" s="4"/>
      <c r="AU820" s="4"/>
      <c r="AV820" s="4"/>
      <c r="AW820" s="4"/>
      <c r="AX820" s="4"/>
      <c r="AY820" s="4"/>
      <c r="AZ820" s="4"/>
      <c r="BA820" s="4"/>
      <c r="BB820" s="4"/>
      <c r="BC820" s="4"/>
      <c r="BD820" s="4"/>
      <c r="BE820" s="4"/>
    </row>
    <row r="821" spans="2:57" x14ac:dyDescent="0.3">
      <c r="B821" s="6" t="s">
        <v>844</v>
      </c>
      <c r="C821" s="6">
        <v>28</v>
      </c>
      <c r="D821" s="6" t="s">
        <v>17</v>
      </c>
      <c r="E821" s="6" t="s">
        <v>15</v>
      </c>
      <c r="F821" s="6" t="s">
        <v>18</v>
      </c>
      <c r="G821" s="19">
        <v>3201</v>
      </c>
      <c r="H821" s="11">
        <v>5</v>
      </c>
      <c r="I821" s="6">
        <v>2</v>
      </c>
      <c r="J821" s="6" t="s">
        <v>14</v>
      </c>
      <c r="K821" s="5" t="s">
        <v>14</v>
      </c>
      <c r="L821" s="3" t="str">
        <f>IF(Table1[[#This Row],[Monthly Income]]&lt;3000,"Low",IF(Table1[[#This Row],[Monthly Income]]&lt;7000,"Medium","High"))</f>
        <v>Medium</v>
      </c>
      <c r="AK821" s="6"/>
      <c r="AL821" s="6"/>
      <c r="AM821" s="6"/>
      <c r="AN821" s="6"/>
      <c r="AO821" s="6"/>
      <c r="AP821" s="6"/>
      <c r="AQ821" s="6"/>
      <c r="AR821" s="6"/>
      <c r="AS821" s="6"/>
      <c r="AU821" s="6"/>
      <c r="AV821" s="6"/>
      <c r="AW821" s="6"/>
      <c r="AX821" s="6"/>
      <c r="AY821" s="6"/>
      <c r="AZ821" s="6"/>
      <c r="BA821" s="6"/>
      <c r="BB821" s="6"/>
      <c r="BC821" s="6"/>
      <c r="BD821" s="6"/>
      <c r="BE821" s="6"/>
    </row>
    <row r="822" spans="2:57" x14ac:dyDescent="0.3">
      <c r="B822" s="4" t="s">
        <v>845</v>
      </c>
      <c r="C822" s="4">
        <v>35</v>
      </c>
      <c r="D822" s="4" t="s">
        <v>17</v>
      </c>
      <c r="E822" s="4" t="s">
        <v>10</v>
      </c>
      <c r="F822" s="4" t="s">
        <v>13</v>
      </c>
      <c r="G822" s="18">
        <v>4968</v>
      </c>
      <c r="H822" s="10">
        <v>5</v>
      </c>
      <c r="I822" s="4">
        <v>4</v>
      </c>
      <c r="J822" s="4" t="s">
        <v>14</v>
      </c>
      <c r="K822" s="3" t="s">
        <v>14</v>
      </c>
      <c r="L822" s="3" t="str">
        <f>IF(Table1[[#This Row],[Monthly Income]]&lt;3000,"Low",IF(Table1[[#This Row],[Monthly Income]]&lt;7000,"Medium","High"))</f>
        <v>Medium</v>
      </c>
      <c r="AK822" s="4"/>
      <c r="AL822" s="4"/>
      <c r="AM822" s="4"/>
      <c r="AN822" s="4"/>
      <c r="AO822" s="4"/>
      <c r="AP822" s="4"/>
      <c r="AQ822" s="4"/>
      <c r="AR822" s="4"/>
      <c r="AS822" s="4"/>
      <c r="AU822" s="4"/>
      <c r="AV822" s="4"/>
      <c r="AW822" s="4"/>
      <c r="AX822" s="4"/>
      <c r="AY822" s="4"/>
      <c r="AZ822" s="4"/>
      <c r="BA822" s="4"/>
      <c r="BB822" s="4"/>
      <c r="BC822" s="4"/>
      <c r="BD822" s="4"/>
      <c r="BE822" s="4"/>
    </row>
    <row r="823" spans="2:57" x14ac:dyDescent="0.3">
      <c r="B823" s="6" t="s">
        <v>846</v>
      </c>
      <c r="C823" s="6">
        <v>49</v>
      </c>
      <c r="D823" s="6" t="s">
        <v>17</v>
      </c>
      <c r="E823" s="6" t="s">
        <v>10</v>
      </c>
      <c r="F823" s="6" t="s">
        <v>13</v>
      </c>
      <c r="G823" s="19">
        <v>13120</v>
      </c>
      <c r="H823" s="11">
        <v>9</v>
      </c>
      <c r="I823" s="6">
        <v>2</v>
      </c>
      <c r="J823" s="6" t="s">
        <v>14</v>
      </c>
      <c r="K823" s="5" t="s">
        <v>14</v>
      </c>
      <c r="L823" s="3" t="str">
        <f>IF(Table1[[#This Row],[Monthly Income]]&lt;3000,"Low",IF(Table1[[#This Row],[Monthly Income]]&lt;7000,"Medium","High"))</f>
        <v>High</v>
      </c>
      <c r="AK823" s="6"/>
      <c r="AL823" s="6"/>
      <c r="AM823" s="6"/>
      <c r="AN823" s="6"/>
      <c r="AO823" s="6"/>
      <c r="AP823" s="6"/>
      <c r="AQ823" s="6"/>
      <c r="AR823" s="6"/>
      <c r="AS823" s="6"/>
      <c r="AU823" s="6"/>
      <c r="AV823" s="6"/>
      <c r="AW823" s="6"/>
      <c r="AX823" s="6"/>
      <c r="AY823" s="6"/>
      <c r="AZ823" s="6"/>
      <c r="BA823" s="6"/>
      <c r="BB823" s="6"/>
      <c r="BC823" s="6"/>
      <c r="BD823" s="6"/>
      <c r="BE823" s="6"/>
    </row>
    <row r="824" spans="2:57" x14ac:dyDescent="0.3">
      <c r="B824" s="4" t="s">
        <v>847</v>
      </c>
      <c r="C824" s="4">
        <v>34</v>
      </c>
      <c r="D824" s="4" t="s">
        <v>17</v>
      </c>
      <c r="E824" s="4" t="s">
        <v>15</v>
      </c>
      <c r="F824" s="4" t="s">
        <v>27</v>
      </c>
      <c r="G824" s="18">
        <v>4033</v>
      </c>
      <c r="H824" s="10">
        <v>3</v>
      </c>
      <c r="I824" s="4">
        <v>3</v>
      </c>
      <c r="J824" s="4" t="s">
        <v>14</v>
      </c>
      <c r="K824" s="3" t="s">
        <v>14</v>
      </c>
      <c r="L824" s="3" t="str">
        <f>IF(Table1[[#This Row],[Monthly Income]]&lt;3000,"Low",IF(Table1[[#This Row],[Monthly Income]]&lt;7000,"Medium","High"))</f>
        <v>Medium</v>
      </c>
      <c r="AK824" s="4"/>
      <c r="AL824" s="4"/>
      <c r="AM824" s="4"/>
      <c r="AN824" s="4"/>
      <c r="AO824" s="4"/>
      <c r="AP824" s="4"/>
      <c r="AQ824" s="4"/>
      <c r="AR824" s="4"/>
      <c r="AS824" s="4"/>
      <c r="AU824" s="4"/>
      <c r="AV824" s="4"/>
      <c r="AW824" s="4"/>
      <c r="AX824" s="4"/>
      <c r="AY824" s="4"/>
      <c r="AZ824" s="4"/>
      <c r="BA824" s="4"/>
      <c r="BB824" s="4"/>
      <c r="BC824" s="4"/>
      <c r="BD824" s="4"/>
      <c r="BE824" s="4"/>
    </row>
    <row r="825" spans="2:57" x14ac:dyDescent="0.3">
      <c r="B825" s="6" t="s">
        <v>848</v>
      </c>
      <c r="C825" s="6">
        <v>29</v>
      </c>
      <c r="D825" s="6" t="s">
        <v>12</v>
      </c>
      <c r="E825" s="6" t="s">
        <v>15</v>
      </c>
      <c r="F825" s="6" t="s">
        <v>18</v>
      </c>
      <c r="G825" s="19">
        <v>3291</v>
      </c>
      <c r="H825" s="11">
        <v>7</v>
      </c>
      <c r="I825" s="6">
        <v>2</v>
      </c>
      <c r="J825" s="6" t="s">
        <v>14</v>
      </c>
      <c r="K825" s="5" t="s">
        <v>14</v>
      </c>
      <c r="L825" s="3" t="str">
        <f>IF(Table1[[#This Row],[Monthly Income]]&lt;3000,"Low",IF(Table1[[#This Row],[Monthly Income]]&lt;7000,"Medium","High"))</f>
        <v>Medium</v>
      </c>
      <c r="AK825" s="6"/>
      <c r="AL825" s="6"/>
      <c r="AM825" s="6"/>
      <c r="AN825" s="6"/>
      <c r="AO825" s="6"/>
      <c r="AP825" s="6"/>
      <c r="AQ825" s="6"/>
      <c r="AR825" s="6"/>
      <c r="AS825" s="6"/>
      <c r="AU825" s="6"/>
      <c r="AV825" s="6"/>
      <c r="AW825" s="6"/>
      <c r="AX825" s="6"/>
      <c r="AY825" s="6"/>
      <c r="AZ825" s="6"/>
      <c r="BA825" s="6"/>
      <c r="BB825" s="6"/>
      <c r="BC825" s="6"/>
      <c r="BD825" s="6"/>
      <c r="BE825" s="6"/>
    </row>
    <row r="826" spans="2:57" x14ac:dyDescent="0.3">
      <c r="B826" s="4" t="s">
        <v>849</v>
      </c>
      <c r="C826" s="4">
        <v>42</v>
      </c>
      <c r="D826" s="4" t="s">
        <v>17</v>
      </c>
      <c r="E826" s="4" t="s">
        <v>15</v>
      </c>
      <c r="F826" s="4" t="s">
        <v>20</v>
      </c>
      <c r="G826" s="18">
        <v>4272</v>
      </c>
      <c r="H826" s="10">
        <v>1</v>
      </c>
      <c r="I826" s="4">
        <v>4</v>
      </c>
      <c r="J826" s="4" t="s">
        <v>14</v>
      </c>
      <c r="K826" s="3" t="s">
        <v>14</v>
      </c>
      <c r="L826" s="3" t="str">
        <f>IF(Table1[[#This Row],[Monthly Income]]&lt;3000,"Low",IF(Table1[[#This Row],[Monthly Income]]&lt;7000,"Medium","High"))</f>
        <v>Medium</v>
      </c>
      <c r="AK826" s="4"/>
      <c r="AL826" s="4"/>
      <c r="AM826" s="4"/>
      <c r="AN826" s="4"/>
      <c r="AO826" s="4"/>
      <c r="AP826" s="4"/>
      <c r="AQ826" s="4"/>
      <c r="AR826" s="4"/>
      <c r="AS826" s="4"/>
      <c r="AU826" s="4"/>
      <c r="AV826" s="4"/>
      <c r="AW826" s="4"/>
      <c r="AX826" s="4"/>
      <c r="AY826" s="4"/>
      <c r="AZ826" s="4"/>
      <c r="BA826" s="4"/>
      <c r="BB826" s="4"/>
      <c r="BC826" s="4"/>
      <c r="BD826" s="4"/>
      <c r="BE826" s="4"/>
    </row>
    <row r="827" spans="2:57" x14ac:dyDescent="0.3">
      <c r="B827" s="6" t="s">
        <v>850</v>
      </c>
      <c r="C827" s="6">
        <v>29</v>
      </c>
      <c r="D827" s="6" t="s">
        <v>17</v>
      </c>
      <c r="E827" s="6" t="s">
        <v>15</v>
      </c>
      <c r="F827" s="6" t="s">
        <v>27</v>
      </c>
      <c r="G827" s="19">
        <v>5056</v>
      </c>
      <c r="H827" s="11">
        <v>10</v>
      </c>
      <c r="I827" s="6">
        <v>4</v>
      </c>
      <c r="J827" s="6" t="s">
        <v>9</v>
      </c>
      <c r="K827" s="5" t="s">
        <v>14</v>
      </c>
      <c r="L827" s="3" t="str">
        <f>IF(Table1[[#This Row],[Monthly Income]]&lt;3000,"Low",IF(Table1[[#This Row],[Monthly Income]]&lt;7000,"Medium","High"))</f>
        <v>Medium</v>
      </c>
      <c r="AK827" s="6"/>
      <c r="AL827" s="6"/>
      <c r="AM827" s="6"/>
      <c r="AN827" s="6"/>
      <c r="AO827" s="6"/>
      <c r="AP827" s="6"/>
      <c r="AQ827" s="6"/>
      <c r="AR827" s="6"/>
      <c r="AS827" s="6"/>
      <c r="AU827" s="6"/>
      <c r="AV827" s="6"/>
      <c r="AW827" s="6"/>
      <c r="AX827" s="6"/>
      <c r="AY827" s="6"/>
      <c r="AZ827" s="6"/>
      <c r="BA827" s="6"/>
      <c r="BB827" s="6"/>
      <c r="BC827" s="6"/>
      <c r="BD827" s="6"/>
      <c r="BE827" s="6"/>
    </row>
    <row r="828" spans="2:57" x14ac:dyDescent="0.3">
      <c r="B828" s="4" t="s">
        <v>851</v>
      </c>
      <c r="C828" s="4">
        <v>38</v>
      </c>
      <c r="D828" s="4" t="s">
        <v>17</v>
      </c>
      <c r="E828" s="4" t="s">
        <v>102</v>
      </c>
      <c r="F828" s="4" t="s">
        <v>104</v>
      </c>
      <c r="G828" s="18">
        <v>2844</v>
      </c>
      <c r="H828" s="10">
        <v>7</v>
      </c>
      <c r="I828" s="4">
        <v>3</v>
      </c>
      <c r="J828" s="4" t="s">
        <v>14</v>
      </c>
      <c r="K828" s="3" t="s">
        <v>14</v>
      </c>
      <c r="L828" s="3" t="str">
        <f>IF(Table1[[#This Row],[Monthly Income]]&lt;3000,"Low",IF(Table1[[#This Row],[Monthly Income]]&lt;7000,"Medium","High"))</f>
        <v>Low</v>
      </c>
      <c r="AK828" s="4"/>
      <c r="AL828" s="4"/>
      <c r="AM828" s="4"/>
      <c r="AN828" s="4"/>
      <c r="AO828" s="4"/>
      <c r="AP828" s="4"/>
      <c r="AQ828" s="4"/>
      <c r="AR828" s="4"/>
      <c r="AS828" s="4"/>
      <c r="AU828" s="4"/>
      <c r="AV828" s="4"/>
      <c r="AW828" s="4"/>
      <c r="AX828" s="4"/>
      <c r="AY828" s="4"/>
      <c r="AZ828" s="4"/>
      <c r="BA828" s="4"/>
      <c r="BB828" s="4"/>
      <c r="BC828" s="4"/>
      <c r="BD828" s="4"/>
      <c r="BE828" s="4"/>
    </row>
    <row r="829" spans="2:57" x14ac:dyDescent="0.3">
      <c r="B829" s="6" t="s">
        <v>852</v>
      </c>
      <c r="C829" s="6">
        <v>28</v>
      </c>
      <c r="D829" s="6" t="s">
        <v>17</v>
      </c>
      <c r="E829" s="6" t="s">
        <v>15</v>
      </c>
      <c r="F829" s="6" t="s">
        <v>18</v>
      </c>
      <c r="G829" s="19">
        <v>2703</v>
      </c>
      <c r="H829" s="11">
        <v>3</v>
      </c>
      <c r="I829" s="6">
        <v>3</v>
      </c>
      <c r="J829" s="6" t="s">
        <v>9</v>
      </c>
      <c r="K829" s="5" t="s">
        <v>14</v>
      </c>
      <c r="L829" s="3" t="str">
        <f>IF(Table1[[#This Row],[Monthly Income]]&lt;3000,"Low",IF(Table1[[#This Row],[Monthly Income]]&lt;7000,"Medium","High"))</f>
        <v>Low</v>
      </c>
      <c r="AK829" s="6"/>
      <c r="AL829" s="6"/>
      <c r="AM829" s="6"/>
      <c r="AN829" s="6"/>
      <c r="AO829" s="6"/>
      <c r="AP829" s="6"/>
      <c r="AQ829" s="6"/>
      <c r="AR829" s="6"/>
      <c r="AS829" s="6"/>
      <c r="AU829" s="6"/>
      <c r="AV829" s="6"/>
      <c r="AW829" s="6"/>
      <c r="AX829" s="6"/>
      <c r="AY829" s="6"/>
      <c r="AZ829" s="6"/>
      <c r="BA829" s="6"/>
      <c r="BB829" s="6"/>
      <c r="BC829" s="6"/>
      <c r="BD829" s="6"/>
      <c r="BE829" s="6"/>
    </row>
    <row r="830" spans="2:57" x14ac:dyDescent="0.3">
      <c r="B830" s="4" t="s">
        <v>853</v>
      </c>
      <c r="C830" s="4">
        <v>18</v>
      </c>
      <c r="D830" s="4" t="s">
        <v>17</v>
      </c>
      <c r="E830" s="4" t="s">
        <v>15</v>
      </c>
      <c r="F830" s="4" t="s">
        <v>20</v>
      </c>
      <c r="G830" s="18">
        <v>1904</v>
      </c>
      <c r="H830" s="10">
        <v>0</v>
      </c>
      <c r="I830" s="4">
        <v>3</v>
      </c>
      <c r="J830" s="4" t="s">
        <v>14</v>
      </c>
      <c r="K830" s="3" t="s">
        <v>9</v>
      </c>
      <c r="L830" s="3" t="str">
        <f>IF(Table1[[#This Row],[Monthly Income]]&lt;3000,"Low",IF(Table1[[#This Row],[Monthly Income]]&lt;7000,"Medium","High"))</f>
        <v>Low</v>
      </c>
      <c r="AK830" s="4"/>
      <c r="AL830" s="4"/>
      <c r="AM830" s="4"/>
      <c r="AN830" s="4"/>
      <c r="AO830" s="4"/>
      <c r="AP830" s="4"/>
      <c r="AQ830" s="4"/>
      <c r="AR830" s="4"/>
      <c r="AS830" s="4"/>
      <c r="AU830" s="4"/>
      <c r="AV830" s="4"/>
      <c r="AW830" s="4"/>
      <c r="AX830" s="4"/>
      <c r="AY830" s="4"/>
      <c r="AZ830" s="4"/>
      <c r="BA830" s="4"/>
      <c r="BB830" s="4"/>
      <c r="BC830" s="4"/>
      <c r="BD830" s="4"/>
      <c r="BE830" s="4"/>
    </row>
    <row r="831" spans="2:57" x14ac:dyDescent="0.3">
      <c r="B831" s="6" t="s">
        <v>854</v>
      </c>
      <c r="C831" s="6">
        <v>33</v>
      </c>
      <c r="D831" s="6" t="s">
        <v>12</v>
      </c>
      <c r="E831" s="6" t="s">
        <v>10</v>
      </c>
      <c r="F831" s="6" t="s">
        <v>13</v>
      </c>
      <c r="G831" s="19">
        <v>8224</v>
      </c>
      <c r="H831" s="11">
        <v>5</v>
      </c>
      <c r="I831" s="6">
        <v>1</v>
      </c>
      <c r="J831" s="6" t="s">
        <v>9</v>
      </c>
      <c r="K831" s="5" t="s">
        <v>9</v>
      </c>
      <c r="L831" s="3" t="str">
        <f>IF(Table1[[#This Row],[Monthly Income]]&lt;3000,"Low",IF(Table1[[#This Row],[Monthly Income]]&lt;7000,"Medium","High"))</f>
        <v>High</v>
      </c>
      <c r="AK831" s="6"/>
      <c r="AL831" s="6"/>
      <c r="AM831" s="6"/>
      <c r="AN831" s="6"/>
      <c r="AO831" s="6"/>
      <c r="AP831" s="6"/>
      <c r="AQ831" s="6"/>
      <c r="AR831" s="6"/>
      <c r="AS831" s="6"/>
      <c r="AU831" s="6"/>
      <c r="AV831" s="6"/>
      <c r="AW831" s="6"/>
      <c r="AX831" s="6"/>
      <c r="AY831" s="6"/>
      <c r="AZ831" s="6"/>
      <c r="BA831" s="6"/>
      <c r="BB831" s="6"/>
      <c r="BC831" s="6"/>
      <c r="BD831" s="6"/>
      <c r="BE831" s="6"/>
    </row>
    <row r="832" spans="2:57" x14ac:dyDescent="0.3">
      <c r="B832" s="4" t="s">
        <v>855</v>
      </c>
      <c r="C832" s="4">
        <v>41</v>
      </c>
      <c r="D832" s="4" t="s">
        <v>17</v>
      </c>
      <c r="E832" s="4" t="s">
        <v>15</v>
      </c>
      <c r="F832" s="4" t="s">
        <v>20</v>
      </c>
      <c r="G832" s="18">
        <v>4766</v>
      </c>
      <c r="H832" s="10">
        <v>1</v>
      </c>
      <c r="I832" s="4">
        <v>4</v>
      </c>
      <c r="J832" s="4" t="s">
        <v>9</v>
      </c>
      <c r="K832" s="3" t="s">
        <v>14</v>
      </c>
      <c r="L832" s="3" t="str">
        <f>IF(Table1[[#This Row],[Monthly Income]]&lt;3000,"Low",IF(Table1[[#This Row],[Monthly Income]]&lt;7000,"Medium","High"))</f>
        <v>Medium</v>
      </c>
      <c r="AK832" s="4"/>
      <c r="AL832" s="4"/>
      <c r="AM832" s="4"/>
      <c r="AN832" s="4"/>
      <c r="AO832" s="4"/>
      <c r="AP832" s="4"/>
      <c r="AQ832" s="4"/>
      <c r="AR832" s="4"/>
      <c r="AS832" s="4"/>
      <c r="AU832" s="4"/>
      <c r="AV832" s="4"/>
      <c r="AW832" s="4"/>
      <c r="AX832" s="4"/>
      <c r="AY832" s="4"/>
      <c r="AZ832" s="4"/>
      <c r="BA832" s="4"/>
      <c r="BB832" s="4"/>
      <c r="BC832" s="4"/>
      <c r="BD832" s="4"/>
      <c r="BE832" s="4"/>
    </row>
    <row r="833" spans="2:57" x14ac:dyDescent="0.3">
      <c r="B833" s="6" t="s">
        <v>856</v>
      </c>
      <c r="C833" s="6">
        <v>31</v>
      </c>
      <c r="D833" s="6" t="s">
        <v>17</v>
      </c>
      <c r="E833" s="6" t="s">
        <v>15</v>
      </c>
      <c r="F833" s="6" t="s">
        <v>20</v>
      </c>
      <c r="G833" s="19">
        <v>2610</v>
      </c>
      <c r="H833" s="11">
        <v>2</v>
      </c>
      <c r="I833" s="6">
        <v>3</v>
      </c>
      <c r="J833" s="6" t="s">
        <v>14</v>
      </c>
      <c r="K833" s="5" t="s">
        <v>9</v>
      </c>
      <c r="L833" s="3" t="str">
        <f>IF(Table1[[#This Row],[Monthly Income]]&lt;3000,"Low",IF(Table1[[#This Row],[Monthly Income]]&lt;7000,"Medium","High"))</f>
        <v>Low</v>
      </c>
      <c r="AK833" s="6"/>
      <c r="AL833" s="6"/>
      <c r="AM833" s="6"/>
      <c r="AN833" s="6"/>
      <c r="AO833" s="6"/>
      <c r="AP833" s="6"/>
      <c r="AQ833" s="6"/>
      <c r="AR833" s="6"/>
      <c r="AS833" s="6"/>
      <c r="AU833" s="6"/>
      <c r="AV833" s="6"/>
      <c r="AW833" s="6"/>
      <c r="AX833" s="6"/>
      <c r="AY833" s="6"/>
      <c r="AZ833" s="6"/>
      <c r="BA833" s="6"/>
      <c r="BB833" s="6"/>
      <c r="BC833" s="6"/>
      <c r="BD833" s="6"/>
      <c r="BE833" s="6"/>
    </row>
    <row r="834" spans="2:57" x14ac:dyDescent="0.3">
      <c r="B834" s="4" t="s">
        <v>857</v>
      </c>
      <c r="C834" s="4">
        <v>37</v>
      </c>
      <c r="D834" s="4" t="s">
        <v>12</v>
      </c>
      <c r="E834" s="4" t="s">
        <v>15</v>
      </c>
      <c r="F834" s="4" t="s">
        <v>29</v>
      </c>
      <c r="G834" s="18">
        <v>5731</v>
      </c>
      <c r="H834" s="10">
        <v>6</v>
      </c>
      <c r="I834" s="4">
        <v>4</v>
      </c>
      <c r="J834" s="4" t="s">
        <v>14</v>
      </c>
      <c r="K834" s="3" t="s">
        <v>14</v>
      </c>
      <c r="L834" s="3" t="str">
        <f>IF(Table1[[#This Row],[Monthly Income]]&lt;3000,"Low",IF(Table1[[#This Row],[Monthly Income]]&lt;7000,"Medium","High"))</f>
        <v>Medium</v>
      </c>
      <c r="AK834" s="4"/>
      <c r="AL834" s="4"/>
      <c r="AM834" s="4"/>
      <c r="AN834" s="4"/>
      <c r="AO834" s="4"/>
      <c r="AP834" s="4"/>
      <c r="AQ834" s="4"/>
      <c r="AR834" s="4"/>
      <c r="AS834" s="4"/>
      <c r="AU834" s="4"/>
      <c r="AV834" s="4"/>
      <c r="AW834" s="4"/>
      <c r="AX834" s="4"/>
      <c r="AY834" s="4"/>
      <c r="AZ834" s="4"/>
      <c r="BA834" s="4"/>
      <c r="BB834" s="4"/>
      <c r="BC834" s="4"/>
      <c r="BD834" s="4"/>
      <c r="BE834" s="4"/>
    </row>
    <row r="835" spans="2:57" x14ac:dyDescent="0.3">
      <c r="B835" s="6" t="s">
        <v>858</v>
      </c>
      <c r="C835" s="6">
        <v>27</v>
      </c>
      <c r="D835" s="6" t="s">
        <v>17</v>
      </c>
      <c r="E835" s="6" t="s">
        <v>15</v>
      </c>
      <c r="F835" s="6" t="s">
        <v>18</v>
      </c>
      <c r="G835" s="19">
        <v>2539</v>
      </c>
      <c r="H835" s="11">
        <v>4</v>
      </c>
      <c r="I835" s="6">
        <v>3</v>
      </c>
      <c r="J835" s="6" t="s">
        <v>14</v>
      </c>
      <c r="K835" s="5" t="s">
        <v>14</v>
      </c>
      <c r="L835" s="3" t="str">
        <f>IF(Table1[[#This Row],[Monthly Income]]&lt;3000,"Low",IF(Table1[[#This Row],[Monthly Income]]&lt;7000,"Medium","High"))</f>
        <v>Low</v>
      </c>
      <c r="AK835" s="6"/>
      <c r="AL835" s="6"/>
      <c r="AM835" s="6"/>
      <c r="AN835" s="6"/>
      <c r="AO835" s="6"/>
      <c r="AP835" s="6"/>
      <c r="AQ835" s="6"/>
      <c r="AR835" s="6"/>
      <c r="AS835" s="6"/>
      <c r="AU835" s="6"/>
      <c r="AV835" s="6"/>
      <c r="AW835" s="6"/>
      <c r="AX835" s="6"/>
      <c r="AY835" s="6"/>
      <c r="AZ835" s="6"/>
      <c r="BA835" s="6"/>
      <c r="BB835" s="6"/>
      <c r="BC835" s="6"/>
      <c r="BD835" s="6"/>
      <c r="BE835" s="6"/>
    </row>
    <row r="836" spans="2:57" x14ac:dyDescent="0.3">
      <c r="B836" s="4" t="s">
        <v>859</v>
      </c>
      <c r="C836" s="4">
        <v>34</v>
      </c>
      <c r="D836" s="4" t="s">
        <v>12</v>
      </c>
      <c r="E836" s="4" t="s">
        <v>10</v>
      </c>
      <c r="F836" s="4" t="s">
        <v>13</v>
      </c>
      <c r="G836" s="18">
        <v>5714</v>
      </c>
      <c r="H836" s="10">
        <v>6</v>
      </c>
      <c r="I836" s="4">
        <v>3</v>
      </c>
      <c r="J836" s="4" t="s">
        <v>14</v>
      </c>
      <c r="K836" s="3" t="s">
        <v>14</v>
      </c>
      <c r="L836" s="3" t="str">
        <f>IF(Table1[[#This Row],[Monthly Income]]&lt;3000,"Low",IF(Table1[[#This Row],[Monthly Income]]&lt;7000,"Medium","High"))</f>
        <v>Medium</v>
      </c>
      <c r="AK836" s="4"/>
      <c r="AL836" s="4"/>
      <c r="AM836" s="4"/>
      <c r="AN836" s="4"/>
      <c r="AO836" s="4"/>
      <c r="AP836" s="4"/>
      <c r="AQ836" s="4"/>
      <c r="AR836" s="4"/>
      <c r="AS836" s="4"/>
      <c r="AU836" s="4"/>
      <c r="AV836" s="4"/>
      <c r="AW836" s="4"/>
      <c r="AX836" s="4"/>
      <c r="AY836" s="4"/>
      <c r="AZ836" s="4"/>
      <c r="BA836" s="4"/>
      <c r="BB836" s="4"/>
      <c r="BC836" s="4"/>
      <c r="BD836" s="4"/>
      <c r="BE836" s="4"/>
    </row>
    <row r="837" spans="2:57" x14ac:dyDescent="0.3">
      <c r="B837" s="6" t="s">
        <v>860</v>
      </c>
      <c r="C837" s="6">
        <v>35</v>
      </c>
      <c r="D837" s="6" t="s">
        <v>17</v>
      </c>
      <c r="E837" s="6" t="s">
        <v>102</v>
      </c>
      <c r="F837" s="6" t="s">
        <v>104</v>
      </c>
      <c r="G837" s="19">
        <v>4323</v>
      </c>
      <c r="H837" s="11">
        <v>5</v>
      </c>
      <c r="I837" s="6">
        <v>3</v>
      </c>
      <c r="J837" s="6" t="s">
        <v>14</v>
      </c>
      <c r="K837" s="5" t="s">
        <v>14</v>
      </c>
      <c r="L837" s="3" t="str">
        <f>IF(Table1[[#This Row],[Monthly Income]]&lt;3000,"Low",IF(Table1[[#This Row],[Monthly Income]]&lt;7000,"Medium","High"))</f>
        <v>Medium</v>
      </c>
      <c r="AK837" s="6"/>
      <c r="AL837" s="6"/>
      <c r="AM837" s="6"/>
      <c r="AN837" s="6"/>
      <c r="AO837" s="6"/>
      <c r="AP837" s="6"/>
      <c r="AQ837" s="6"/>
      <c r="AR837" s="6"/>
      <c r="AS837" s="6"/>
      <c r="AU837" s="6"/>
      <c r="AV837" s="6"/>
      <c r="AW837" s="6"/>
      <c r="AX837" s="6"/>
      <c r="AY837" s="6"/>
      <c r="AZ837" s="6"/>
      <c r="BA837" s="6"/>
      <c r="BB837" s="6"/>
      <c r="BC837" s="6"/>
      <c r="BD837" s="6"/>
      <c r="BE837" s="6"/>
    </row>
    <row r="838" spans="2:57" x14ac:dyDescent="0.3">
      <c r="B838" s="4" t="s">
        <v>861</v>
      </c>
      <c r="C838" s="4">
        <v>29</v>
      </c>
      <c r="D838" s="4" t="s">
        <v>12</v>
      </c>
      <c r="E838" s="4" t="s">
        <v>10</v>
      </c>
      <c r="F838" s="4" t="s">
        <v>13</v>
      </c>
      <c r="G838" s="18">
        <v>7336</v>
      </c>
      <c r="H838" s="10">
        <v>11</v>
      </c>
      <c r="I838" s="4">
        <v>1</v>
      </c>
      <c r="J838" s="4" t="s">
        <v>14</v>
      </c>
      <c r="K838" s="3" t="s">
        <v>9</v>
      </c>
      <c r="L838" s="3" t="str">
        <f>IF(Table1[[#This Row],[Monthly Income]]&lt;3000,"Low",IF(Table1[[#This Row],[Monthly Income]]&lt;7000,"Medium","High"))</f>
        <v>High</v>
      </c>
      <c r="AK838" s="4"/>
      <c r="AL838" s="4"/>
      <c r="AM838" s="4"/>
      <c r="AN838" s="4"/>
      <c r="AO838" s="4"/>
      <c r="AP838" s="4"/>
      <c r="AQ838" s="4"/>
      <c r="AR838" s="4"/>
      <c r="AS838" s="4"/>
      <c r="AU838" s="4"/>
      <c r="AV838" s="4"/>
      <c r="AW838" s="4"/>
      <c r="AX838" s="4"/>
      <c r="AY838" s="4"/>
      <c r="AZ838" s="4"/>
      <c r="BA838" s="4"/>
      <c r="BB838" s="4"/>
      <c r="BC838" s="4"/>
      <c r="BD838" s="4"/>
      <c r="BE838" s="4"/>
    </row>
    <row r="839" spans="2:57" x14ac:dyDescent="0.3">
      <c r="B839" s="6" t="s">
        <v>862</v>
      </c>
      <c r="C839" s="6">
        <v>40</v>
      </c>
      <c r="D839" s="6" t="s">
        <v>12</v>
      </c>
      <c r="E839" s="6" t="s">
        <v>15</v>
      </c>
      <c r="F839" s="6" t="s">
        <v>45</v>
      </c>
      <c r="G839" s="19">
        <v>13499</v>
      </c>
      <c r="H839" s="11">
        <v>18</v>
      </c>
      <c r="I839" s="6">
        <v>3</v>
      </c>
      <c r="J839" s="6" t="s">
        <v>14</v>
      </c>
      <c r="K839" s="5" t="s">
        <v>14</v>
      </c>
      <c r="L839" s="3" t="str">
        <f>IF(Table1[[#This Row],[Monthly Income]]&lt;3000,"Low",IF(Table1[[#This Row],[Monthly Income]]&lt;7000,"Medium","High"))</f>
        <v>High</v>
      </c>
      <c r="AK839" s="6"/>
      <c r="AL839" s="6"/>
      <c r="AM839" s="6"/>
      <c r="AN839" s="6"/>
      <c r="AO839" s="6"/>
      <c r="AP839" s="6"/>
      <c r="AQ839" s="6"/>
      <c r="AR839" s="6"/>
      <c r="AS839" s="6"/>
      <c r="AU839" s="6"/>
      <c r="AV839" s="6"/>
      <c r="AW839" s="6"/>
      <c r="AX839" s="6"/>
      <c r="AY839" s="6"/>
      <c r="AZ839" s="6"/>
      <c r="BA839" s="6"/>
      <c r="BB839" s="6"/>
      <c r="BC839" s="6"/>
      <c r="BD839" s="6"/>
      <c r="BE839" s="6"/>
    </row>
    <row r="840" spans="2:57" x14ac:dyDescent="0.3">
      <c r="B840" s="4" t="s">
        <v>863</v>
      </c>
      <c r="C840" s="4">
        <v>42</v>
      </c>
      <c r="D840" s="4" t="s">
        <v>17</v>
      </c>
      <c r="E840" s="4" t="s">
        <v>10</v>
      </c>
      <c r="F840" s="4" t="s">
        <v>13</v>
      </c>
      <c r="G840" s="18">
        <v>13758</v>
      </c>
      <c r="H840" s="10">
        <v>21</v>
      </c>
      <c r="I840" s="4">
        <v>1</v>
      </c>
      <c r="J840" s="4" t="s">
        <v>9</v>
      </c>
      <c r="K840" s="3" t="s">
        <v>9</v>
      </c>
      <c r="L840" s="3" t="str">
        <f>IF(Table1[[#This Row],[Monthly Income]]&lt;3000,"Low",IF(Table1[[#This Row],[Monthly Income]]&lt;7000,"Medium","High"))</f>
        <v>High</v>
      </c>
      <c r="AK840" s="4"/>
      <c r="AL840" s="4"/>
      <c r="AM840" s="4"/>
      <c r="AN840" s="4"/>
      <c r="AO840" s="4"/>
      <c r="AP840" s="4"/>
      <c r="AQ840" s="4"/>
      <c r="AR840" s="4"/>
      <c r="AS840" s="4"/>
      <c r="AU840" s="4"/>
      <c r="AV840" s="4"/>
      <c r="AW840" s="4"/>
      <c r="AX840" s="4"/>
      <c r="AY840" s="4"/>
      <c r="AZ840" s="4"/>
      <c r="BA840" s="4"/>
      <c r="BB840" s="4"/>
      <c r="BC840" s="4"/>
      <c r="BD840" s="4"/>
      <c r="BE840" s="4"/>
    </row>
    <row r="841" spans="2:57" x14ac:dyDescent="0.3">
      <c r="B841" s="6" t="s">
        <v>864</v>
      </c>
      <c r="C841" s="6">
        <v>42</v>
      </c>
      <c r="D841" s="6" t="s">
        <v>17</v>
      </c>
      <c r="E841" s="6" t="s">
        <v>10</v>
      </c>
      <c r="F841" s="6" t="s">
        <v>13</v>
      </c>
      <c r="G841" s="19">
        <v>5155</v>
      </c>
      <c r="H841" s="11">
        <v>6</v>
      </c>
      <c r="I841" s="6">
        <v>1</v>
      </c>
      <c r="J841" s="6" t="s">
        <v>14</v>
      </c>
      <c r="K841" s="5" t="s">
        <v>14</v>
      </c>
      <c r="L841" s="3" t="str">
        <f>IF(Table1[[#This Row],[Monthly Income]]&lt;3000,"Low",IF(Table1[[#This Row],[Monthly Income]]&lt;7000,"Medium","High"))</f>
        <v>Medium</v>
      </c>
      <c r="AK841" s="6"/>
      <c r="AL841" s="6"/>
      <c r="AM841" s="6"/>
      <c r="AN841" s="6"/>
      <c r="AO841" s="6"/>
      <c r="AP841" s="6"/>
      <c r="AQ841" s="6"/>
      <c r="AR841" s="6"/>
      <c r="AS841" s="6"/>
      <c r="AU841" s="6"/>
      <c r="AV841" s="6"/>
      <c r="AW841" s="6"/>
      <c r="AX841" s="6"/>
      <c r="AY841" s="6"/>
      <c r="AZ841" s="6"/>
      <c r="BA841" s="6"/>
      <c r="BB841" s="6"/>
      <c r="BC841" s="6"/>
      <c r="BD841" s="6"/>
      <c r="BE841" s="6"/>
    </row>
    <row r="842" spans="2:57" x14ac:dyDescent="0.3">
      <c r="B842" s="4" t="s">
        <v>865</v>
      </c>
      <c r="C842" s="4">
        <v>35</v>
      </c>
      <c r="D842" s="4" t="s">
        <v>17</v>
      </c>
      <c r="E842" s="4" t="s">
        <v>15</v>
      </c>
      <c r="F842" s="4" t="s">
        <v>20</v>
      </c>
      <c r="G842" s="18">
        <v>2258</v>
      </c>
      <c r="H842" s="10">
        <v>8</v>
      </c>
      <c r="I842" s="4">
        <v>3</v>
      </c>
      <c r="J842" s="4" t="s">
        <v>14</v>
      </c>
      <c r="K842" s="3" t="s">
        <v>14</v>
      </c>
      <c r="L842" s="3" t="str">
        <f>IF(Table1[[#This Row],[Monthly Income]]&lt;3000,"Low",IF(Table1[[#This Row],[Monthly Income]]&lt;7000,"Medium","High"))</f>
        <v>Low</v>
      </c>
      <c r="AK842" s="4"/>
      <c r="AL842" s="4"/>
      <c r="AM842" s="4"/>
      <c r="AN842" s="4"/>
      <c r="AO842" s="4"/>
      <c r="AP842" s="4"/>
      <c r="AQ842" s="4"/>
      <c r="AR842" s="4"/>
      <c r="AS842" s="4"/>
      <c r="AU842" s="4"/>
      <c r="AV842" s="4"/>
      <c r="AW842" s="4"/>
      <c r="AX842" s="4"/>
      <c r="AY842" s="4"/>
      <c r="AZ842" s="4"/>
      <c r="BA842" s="4"/>
      <c r="BB842" s="4"/>
      <c r="BC842" s="4"/>
      <c r="BD842" s="4"/>
      <c r="BE842" s="4"/>
    </row>
    <row r="843" spans="2:57" x14ac:dyDescent="0.3">
      <c r="B843" s="6" t="s">
        <v>866</v>
      </c>
      <c r="C843" s="6">
        <v>24</v>
      </c>
      <c r="D843" s="6" t="s">
        <v>17</v>
      </c>
      <c r="E843" s="6" t="s">
        <v>15</v>
      </c>
      <c r="F843" s="6" t="s">
        <v>20</v>
      </c>
      <c r="G843" s="19">
        <v>3597</v>
      </c>
      <c r="H843" s="11">
        <v>4</v>
      </c>
      <c r="I843" s="6">
        <v>2</v>
      </c>
      <c r="J843" s="6" t="s">
        <v>14</v>
      </c>
      <c r="K843" s="5" t="s">
        <v>14</v>
      </c>
      <c r="L843" s="3" t="str">
        <f>IF(Table1[[#This Row],[Monthly Income]]&lt;3000,"Low",IF(Table1[[#This Row],[Monthly Income]]&lt;7000,"Medium","High"))</f>
        <v>Medium</v>
      </c>
      <c r="AK843" s="6"/>
      <c r="AL843" s="6"/>
      <c r="AM843" s="6"/>
      <c r="AN843" s="6"/>
      <c r="AO843" s="6"/>
      <c r="AP843" s="6"/>
      <c r="AQ843" s="6"/>
      <c r="AR843" s="6"/>
      <c r="AS843" s="6"/>
      <c r="AU843" s="6"/>
      <c r="AV843" s="6"/>
      <c r="AW843" s="6"/>
      <c r="AX843" s="6"/>
      <c r="AY843" s="6"/>
      <c r="AZ843" s="6"/>
      <c r="BA843" s="6"/>
      <c r="BB843" s="6"/>
      <c r="BC843" s="6"/>
      <c r="BD843" s="6"/>
      <c r="BE843" s="6"/>
    </row>
    <row r="844" spans="2:57" x14ac:dyDescent="0.3">
      <c r="B844" s="4" t="s">
        <v>867</v>
      </c>
      <c r="C844" s="4">
        <v>28</v>
      </c>
      <c r="D844" s="4" t="s">
        <v>12</v>
      </c>
      <c r="E844" s="4" t="s">
        <v>15</v>
      </c>
      <c r="F844" s="4" t="s">
        <v>20</v>
      </c>
      <c r="G844" s="18">
        <v>2515</v>
      </c>
      <c r="H844" s="10">
        <v>1</v>
      </c>
      <c r="I844" s="4">
        <v>4</v>
      </c>
      <c r="J844" s="4" t="s">
        <v>9</v>
      </c>
      <c r="K844" s="3" t="s">
        <v>9</v>
      </c>
      <c r="L844" s="3" t="str">
        <f>IF(Table1[[#This Row],[Monthly Income]]&lt;3000,"Low",IF(Table1[[#This Row],[Monthly Income]]&lt;7000,"Medium","High"))</f>
        <v>Low</v>
      </c>
      <c r="AK844" s="4"/>
      <c r="AL844" s="4"/>
      <c r="AM844" s="4"/>
      <c r="AN844" s="4"/>
      <c r="AO844" s="4"/>
      <c r="AP844" s="4"/>
      <c r="AQ844" s="4"/>
      <c r="AR844" s="4"/>
      <c r="AS844" s="4"/>
      <c r="AU844" s="4"/>
      <c r="AV844" s="4"/>
      <c r="AW844" s="4"/>
      <c r="AX844" s="4"/>
      <c r="AY844" s="4"/>
      <c r="AZ844" s="4"/>
      <c r="BA844" s="4"/>
      <c r="BB844" s="4"/>
      <c r="BC844" s="4"/>
      <c r="BD844" s="4"/>
      <c r="BE844" s="4"/>
    </row>
    <row r="845" spans="2:57" x14ac:dyDescent="0.3">
      <c r="B845" s="6" t="s">
        <v>868</v>
      </c>
      <c r="C845" s="6">
        <v>26</v>
      </c>
      <c r="D845" s="6" t="s">
        <v>17</v>
      </c>
      <c r="E845" s="6" t="s">
        <v>15</v>
      </c>
      <c r="F845" s="6" t="s">
        <v>20</v>
      </c>
      <c r="G845" s="19">
        <v>4420</v>
      </c>
      <c r="H845" s="11">
        <v>8</v>
      </c>
      <c r="I845" s="6">
        <v>4</v>
      </c>
      <c r="J845" s="6" t="s">
        <v>14</v>
      </c>
      <c r="K845" s="5" t="s">
        <v>14</v>
      </c>
      <c r="L845" s="3" t="str">
        <f>IF(Table1[[#This Row],[Monthly Income]]&lt;3000,"Low",IF(Table1[[#This Row],[Monthly Income]]&lt;7000,"Medium","High"))</f>
        <v>Medium</v>
      </c>
      <c r="AK845" s="6"/>
      <c r="AL845" s="6"/>
      <c r="AM845" s="6"/>
      <c r="AN845" s="6"/>
      <c r="AO845" s="6"/>
      <c r="AP845" s="6"/>
      <c r="AQ845" s="6"/>
      <c r="AR845" s="6"/>
      <c r="AS845" s="6"/>
      <c r="AU845" s="6"/>
      <c r="AV845" s="6"/>
      <c r="AW845" s="6"/>
      <c r="AX845" s="6"/>
      <c r="AY845" s="6"/>
      <c r="AZ845" s="6"/>
      <c r="BA845" s="6"/>
      <c r="BB845" s="6"/>
      <c r="BC845" s="6"/>
      <c r="BD845" s="6"/>
      <c r="BE845" s="6"/>
    </row>
    <row r="846" spans="2:57" x14ac:dyDescent="0.3">
      <c r="B846" s="4" t="s">
        <v>869</v>
      </c>
      <c r="C846" s="4">
        <v>30</v>
      </c>
      <c r="D846" s="4" t="s">
        <v>17</v>
      </c>
      <c r="E846" s="4" t="s">
        <v>10</v>
      </c>
      <c r="F846" s="4" t="s">
        <v>13</v>
      </c>
      <c r="G846" s="18">
        <v>6578</v>
      </c>
      <c r="H846" s="10">
        <v>10</v>
      </c>
      <c r="I846" s="4">
        <v>3</v>
      </c>
      <c r="J846" s="4" t="s">
        <v>14</v>
      </c>
      <c r="K846" s="3" t="s">
        <v>14</v>
      </c>
      <c r="L846" s="3" t="str">
        <f>IF(Table1[[#This Row],[Monthly Income]]&lt;3000,"Low",IF(Table1[[#This Row],[Monthly Income]]&lt;7000,"Medium","High"))</f>
        <v>Medium</v>
      </c>
      <c r="AK846" s="4"/>
      <c r="AL846" s="4"/>
      <c r="AM846" s="4"/>
      <c r="AN846" s="4"/>
      <c r="AO846" s="4"/>
      <c r="AP846" s="4"/>
      <c r="AQ846" s="4"/>
      <c r="AR846" s="4"/>
      <c r="AS846" s="4"/>
      <c r="AU846" s="4"/>
      <c r="AV846" s="4"/>
      <c r="AW846" s="4"/>
      <c r="AX846" s="4"/>
      <c r="AY846" s="4"/>
      <c r="AZ846" s="4"/>
      <c r="BA846" s="4"/>
      <c r="BB846" s="4"/>
      <c r="BC846" s="4"/>
      <c r="BD846" s="4"/>
      <c r="BE846" s="4"/>
    </row>
    <row r="847" spans="2:57" x14ac:dyDescent="0.3">
      <c r="B847" s="6" t="s">
        <v>870</v>
      </c>
      <c r="C847" s="6">
        <v>40</v>
      </c>
      <c r="D847" s="6" t="s">
        <v>12</v>
      </c>
      <c r="E847" s="6" t="s">
        <v>15</v>
      </c>
      <c r="F847" s="6" t="s">
        <v>18</v>
      </c>
      <c r="G847" s="19">
        <v>4422</v>
      </c>
      <c r="H847" s="11">
        <v>1</v>
      </c>
      <c r="I847" s="6">
        <v>4</v>
      </c>
      <c r="J847" s="6" t="s">
        <v>9</v>
      </c>
      <c r="K847" s="5" t="s">
        <v>14</v>
      </c>
      <c r="L847" s="3" t="str">
        <f>IF(Table1[[#This Row],[Monthly Income]]&lt;3000,"Low",IF(Table1[[#This Row],[Monthly Income]]&lt;7000,"Medium","High"))</f>
        <v>Medium</v>
      </c>
      <c r="AK847" s="6"/>
      <c r="AL847" s="6"/>
      <c r="AM847" s="6"/>
      <c r="AN847" s="6"/>
      <c r="AO847" s="6"/>
      <c r="AP847" s="6"/>
      <c r="AQ847" s="6"/>
      <c r="AR847" s="6"/>
      <c r="AS847" s="6"/>
      <c r="AU847" s="6"/>
      <c r="AV847" s="6"/>
      <c r="AW847" s="6"/>
      <c r="AX847" s="6"/>
      <c r="AY847" s="6"/>
      <c r="AZ847" s="6"/>
      <c r="BA847" s="6"/>
      <c r="BB847" s="6"/>
      <c r="BC847" s="6"/>
      <c r="BD847" s="6"/>
      <c r="BE847" s="6"/>
    </row>
    <row r="848" spans="2:57" x14ac:dyDescent="0.3">
      <c r="B848" s="4" t="s">
        <v>871</v>
      </c>
      <c r="C848" s="4">
        <v>35</v>
      </c>
      <c r="D848" s="4" t="s">
        <v>17</v>
      </c>
      <c r="E848" s="4" t="s">
        <v>15</v>
      </c>
      <c r="F848" s="4" t="s">
        <v>27</v>
      </c>
      <c r="G848" s="18">
        <v>10274</v>
      </c>
      <c r="H848" s="10">
        <v>7</v>
      </c>
      <c r="I848" s="4">
        <v>2</v>
      </c>
      <c r="J848" s="4" t="s">
        <v>14</v>
      </c>
      <c r="K848" s="3" t="s">
        <v>14</v>
      </c>
      <c r="L848" s="3" t="str">
        <f>IF(Table1[[#This Row],[Monthly Income]]&lt;3000,"Low",IF(Table1[[#This Row],[Monthly Income]]&lt;7000,"Medium","High"))</f>
        <v>High</v>
      </c>
      <c r="AK848" s="4"/>
      <c r="AL848" s="4"/>
      <c r="AM848" s="4"/>
      <c r="AN848" s="4"/>
      <c r="AO848" s="4"/>
      <c r="AP848" s="4"/>
      <c r="AQ848" s="4"/>
      <c r="AR848" s="4"/>
      <c r="AS848" s="4"/>
      <c r="AU848" s="4"/>
      <c r="AV848" s="4"/>
      <c r="AW848" s="4"/>
      <c r="AX848" s="4"/>
      <c r="AY848" s="4"/>
      <c r="AZ848" s="4"/>
      <c r="BA848" s="4"/>
      <c r="BB848" s="4"/>
      <c r="BC848" s="4"/>
      <c r="BD848" s="4"/>
      <c r="BE848" s="4"/>
    </row>
    <row r="849" spans="2:57" x14ac:dyDescent="0.3">
      <c r="B849" s="6" t="s">
        <v>872</v>
      </c>
      <c r="C849" s="6">
        <v>34</v>
      </c>
      <c r="D849" s="6" t="s">
        <v>17</v>
      </c>
      <c r="E849" s="6" t="s">
        <v>15</v>
      </c>
      <c r="F849" s="6" t="s">
        <v>29</v>
      </c>
      <c r="G849" s="19">
        <v>5343</v>
      </c>
      <c r="H849" s="11">
        <v>13</v>
      </c>
      <c r="I849" s="6">
        <v>1</v>
      </c>
      <c r="J849" s="6" t="s">
        <v>14</v>
      </c>
      <c r="K849" s="5" t="s">
        <v>14</v>
      </c>
      <c r="L849" s="3" t="str">
        <f>IF(Table1[[#This Row],[Monthly Income]]&lt;3000,"Low",IF(Table1[[#This Row],[Monthly Income]]&lt;7000,"Medium","High"))</f>
        <v>Medium</v>
      </c>
      <c r="AK849" s="6"/>
      <c r="AL849" s="6"/>
      <c r="AM849" s="6"/>
      <c r="AN849" s="6"/>
      <c r="AO849" s="6"/>
      <c r="AP849" s="6"/>
      <c r="AQ849" s="6"/>
      <c r="AR849" s="6"/>
      <c r="AS849" s="6"/>
      <c r="AU849" s="6"/>
      <c r="AV849" s="6"/>
      <c r="AW849" s="6"/>
      <c r="AX849" s="6"/>
      <c r="AY849" s="6"/>
      <c r="AZ849" s="6"/>
      <c r="BA849" s="6"/>
      <c r="BB849" s="6"/>
      <c r="BC849" s="6"/>
      <c r="BD849" s="6"/>
      <c r="BE849" s="6"/>
    </row>
    <row r="850" spans="2:57" x14ac:dyDescent="0.3">
      <c r="B850" s="4" t="s">
        <v>873</v>
      </c>
      <c r="C850" s="4">
        <v>35</v>
      </c>
      <c r="D850" s="4" t="s">
        <v>17</v>
      </c>
      <c r="E850" s="4" t="s">
        <v>15</v>
      </c>
      <c r="F850" s="4" t="s">
        <v>20</v>
      </c>
      <c r="G850" s="18">
        <v>2376</v>
      </c>
      <c r="H850" s="10">
        <v>2</v>
      </c>
      <c r="I850" s="4">
        <v>4</v>
      </c>
      <c r="J850" s="4" t="s">
        <v>14</v>
      </c>
      <c r="K850" s="3" t="s">
        <v>14</v>
      </c>
      <c r="L850" s="3" t="str">
        <f>IF(Table1[[#This Row],[Monthly Income]]&lt;3000,"Low",IF(Table1[[#This Row],[Monthly Income]]&lt;7000,"Medium","High"))</f>
        <v>Low</v>
      </c>
      <c r="AK850" s="4"/>
      <c r="AL850" s="4"/>
      <c r="AM850" s="4"/>
      <c r="AN850" s="4"/>
      <c r="AO850" s="4"/>
      <c r="AP850" s="4"/>
      <c r="AQ850" s="4"/>
      <c r="AR850" s="4"/>
      <c r="AS850" s="4"/>
      <c r="AU850" s="4"/>
      <c r="AV850" s="4"/>
      <c r="AW850" s="4"/>
      <c r="AX850" s="4"/>
      <c r="AY850" s="4"/>
      <c r="AZ850" s="4"/>
      <c r="BA850" s="4"/>
      <c r="BB850" s="4"/>
      <c r="BC850" s="4"/>
      <c r="BD850" s="4"/>
      <c r="BE850" s="4"/>
    </row>
    <row r="851" spans="2:57" x14ac:dyDescent="0.3">
      <c r="B851" s="6" t="s">
        <v>874</v>
      </c>
      <c r="C851" s="6">
        <v>43</v>
      </c>
      <c r="D851" s="6" t="s">
        <v>12</v>
      </c>
      <c r="E851" s="6" t="s">
        <v>10</v>
      </c>
      <c r="F851" s="6" t="s">
        <v>13</v>
      </c>
      <c r="G851" s="19">
        <v>5346</v>
      </c>
      <c r="H851" s="11">
        <v>4</v>
      </c>
      <c r="I851" s="6">
        <v>3</v>
      </c>
      <c r="J851" s="6" t="s">
        <v>14</v>
      </c>
      <c r="K851" s="5" t="s">
        <v>9</v>
      </c>
      <c r="L851" s="3" t="str">
        <f>IF(Table1[[#This Row],[Monthly Income]]&lt;3000,"Low",IF(Table1[[#This Row],[Monthly Income]]&lt;7000,"Medium","High"))</f>
        <v>Medium</v>
      </c>
      <c r="AK851" s="6"/>
      <c r="AL851" s="6"/>
      <c r="AM851" s="6"/>
      <c r="AN851" s="6"/>
      <c r="AO851" s="6"/>
      <c r="AP851" s="6"/>
      <c r="AQ851" s="6"/>
      <c r="AR851" s="6"/>
      <c r="AS851" s="6"/>
      <c r="AU851" s="6"/>
      <c r="AV851" s="6"/>
      <c r="AW851" s="6"/>
      <c r="AX851" s="6"/>
      <c r="AY851" s="6"/>
      <c r="AZ851" s="6"/>
      <c r="BA851" s="6"/>
      <c r="BB851" s="6"/>
      <c r="BC851" s="6"/>
      <c r="BD851" s="6"/>
      <c r="BE851" s="6"/>
    </row>
    <row r="852" spans="2:57" x14ac:dyDescent="0.3">
      <c r="B852" s="4" t="s">
        <v>875</v>
      </c>
      <c r="C852" s="4">
        <v>32</v>
      </c>
      <c r="D852" s="4" t="s">
        <v>12</v>
      </c>
      <c r="E852" s="4" t="s">
        <v>10</v>
      </c>
      <c r="F852" s="4" t="s">
        <v>43</v>
      </c>
      <c r="G852" s="18">
        <v>2827</v>
      </c>
      <c r="H852" s="10">
        <v>1</v>
      </c>
      <c r="I852" s="4">
        <v>1</v>
      </c>
      <c r="J852" s="4" t="s">
        <v>14</v>
      </c>
      <c r="K852" s="3" t="s">
        <v>14</v>
      </c>
      <c r="L852" s="3" t="str">
        <f>IF(Table1[[#This Row],[Monthly Income]]&lt;3000,"Low",IF(Table1[[#This Row],[Monthly Income]]&lt;7000,"Medium","High"))</f>
        <v>Low</v>
      </c>
      <c r="AK852" s="4"/>
      <c r="AL852" s="4"/>
      <c r="AM852" s="4"/>
      <c r="AN852" s="4"/>
      <c r="AO852" s="4"/>
      <c r="AP852" s="4"/>
      <c r="AQ852" s="4"/>
      <c r="AR852" s="4"/>
      <c r="AS852" s="4"/>
      <c r="AU852" s="4"/>
      <c r="AV852" s="4"/>
      <c r="AW852" s="4"/>
      <c r="AX852" s="4"/>
      <c r="AY852" s="4"/>
      <c r="AZ852" s="4"/>
      <c r="BA852" s="4"/>
      <c r="BB852" s="4"/>
      <c r="BC852" s="4"/>
      <c r="BD852" s="4"/>
      <c r="BE852" s="4"/>
    </row>
    <row r="853" spans="2:57" x14ac:dyDescent="0.3">
      <c r="B853" s="6" t="s">
        <v>876</v>
      </c>
      <c r="C853" s="6">
        <v>56</v>
      </c>
      <c r="D853" s="6" t="s">
        <v>12</v>
      </c>
      <c r="E853" s="6" t="s">
        <v>15</v>
      </c>
      <c r="F853" s="6" t="s">
        <v>39</v>
      </c>
      <c r="G853" s="19">
        <v>19943</v>
      </c>
      <c r="H853" s="11">
        <v>5</v>
      </c>
      <c r="I853" s="6">
        <v>1</v>
      </c>
      <c r="J853" s="6" t="s">
        <v>14</v>
      </c>
      <c r="K853" s="5" t="s">
        <v>14</v>
      </c>
      <c r="L853" s="3" t="str">
        <f>IF(Table1[[#This Row],[Monthly Income]]&lt;3000,"Low",IF(Table1[[#This Row],[Monthly Income]]&lt;7000,"Medium","High"))</f>
        <v>High</v>
      </c>
      <c r="AK853" s="6"/>
      <c r="AL853" s="6"/>
      <c r="AM853" s="6"/>
      <c r="AN853" s="6"/>
      <c r="AO853" s="6"/>
      <c r="AP853" s="6"/>
      <c r="AQ853" s="6"/>
      <c r="AR853" s="6"/>
      <c r="AS853" s="6"/>
      <c r="AU853" s="6"/>
      <c r="AV853" s="6"/>
      <c r="AW853" s="6"/>
      <c r="AX853" s="6"/>
      <c r="AY853" s="6"/>
      <c r="AZ853" s="6"/>
      <c r="BA853" s="6"/>
      <c r="BB853" s="6"/>
      <c r="BC853" s="6"/>
      <c r="BD853" s="6"/>
      <c r="BE853" s="6"/>
    </row>
    <row r="854" spans="2:57" x14ac:dyDescent="0.3">
      <c r="B854" s="4" t="s">
        <v>877</v>
      </c>
      <c r="C854" s="4">
        <v>29</v>
      </c>
      <c r="D854" s="4" t="s">
        <v>12</v>
      </c>
      <c r="E854" s="4" t="s">
        <v>15</v>
      </c>
      <c r="F854" s="4" t="s">
        <v>20</v>
      </c>
      <c r="G854" s="18">
        <v>3131</v>
      </c>
      <c r="H854" s="10">
        <v>10</v>
      </c>
      <c r="I854" s="4">
        <v>4</v>
      </c>
      <c r="J854" s="4" t="s">
        <v>14</v>
      </c>
      <c r="K854" s="3" t="s">
        <v>14</v>
      </c>
      <c r="L854" s="3" t="str">
        <f>IF(Table1[[#This Row],[Monthly Income]]&lt;3000,"Low",IF(Table1[[#This Row],[Monthly Income]]&lt;7000,"Medium","High"))</f>
        <v>Medium</v>
      </c>
      <c r="AK854" s="4"/>
      <c r="AL854" s="4"/>
      <c r="AM854" s="4"/>
      <c r="AN854" s="4"/>
      <c r="AO854" s="4"/>
      <c r="AP854" s="4"/>
      <c r="AQ854" s="4"/>
      <c r="AR854" s="4"/>
      <c r="AS854" s="4"/>
      <c r="AU854" s="4"/>
      <c r="AV854" s="4"/>
      <c r="AW854" s="4"/>
      <c r="AX854" s="4"/>
      <c r="AY854" s="4"/>
      <c r="AZ854" s="4"/>
      <c r="BA854" s="4"/>
      <c r="BB854" s="4"/>
      <c r="BC854" s="4"/>
      <c r="BD854" s="4"/>
      <c r="BE854" s="4"/>
    </row>
    <row r="855" spans="2:57" x14ac:dyDescent="0.3">
      <c r="B855" s="6" t="s">
        <v>878</v>
      </c>
      <c r="C855" s="6">
        <v>19</v>
      </c>
      <c r="D855" s="6" t="s">
        <v>17</v>
      </c>
      <c r="E855" s="6" t="s">
        <v>15</v>
      </c>
      <c r="F855" s="6" t="s">
        <v>18</v>
      </c>
      <c r="G855" s="19">
        <v>2552</v>
      </c>
      <c r="H855" s="11">
        <v>1</v>
      </c>
      <c r="I855" s="6">
        <v>1</v>
      </c>
      <c r="J855" s="6" t="s">
        <v>14</v>
      </c>
      <c r="K855" s="5" t="s">
        <v>14</v>
      </c>
      <c r="L855" s="3" t="str">
        <f>IF(Table1[[#This Row],[Monthly Income]]&lt;3000,"Low",IF(Table1[[#This Row],[Monthly Income]]&lt;7000,"Medium","High"))</f>
        <v>Low</v>
      </c>
      <c r="AK855" s="6"/>
      <c r="AL855" s="6"/>
      <c r="AM855" s="6"/>
      <c r="AN855" s="6"/>
      <c r="AO855" s="6"/>
      <c r="AP855" s="6"/>
      <c r="AQ855" s="6"/>
      <c r="AR855" s="6"/>
      <c r="AS855" s="6"/>
      <c r="AU855" s="6"/>
      <c r="AV855" s="6"/>
      <c r="AW855" s="6"/>
      <c r="AX855" s="6"/>
      <c r="AY855" s="6"/>
      <c r="AZ855" s="6"/>
      <c r="BA855" s="6"/>
      <c r="BB855" s="6"/>
      <c r="BC855" s="6"/>
      <c r="BD855" s="6"/>
      <c r="BE855" s="6"/>
    </row>
    <row r="856" spans="2:57" x14ac:dyDescent="0.3">
      <c r="B856" s="4" t="s">
        <v>879</v>
      </c>
      <c r="C856" s="4">
        <v>45</v>
      </c>
      <c r="D856" s="4" t="s">
        <v>12</v>
      </c>
      <c r="E856" s="4" t="s">
        <v>15</v>
      </c>
      <c r="F856" s="4" t="s">
        <v>18</v>
      </c>
      <c r="G856" s="18">
        <v>4477</v>
      </c>
      <c r="H856" s="10">
        <v>3</v>
      </c>
      <c r="I856" s="4">
        <v>3</v>
      </c>
      <c r="J856" s="4" t="s">
        <v>9</v>
      </c>
      <c r="K856" s="3" t="s">
        <v>14</v>
      </c>
      <c r="L856" s="3" t="str">
        <f>IF(Table1[[#This Row],[Monthly Income]]&lt;3000,"Low",IF(Table1[[#This Row],[Monthly Income]]&lt;7000,"Medium","High"))</f>
        <v>Medium</v>
      </c>
      <c r="AK856" s="4"/>
      <c r="AL856" s="4"/>
      <c r="AM856" s="4"/>
      <c r="AN856" s="4"/>
      <c r="AO856" s="4"/>
      <c r="AP856" s="4"/>
      <c r="AQ856" s="4"/>
      <c r="AR856" s="4"/>
      <c r="AS856" s="4"/>
      <c r="AU856" s="4"/>
      <c r="AV856" s="4"/>
      <c r="AW856" s="4"/>
      <c r="AX856" s="4"/>
      <c r="AY856" s="4"/>
      <c r="AZ856" s="4"/>
      <c r="BA856" s="4"/>
      <c r="BB856" s="4"/>
      <c r="BC856" s="4"/>
      <c r="BD856" s="4"/>
      <c r="BE856" s="4"/>
    </row>
    <row r="857" spans="2:57" x14ac:dyDescent="0.3">
      <c r="B857" s="6" t="s">
        <v>880</v>
      </c>
      <c r="C857" s="6">
        <v>37</v>
      </c>
      <c r="D857" s="6" t="s">
        <v>12</v>
      </c>
      <c r="E857" s="6" t="s">
        <v>15</v>
      </c>
      <c r="F857" s="6" t="s">
        <v>27</v>
      </c>
      <c r="G857" s="19">
        <v>6474</v>
      </c>
      <c r="H857" s="11">
        <v>14</v>
      </c>
      <c r="I857" s="6">
        <v>4</v>
      </c>
      <c r="J857" s="6" t="s">
        <v>14</v>
      </c>
      <c r="K857" s="5" t="s">
        <v>14</v>
      </c>
      <c r="L857" s="3" t="str">
        <f>IF(Table1[[#This Row],[Monthly Income]]&lt;3000,"Low",IF(Table1[[#This Row],[Monthly Income]]&lt;7000,"Medium","High"))</f>
        <v>Medium</v>
      </c>
      <c r="AK857" s="6"/>
      <c r="AL857" s="6"/>
      <c r="AM857" s="6"/>
      <c r="AN857" s="6"/>
      <c r="AO857" s="6"/>
      <c r="AP857" s="6"/>
      <c r="AQ857" s="6"/>
      <c r="AR857" s="6"/>
      <c r="AS857" s="6"/>
      <c r="AU857" s="6"/>
      <c r="AV857" s="6"/>
      <c r="AW857" s="6"/>
      <c r="AX857" s="6"/>
      <c r="AY857" s="6"/>
      <c r="AZ857" s="6"/>
      <c r="BA857" s="6"/>
      <c r="BB857" s="6"/>
      <c r="BC857" s="6"/>
      <c r="BD857" s="6"/>
      <c r="BE857" s="6"/>
    </row>
    <row r="858" spans="2:57" x14ac:dyDescent="0.3">
      <c r="B858" s="4" t="s">
        <v>881</v>
      </c>
      <c r="C858" s="4">
        <v>20</v>
      </c>
      <c r="D858" s="4" t="s">
        <v>17</v>
      </c>
      <c r="E858" s="4" t="s">
        <v>15</v>
      </c>
      <c r="F858" s="4" t="s">
        <v>20</v>
      </c>
      <c r="G858" s="18">
        <v>3033</v>
      </c>
      <c r="H858" s="10">
        <v>2</v>
      </c>
      <c r="I858" s="4">
        <v>3</v>
      </c>
      <c r="J858" s="4" t="s">
        <v>14</v>
      </c>
      <c r="K858" s="3" t="s">
        <v>14</v>
      </c>
      <c r="L858" s="3" t="str">
        <f>IF(Table1[[#This Row],[Monthly Income]]&lt;3000,"Low",IF(Table1[[#This Row],[Monthly Income]]&lt;7000,"Medium","High"))</f>
        <v>Medium</v>
      </c>
      <c r="AK858" s="4"/>
      <c r="AL858" s="4"/>
      <c r="AM858" s="4"/>
      <c r="AN858" s="4"/>
      <c r="AO858" s="4"/>
      <c r="AP858" s="4"/>
      <c r="AQ858" s="4"/>
      <c r="AR858" s="4"/>
      <c r="AS858" s="4"/>
      <c r="AU858" s="4"/>
      <c r="AV858" s="4"/>
      <c r="AW858" s="4"/>
      <c r="AX858" s="4"/>
      <c r="AY858" s="4"/>
      <c r="AZ858" s="4"/>
      <c r="BA858" s="4"/>
      <c r="BB858" s="4"/>
      <c r="BC858" s="4"/>
      <c r="BD858" s="4"/>
      <c r="BE858" s="4"/>
    </row>
    <row r="859" spans="2:57" x14ac:dyDescent="0.3">
      <c r="B859" s="6" t="s">
        <v>882</v>
      </c>
      <c r="C859" s="6">
        <v>44</v>
      </c>
      <c r="D859" s="6" t="s">
        <v>17</v>
      </c>
      <c r="E859" s="6" t="s">
        <v>15</v>
      </c>
      <c r="F859" s="6" t="s">
        <v>18</v>
      </c>
      <c r="G859" s="19">
        <v>2936</v>
      </c>
      <c r="H859" s="11">
        <v>6</v>
      </c>
      <c r="I859" s="6">
        <v>3</v>
      </c>
      <c r="J859" s="6" t="s">
        <v>9</v>
      </c>
      <c r="K859" s="5" t="s">
        <v>9</v>
      </c>
      <c r="L859" s="3" t="str">
        <f>IF(Table1[[#This Row],[Monthly Income]]&lt;3000,"Low",IF(Table1[[#This Row],[Monthly Income]]&lt;7000,"Medium","High"))</f>
        <v>Low</v>
      </c>
      <c r="AK859" s="6"/>
      <c r="AL859" s="6"/>
      <c r="AM859" s="6"/>
      <c r="AN859" s="6"/>
      <c r="AO859" s="6"/>
      <c r="AP859" s="6"/>
      <c r="AQ859" s="6"/>
      <c r="AR859" s="6"/>
      <c r="AS859" s="6"/>
      <c r="AU859" s="6"/>
      <c r="AV859" s="6"/>
      <c r="AW859" s="6"/>
      <c r="AX859" s="6"/>
      <c r="AY859" s="6"/>
      <c r="AZ859" s="6"/>
      <c r="BA859" s="6"/>
      <c r="BB859" s="6"/>
      <c r="BC859" s="6"/>
      <c r="BD859" s="6"/>
      <c r="BE859" s="6"/>
    </row>
    <row r="860" spans="2:57" x14ac:dyDescent="0.3">
      <c r="B860" s="4" t="s">
        <v>883</v>
      </c>
      <c r="C860" s="4">
        <v>53</v>
      </c>
      <c r="D860" s="4" t="s">
        <v>12</v>
      </c>
      <c r="E860" s="4" t="s">
        <v>15</v>
      </c>
      <c r="F860" s="4" t="s">
        <v>39</v>
      </c>
      <c r="G860" s="18">
        <v>18606</v>
      </c>
      <c r="H860" s="10">
        <v>7</v>
      </c>
      <c r="I860" s="4">
        <v>3</v>
      </c>
      <c r="J860" s="4" t="s">
        <v>14</v>
      </c>
      <c r="K860" s="3" t="s">
        <v>14</v>
      </c>
      <c r="L860" s="3" t="str">
        <f>IF(Table1[[#This Row],[Monthly Income]]&lt;3000,"Low",IF(Table1[[#This Row],[Monthly Income]]&lt;7000,"Medium","High"))</f>
        <v>High</v>
      </c>
      <c r="AK860" s="4"/>
      <c r="AL860" s="4"/>
      <c r="AM860" s="4"/>
      <c r="AN860" s="4"/>
      <c r="AO860" s="4"/>
      <c r="AP860" s="4"/>
      <c r="AQ860" s="4"/>
      <c r="AR860" s="4"/>
      <c r="AS860" s="4"/>
      <c r="AU860" s="4"/>
      <c r="AV860" s="4"/>
      <c r="AW860" s="4"/>
      <c r="AX860" s="4"/>
      <c r="AY860" s="4"/>
      <c r="AZ860" s="4"/>
      <c r="BA860" s="4"/>
      <c r="BB860" s="4"/>
      <c r="BC860" s="4"/>
      <c r="BD860" s="4"/>
      <c r="BE860" s="4"/>
    </row>
    <row r="861" spans="2:57" x14ac:dyDescent="0.3">
      <c r="B861" s="6" t="s">
        <v>884</v>
      </c>
      <c r="C861" s="6">
        <v>29</v>
      </c>
      <c r="D861" s="6" t="s">
        <v>12</v>
      </c>
      <c r="E861" s="6" t="s">
        <v>15</v>
      </c>
      <c r="F861" s="6" t="s">
        <v>18</v>
      </c>
      <c r="G861" s="19">
        <v>2168</v>
      </c>
      <c r="H861" s="11">
        <v>5</v>
      </c>
      <c r="I861" s="6">
        <v>4</v>
      </c>
      <c r="J861" s="6" t="s">
        <v>9</v>
      </c>
      <c r="K861" s="5" t="s">
        <v>14</v>
      </c>
      <c r="L861" s="3" t="str">
        <f>IF(Table1[[#This Row],[Monthly Income]]&lt;3000,"Low",IF(Table1[[#This Row],[Monthly Income]]&lt;7000,"Medium","High"))</f>
        <v>Low</v>
      </c>
      <c r="AK861" s="6"/>
      <c r="AL861" s="6"/>
      <c r="AM861" s="6"/>
      <c r="AN861" s="6"/>
      <c r="AO861" s="6"/>
      <c r="AP861" s="6"/>
      <c r="AQ861" s="6"/>
      <c r="AR861" s="6"/>
      <c r="AS861" s="6"/>
      <c r="AU861" s="6"/>
      <c r="AV861" s="6"/>
      <c r="AW861" s="6"/>
      <c r="AX861" s="6"/>
      <c r="AY861" s="6"/>
      <c r="AZ861" s="6"/>
      <c r="BA861" s="6"/>
      <c r="BB861" s="6"/>
      <c r="BC861" s="6"/>
      <c r="BD861" s="6"/>
      <c r="BE861" s="6"/>
    </row>
    <row r="862" spans="2:57" x14ac:dyDescent="0.3">
      <c r="B862" s="4" t="s">
        <v>885</v>
      </c>
      <c r="C862" s="4">
        <v>22</v>
      </c>
      <c r="D862" s="4" t="s">
        <v>17</v>
      </c>
      <c r="E862" s="4" t="s">
        <v>15</v>
      </c>
      <c r="F862" s="4" t="s">
        <v>18</v>
      </c>
      <c r="G862" s="18">
        <v>2853</v>
      </c>
      <c r="H862" s="10">
        <v>0</v>
      </c>
      <c r="I862" s="4">
        <v>4</v>
      </c>
      <c r="J862" s="4" t="s">
        <v>9</v>
      </c>
      <c r="K862" s="3" t="s">
        <v>9</v>
      </c>
      <c r="L862" s="3" t="str">
        <f>IF(Table1[[#This Row],[Monthly Income]]&lt;3000,"Low",IF(Table1[[#This Row],[Monthly Income]]&lt;7000,"Medium","High"))</f>
        <v>Low</v>
      </c>
      <c r="AK862" s="4"/>
      <c r="AL862" s="4"/>
      <c r="AM862" s="4"/>
      <c r="AN862" s="4"/>
      <c r="AO862" s="4"/>
      <c r="AP862" s="4"/>
      <c r="AQ862" s="4"/>
      <c r="AR862" s="4"/>
      <c r="AS862" s="4"/>
      <c r="AU862" s="4"/>
      <c r="AV862" s="4"/>
      <c r="AW862" s="4"/>
      <c r="AX862" s="4"/>
      <c r="AY862" s="4"/>
      <c r="AZ862" s="4"/>
      <c r="BA862" s="4"/>
      <c r="BB862" s="4"/>
      <c r="BC862" s="4"/>
      <c r="BD862" s="4"/>
      <c r="BE862" s="4"/>
    </row>
    <row r="863" spans="2:57" x14ac:dyDescent="0.3">
      <c r="B863" s="6" t="s">
        <v>886</v>
      </c>
      <c r="C863" s="6">
        <v>46</v>
      </c>
      <c r="D863" s="6" t="s">
        <v>12</v>
      </c>
      <c r="E863" s="6" t="s">
        <v>10</v>
      </c>
      <c r="F863" s="6" t="s">
        <v>39</v>
      </c>
      <c r="G863" s="19">
        <v>17048</v>
      </c>
      <c r="H863" s="11">
        <v>26</v>
      </c>
      <c r="I863" s="6">
        <v>1</v>
      </c>
      <c r="J863" s="6" t="s">
        <v>14</v>
      </c>
      <c r="K863" s="5" t="s">
        <v>14</v>
      </c>
      <c r="L863" s="3" t="str">
        <f>IF(Table1[[#This Row],[Monthly Income]]&lt;3000,"Low",IF(Table1[[#This Row],[Monthly Income]]&lt;7000,"Medium","High"))</f>
        <v>High</v>
      </c>
      <c r="AK863" s="6"/>
      <c r="AL863" s="6"/>
      <c r="AM863" s="6"/>
      <c r="AN863" s="6"/>
      <c r="AO863" s="6"/>
      <c r="AP863" s="6"/>
      <c r="AQ863" s="6"/>
      <c r="AR863" s="6"/>
      <c r="AS863" s="6"/>
      <c r="AU863" s="6"/>
      <c r="AV863" s="6"/>
      <c r="AW863" s="6"/>
      <c r="AX863" s="6"/>
      <c r="AY863" s="6"/>
      <c r="AZ863" s="6"/>
      <c r="BA863" s="6"/>
      <c r="BB863" s="6"/>
      <c r="BC863" s="6"/>
      <c r="BD863" s="6"/>
      <c r="BE863" s="6"/>
    </row>
    <row r="864" spans="2:57" x14ac:dyDescent="0.3">
      <c r="B864" s="4" t="s">
        <v>887</v>
      </c>
      <c r="C864" s="4">
        <v>44</v>
      </c>
      <c r="D864" s="4" t="s">
        <v>17</v>
      </c>
      <c r="E864" s="4" t="s">
        <v>15</v>
      </c>
      <c r="F864" s="4" t="s">
        <v>18</v>
      </c>
      <c r="G864" s="18">
        <v>2290</v>
      </c>
      <c r="H864" s="10">
        <v>0</v>
      </c>
      <c r="I864" s="4">
        <v>3</v>
      </c>
      <c r="J864" s="4" t="s">
        <v>14</v>
      </c>
      <c r="K864" s="3" t="s">
        <v>14</v>
      </c>
      <c r="L864" s="3" t="str">
        <f>IF(Table1[[#This Row],[Monthly Income]]&lt;3000,"Low",IF(Table1[[#This Row],[Monthly Income]]&lt;7000,"Medium","High"))</f>
        <v>Low</v>
      </c>
      <c r="AK864" s="4"/>
      <c r="AL864" s="4"/>
      <c r="AM864" s="4"/>
      <c r="AN864" s="4"/>
      <c r="AO864" s="4"/>
      <c r="AP864" s="4"/>
      <c r="AQ864" s="4"/>
      <c r="AR864" s="4"/>
      <c r="AS864" s="4"/>
      <c r="AU864" s="4"/>
      <c r="AV864" s="4"/>
      <c r="AW864" s="4"/>
      <c r="AX864" s="4"/>
      <c r="AY864" s="4"/>
      <c r="AZ864" s="4"/>
      <c r="BA864" s="4"/>
      <c r="BB864" s="4"/>
      <c r="BC864" s="4"/>
      <c r="BD864" s="4"/>
      <c r="BE864" s="4"/>
    </row>
    <row r="865" spans="2:57" x14ac:dyDescent="0.3">
      <c r="B865" s="6" t="s">
        <v>888</v>
      </c>
      <c r="C865" s="6">
        <v>33</v>
      </c>
      <c r="D865" s="6" t="s">
        <v>17</v>
      </c>
      <c r="E865" s="6" t="s">
        <v>102</v>
      </c>
      <c r="F865" s="6" t="s">
        <v>104</v>
      </c>
      <c r="G865" s="19">
        <v>3600</v>
      </c>
      <c r="H865" s="11">
        <v>5</v>
      </c>
      <c r="I865" s="6">
        <v>3</v>
      </c>
      <c r="J865" s="6" t="s">
        <v>14</v>
      </c>
      <c r="K865" s="5" t="s">
        <v>14</v>
      </c>
      <c r="L865" s="3" t="str">
        <f>IF(Table1[[#This Row],[Monthly Income]]&lt;3000,"Low",IF(Table1[[#This Row],[Monthly Income]]&lt;7000,"Medium","High"))</f>
        <v>Medium</v>
      </c>
      <c r="AK865" s="6"/>
      <c r="AL865" s="6"/>
      <c r="AM865" s="6"/>
      <c r="AN865" s="6"/>
      <c r="AO865" s="6"/>
      <c r="AP865" s="6"/>
      <c r="AQ865" s="6"/>
      <c r="AR865" s="6"/>
      <c r="AS865" s="6"/>
      <c r="AU865" s="6"/>
      <c r="AV865" s="6"/>
      <c r="AW865" s="6"/>
      <c r="AX865" s="6"/>
      <c r="AY865" s="6"/>
      <c r="AZ865" s="6"/>
      <c r="BA865" s="6"/>
      <c r="BB865" s="6"/>
      <c r="BC865" s="6"/>
      <c r="BD865" s="6"/>
      <c r="BE865" s="6"/>
    </row>
    <row r="866" spans="2:57" x14ac:dyDescent="0.3">
      <c r="B866" s="4" t="s">
        <v>889</v>
      </c>
      <c r="C866" s="4">
        <v>41</v>
      </c>
      <c r="D866" s="4" t="s">
        <v>17</v>
      </c>
      <c r="E866" s="4" t="s">
        <v>15</v>
      </c>
      <c r="F866" s="4" t="s">
        <v>18</v>
      </c>
      <c r="G866" s="18">
        <v>2107</v>
      </c>
      <c r="H866" s="10">
        <v>1</v>
      </c>
      <c r="I866" s="4">
        <v>1</v>
      </c>
      <c r="J866" s="4" t="s">
        <v>14</v>
      </c>
      <c r="K866" s="3" t="s">
        <v>9</v>
      </c>
      <c r="L866" s="3" t="str">
        <f>IF(Table1[[#This Row],[Monthly Income]]&lt;3000,"Low",IF(Table1[[#This Row],[Monthly Income]]&lt;7000,"Medium","High"))</f>
        <v>Low</v>
      </c>
      <c r="AK866" s="4"/>
      <c r="AL866" s="4"/>
      <c r="AM866" s="4"/>
      <c r="AN866" s="4"/>
      <c r="AO866" s="4"/>
      <c r="AP866" s="4"/>
      <c r="AQ866" s="4"/>
      <c r="AR866" s="4"/>
      <c r="AS866" s="4"/>
      <c r="AU866" s="4"/>
      <c r="AV866" s="4"/>
      <c r="AW866" s="4"/>
      <c r="AX866" s="4"/>
      <c r="AY866" s="4"/>
      <c r="AZ866" s="4"/>
      <c r="BA866" s="4"/>
      <c r="BB866" s="4"/>
      <c r="BC866" s="4"/>
      <c r="BD866" s="4"/>
      <c r="BE866" s="4"/>
    </row>
    <row r="867" spans="2:57" x14ac:dyDescent="0.3">
      <c r="B867" s="6" t="s">
        <v>890</v>
      </c>
      <c r="C867" s="6">
        <v>30</v>
      </c>
      <c r="D867" s="6" t="s">
        <v>17</v>
      </c>
      <c r="E867" s="6" t="s">
        <v>10</v>
      </c>
      <c r="F867" s="6" t="s">
        <v>13</v>
      </c>
      <c r="G867" s="19">
        <v>4115</v>
      </c>
      <c r="H867" s="11">
        <v>4</v>
      </c>
      <c r="I867" s="6">
        <v>1</v>
      </c>
      <c r="J867" s="6" t="s">
        <v>14</v>
      </c>
      <c r="K867" s="5" t="s">
        <v>14</v>
      </c>
      <c r="L867" s="3" t="str">
        <f>IF(Table1[[#This Row],[Monthly Income]]&lt;3000,"Low",IF(Table1[[#This Row],[Monthly Income]]&lt;7000,"Medium","High"))</f>
        <v>Medium</v>
      </c>
      <c r="AK867" s="6"/>
      <c r="AL867" s="6"/>
      <c r="AM867" s="6"/>
      <c r="AN867" s="6"/>
      <c r="AO867" s="6"/>
      <c r="AP867" s="6"/>
      <c r="AQ867" s="6"/>
      <c r="AR867" s="6"/>
      <c r="AS867" s="6"/>
      <c r="AU867" s="6"/>
      <c r="AV867" s="6"/>
      <c r="AW867" s="6"/>
      <c r="AX867" s="6"/>
      <c r="AY867" s="6"/>
      <c r="AZ867" s="6"/>
      <c r="BA867" s="6"/>
      <c r="BB867" s="6"/>
      <c r="BC867" s="6"/>
      <c r="BD867" s="6"/>
      <c r="BE867" s="6"/>
    </row>
    <row r="868" spans="2:57" x14ac:dyDescent="0.3">
      <c r="B868" s="4" t="s">
        <v>891</v>
      </c>
      <c r="C868" s="4">
        <v>40</v>
      </c>
      <c r="D868" s="4" t="s">
        <v>17</v>
      </c>
      <c r="E868" s="4" t="s">
        <v>10</v>
      </c>
      <c r="F868" s="4" t="s">
        <v>13</v>
      </c>
      <c r="G868" s="18">
        <v>4327</v>
      </c>
      <c r="H868" s="10">
        <v>0</v>
      </c>
      <c r="I868" s="4">
        <v>2</v>
      </c>
      <c r="J868" s="4" t="s">
        <v>14</v>
      </c>
      <c r="K868" s="3" t="s">
        <v>14</v>
      </c>
      <c r="L868" s="3" t="str">
        <f>IF(Table1[[#This Row],[Monthly Income]]&lt;3000,"Low",IF(Table1[[#This Row],[Monthly Income]]&lt;7000,"Medium","High"))</f>
        <v>Medium</v>
      </c>
      <c r="AK868" s="4"/>
      <c r="AL868" s="4"/>
      <c r="AM868" s="4"/>
      <c r="AN868" s="4"/>
      <c r="AO868" s="4"/>
      <c r="AP868" s="4"/>
      <c r="AQ868" s="4"/>
      <c r="AR868" s="4"/>
      <c r="AS868" s="4"/>
      <c r="AU868" s="4"/>
      <c r="AV868" s="4"/>
      <c r="AW868" s="4"/>
      <c r="AX868" s="4"/>
      <c r="AY868" s="4"/>
      <c r="AZ868" s="4"/>
      <c r="BA868" s="4"/>
      <c r="BB868" s="4"/>
      <c r="BC868" s="4"/>
      <c r="BD868" s="4"/>
      <c r="BE868" s="4"/>
    </row>
    <row r="869" spans="2:57" x14ac:dyDescent="0.3">
      <c r="B869" s="6" t="s">
        <v>892</v>
      </c>
      <c r="C869" s="6">
        <v>50</v>
      </c>
      <c r="D869" s="6" t="s">
        <v>12</v>
      </c>
      <c r="E869" s="6" t="s">
        <v>15</v>
      </c>
      <c r="F869" s="6" t="s">
        <v>39</v>
      </c>
      <c r="G869" s="19">
        <v>17856</v>
      </c>
      <c r="H869" s="11">
        <v>2</v>
      </c>
      <c r="I869" s="6">
        <v>1</v>
      </c>
      <c r="J869" s="6" t="s">
        <v>14</v>
      </c>
      <c r="K869" s="5" t="s">
        <v>14</v>
      </c>
      <c r="L869" s="3" t="str">
        <f>IF(Table1[[#This Row],[Monthly Income]]&lt;3000,"Low",IF(Table1[[#This Row],[Monthly Income]]&lt;7000,"Medium","High"))</f>
        <v>High</v>
      </c>
      <c r="AK869" s="6"/>
      <c r="AL869" s="6"/>
      <c r="AM869" s="6"/>
      <c r="AN869" s="6"/>
      <c r="AO869" s="6"/>
      <c r="AP869" s="6"/>
      <c r="AQ869" s="6"/>
      <c r="AR869" s="6"/>
      <c r="AS869" s="6"/>
      <c r="AU869" s="6"/>
      <c r="AV869" s="6"/>
      <c r="AW869" s="6"/>
      <c r="AX869" s="6"/>
      <c r="AY869" s="6"/>
      <c r="AZ869" s="6"/>
      <c r="BA869" s="6"/>
      <c r="BB869" s="6"/>
      <c r="BC869" s="6"/>
      <c r="BD869" s="6"/>
      <c r="BE869" s="6"/>
    </row>
    <row r="870" spans="2:57" x14ac:dyDescent="0.3">
      <c r="B870" s="4" t="s">
        <v>893</v>
      </c>
      <c r="C870" s="4">
        <v>28</v>
      </c>
      <c r="D870" s="4" t="s">
        <v>17</v>
      </c>
      <c r="E870" s="4" t="s">
        <v>15</v>
      </c>
      <c r="F870" s="4" t="s">
        <v>20</v>
      </c>
      <c r="G870" s="18">
        <v>3196</v>
      </c>
      <c r="H870" s="10">
        <v>6</v>
      </c>
      <c r="I870" s="4">
        <v>1</v>
      </c>
      <c r="J870" s="4" t="s">
        <v>14</v>
      </c>
      <c r="K870" s="3" t="s">
        <v>14</v>
      </c>
      <c r="L870" s="3" t="str">
        <f>IF(Table1[[#This Row],[Monthly Income]]&lt;3000,"Low",IF(Table1[[#This Row],[Monthly Income]]&lt;7000,"Medium","High"))</f>
        <v>Medium</v>
      </c>
      <c r="AK870" s="4"/>
      <c r="AL870" s="4"/>
      <c r="AM870" s="4"/>
      <c r="AN870" s="4"/>
      <c r="AO870" s="4"/>
      <c r="AP870" s="4"/>
      <c r="AQ870" s="4"/>
      <c r="AR870" s="4"/>
      <c r="AS870" s="4"/>
      <c r="AU870" s="4"/>
      <c r="AV870" s="4"/>
      <c r="AW870" s="4"/>
      <c r="AX870" s="4"/>
      <c r="AY870" s="4"/>
      <c r="AZ870" s="4"/>
      <c r="BA870" s="4"/>
      <c r="BB870" s="4"/>
      <c r="BC870" s="4"/>
      <c r="BD870" s="4"/>
      <c r="BE870" s="4"/>
    </row>
    <row r="871" spans="2:57" x14ac:dyDescent="0.3">
      <c r="B871" s="6" t="s">
        <v>894</v>
      </c>
      <c r="C871" s="6">
        <v>46</v>
      </c>
      <c r="D871" s="6" t="s">
        <v>17</v>
      </c>
      <c r="E871" s="6" t="s">
        <v>15</v>
      </c>
      <c r="F871" s="6" t="s">
        <v>45</v>
      </c>
      <c r="G871" s="19">
        <v>19081</v>
      </c>
      <c r="H871" s="11">
        <v>4</v>
      </c>
      <c r="I871" s="6">
        <v>2</v>
      </c>
      <c r="J871" s="6" t="s">
        <v>14</v>
      </c>
      <c r="K871" s="5" t="s">
        <v>14</v>
      </c>
      <c r="L871" s="3" t="str">
        <f>IF(Table1[[#This Row],[Monthly Income]]&lt;3000,"Low",IF(Table1[[#This Row],[Monthly Income]]&lt;7000,"Medium","High"))</f>
        <v>High</v>
      </c>
      <c r="AK871" s="6"/>
      <c r="AL871" s="6"/>
      <c r="AM871" s="6"/>
      <c r="AN871" s="6"/>
      <c r="AO871" s="6"/>
      <c r="AP871" s="6"/>
      <c r="AQ871" s="6"/>
      <c r="AR871" s="6"/>
      <c r="AS871" s="6"/>
      <c r="AU871" s="6"/>
      <c r="AV871" s="6"/>
      <c r="AW871" s="6"/>
      <c r="AX871" s="6"/>
      <c r="AY871" s="6"/>
      <c r="AZ871" s="6"/>
      <c r="BA871" s="6"/>
      <c r="BB871" s="6"/>
      <c r="BC871" s="6"/>
      <c r="BD871" s="6"/>
      <c r="BE871" s="6"/>
    </row>
    <row r="872" spans="2:57" x14ac:dyDescent="0.3">
      <c r="B872" s="4" t="s">
        <v>895</v>
      </c>
      <c r="C872" s="4">
        <v>35</v>
      </c>
      <c r="D872" s="4" t="s">
        <v>17</v>
      </c>
      <c r="E872" s="4" t="s">
        <v>10</v>
      </c>
      <c r="F872" s="4" t="s">
        <v>13</v>
      </c>
      <c r="G872" s="18">
        <v>8966</v>
      </c>
      <c r="H872" s="10">
        <v>7</v>
      </c>
      <c r="I872" s="4">
        <v>1</v>
      </c>
      <c r="J872" s="4" t="s">
        <v>9</v>
      </c>
      <c r="K872" s="3" t="s">
        <v>14</v>
      </c>
      <c r="L872" s="3" t="str">
        <f>IF(Table1[[#This Row],[Monthly Income]]&lt;3000,"Low",IF(Table1[[#This Row],[Monthly Income]]&lt;7000,"Medium","High"))</f>
        <v>High</v>
      </c>
      <c r="AK872" s="4"/>
      <c r="AL872" s="4"/>
      <c r="AM872" s="4"/>
      <c r="AN872" s="4"/>
      <c r="AO872" s="4"/>
      <c r="AP872" s="4"/>
      <c r="AQ872" s="4"/>
      <c r="AR872" s="4"/>
      <c r="AS872" s="4"/>
      <c r="AU872" s="4"/>
      <c r="AV872" s="4"/>
      <c r="AW872" s="4"/>
      <c r="AX872" s="4"/>
      <c r="AY872" s="4"/>
      <c r="AZ872" s="4"/>
      <c r="BA872" s="4"/>
      <c r="BB872" s="4"/>
      <c r="BC872" s="4"/>
      <c r="BD872" s="4"/>
      <c r="BE872" s="4"/>
    </row>
    <row r="873" spans="2:57" x14ac:dyDescent="0.3">
      <c r="B873" s="6" t="s">
        <v>896</v>
      </c>
      <c r="C873" s="6">
        <v>24</v>
      </c>
      <c r="D873" s="6" t="s">
        <v>12</v>
      </c>
      <c r="E873" s="6" t="s">
        <v>15</v>
      </c>
      <c r="F873" s="6" t="s">
        <v>20</v>
      </c>
      <c r="G873" s="19">
        <v>2210</v>
      </c>
      <c r="H873" s="11">
        <v>1</v>
      </c>
      <c r="I873" s="6">
        <v>2</v>
      </c>
      <c r="J873" s="6" t="s">
        <v>14</v>
      </c>
      <c r="K873" s="5" t="s">
        <v>9</v>
      </c>
      <c r="L873" s="3" t="str">
        <f>IF(Table1[[#This Row],[Monthly Income]]&lt;3000,"Low",IF(Table1[[#This Row],[Monthly Income]]&lt;7000,"Medium","High"))</f>
        <v>Low</v>
      </c>
      <c r="AK873" s="6"/>
      <c r="AL873" s="6"/>
      <c r="AM873" s="6"/>
      <c r="AN873" s="6"/>
      <c r="AO873" s="6"/>
      <c r="AP873" s="6"/>
      <c r="AQ873" s="6"/>
      <c r="AR873" s="6"/>
      <c r="AS873" s="6"/>
      <c r="AU873" s="6"/>
      <c r="AV873" s="6"/>
      <c r="AW873" s="6"/>
      <c r="AX873" s="6"/>
      <c r="AY873" s="6"/>
      <c r="AZ873" s="6"/>
      <c r="BA873" s="6"/>
      <c r="BB873" s="6"/>
      <c r="BC873" s="6"/>
      <c r="BD873" s="6"/>
      <c r="BE873" s="6"/>
    </row>
    <row r="874" spans="2:57" x14ac:dyDescent="0.3">
      <c r="B874" s="4" t="s">
        <v>897</v>
      </c>
      <c r="C874" s="4">
        <v>33</v>
      </c>
      <c r="D874" s="4" t="s">
        <v>12</v>
      </c>
      <c r="E874" s="4" t="s">
        <v>10</v>
      </c>
      <c r="F874" s="4" t="s">
        <v>13</v>
      </c>
      <c r="G874" s="18">
        <v>4539</v>
      </c>
      <c r="H874" s="10">
        <v>10</v>
      </c>
      <c r="I874" s="4">
        <v>3</v>
      </c>
      <c r="J874" s="4" t="s">
        <v>14</v>
      </c>
      <c r="K874" s="3" t="s">
        <v>14</v>
      </c>
      <c r="L874" s="3" t="str">
        <f>IF(Table1[[#This Row],[Monthly Income]]&lt;3000,"Low",IF(Table1[[#This Row],[Monthly Income]]&lt;7000,"Medium","High"))</f>
        <v>Medium</v>
      </c>
      <c r="AK874" s="4"/>
      <c r="AL874" s="4"/>
      <c r="AM874" s="4"/>
      <c r="AN874" s="4"/>
      <c r="AO874" s="4"/>
      <c r="AP874" s="4"/>
      <c r="AQ874" s="4"/>
      <c r="AR874" s="4"/>
      <c r="AS874" s="4"/>
      <c r="AU874" s="4"/>
      <c r="AV874" s="4"/>
      <c r="AW874" s="4"/>
      <c r="AX874" s="4"/>
      <c r="AY874" s="4"/>
      <c r="AZ874" s="4"/>
      <c r="BA874" s="4"/>
      <c r="BB874" s="4"/>
      <c r="BC874" s="4"/>
      <c r="BD874" s="4"/>
      <c r="BE874" s="4"/>
    </row>
    <row r="875" spans="2:57" x14ac:dyDescent="0.3">
      <c r="B875" s="6" t="s">
        <v>898</v>
      </c>
      <c r="C875" s="6">
        <v>36</v>
      </c>
      <c r="D875" s="6" t="s">
        <v>17</v>
      </c>
      <c r="E875" s="6" t="s">
        <v>15</v>
      </c>
      <c r="F875" s="6" t="s">
        <v>20</v>
      </c>
      <c r="G875" s="19">
        <v>2741</v>
      </c>
      <c r="H875" s="11">
        <v>7</v>
      </c>
      <c r="I875" s="6">
        <v>3</v>
      </c>
      <c r="J875" s="6" t="s">
        <v>14</v>
      </c>
      <c r="K875" s="5" t="s">
        <v>14</v>
      </c>
      <c r="L875" s="3" t="str">
        <f>IF(Table1[[#This Row],[Monthly Income]]&lt;3000,"Low",IF(Table1[[#This Row],[Monthly Income]]&lt;7000,"Medium","High"))</f>
        <v>Low</v>
      </c>
      <c r="AK875" s="6"/>
      <c r="AL875" s="6"/>
      <c r="AM875" s="6"/>
      <c r="AN875" s="6"/>
      <c r="AO875" s="6"/>
      <c r="AP875" s="6"/>
      <c r="AQ875" s="6"/>
      <c r="AR875" s="6"/>
      <c r="AS875" s="6"/>
      <c r="AU875" s="6"/>
      <c r="AV875" s="6"/>
      <c r="AW875" s="6"/>
      <c r="AX875" s="6"/>
      <c r="AY875" s="6"/>
      <c r="AZ875" s="6"/>
      <c r="BA875" s="6"/>
      <c r="BB875" s="6"/>
      <c r="BC875" s="6"/>
      <c r="BD875" s="6"/>
      <c r="BE875" s="6"/>
    </row>
    <row r="876" spans="2:57" x14ac:dyDescent="0.3">
      <c r="B876" s="4" t="s">
        <v>899</v>
      </c>
      <c r="C876" s="4">
        <v>30</v>
      </c>
      <c r="D876" s="4" t="s">
        <v>17</v>
      </c>
      <c r="E876" s="4" t="s">
        <v>15</v>
      </c>
      <c r="F876" s="4" t="s">
        <v>20</v>
      </c>
      <c r="G876" s="18">
        <v>3491</v>
      </c>
      <c r="H876" s="10">
        <v>10</v>
      </c>
      <c r="I876" s="4">
        <v>3</v>
      </c>
      <c r="J876" s="4" t="s">
        <v>14</v>
      </c>
      <c r="K876" s="3" t="s">
        <v>14</v>
      </c>
      <c r="L876" s="3" t="str">
        <f>IF(Table1[[#This Row],[Monthly Income]]&lt;3000,"Low",IF(Table1[[#This Row],[Monthly Income]]&lt;7000,"Medium","High"))</f>
        <v>Medium</v>
      </c>
      <c r="AK876" s="4"/>
      <c r="AL876" s="4"/>
      <c r="AM876" s="4"/>
      <c r="AN876" s="4"/>
      <c r="AO876" s="4"/>
      <c r="AP876" s="4"/>
      <c r="AQ876" s="4"/>
      <c r="AR876" s="4"/>
      <c r="AS876" s="4"/>
      <c r="AU876" s="4"/>
      <c r="AV876" s="4"/>
      <c r="AW876" s="4"/>
      <c r="AX876" s="4"/>
      <c r="AY876" s="4"/>
      <c r="AZ876" s="4"/>
      <c r="BA876" s="4"/>
      <c r="BB876" s="4"/>
      <c r="BC876" s="4"/>
      <c r="BD876" s="4"/>
      <c r="BE876" s="4"/>
    </row>
    <row r="877" spans="2:57" x14ac:dyDescent="0.3">
      <c r="B877" s="6" t="s">
        <v>900</v>
      </c>
      <c r="C877" s="6">
        <v>44</v>
      </c>
      <c r="D877" s="6" t="s">
        <v>17</v>
      </c>
      <c r="E877" s="6" t="s">
        <v>15</v>
      </c>
      <c r="F877" s="6" t="s">
        <v>18</v>
      </c>
      <c r="G877" s="19">
        <v>4541</v>
      </c>
      <c r="H877" s="11">
        <v>20</v>
      </c>
      <c r="I877" s="6">
        <v>4</v>
      </c>
      <c r="J877" s="6" t="s">
        <v>14</v>
      </c>
      <c r="K877" s="5" t="s">
        <v>14</v>
      </c>
      <c r="L877" s="3" t="str">
        <f>IF(Table1[[#This Row],[Monthly Income]]&lt;3000,"Low",IF(Table1[[#This Row],[Monthly Income]]&lt;7000,"Medium","High"))</f>
        <v>Medium</v>
      </c>
      <c r="AK877" s="6"/>
      <c r="AL877" s="6"/>
      <c r="AM877" s="6"/>
      <c r="AN877" s="6"/>
      <c r="AO877" s="6"/>
      <c r="AP877" s="6"/>
      <c r="AQ877" s="6"/>
      <c r="AR877" s="6"/>
      <c r="AS877" s="6"/>
      <c r="AU877" s="6"/>
      <c r="AV877" s="6"/>
      <c r="AW877" s="6"/>
      <c r="AX877" s="6"/>
      <c r="AY877" s="6"/>
      <c r="AZ877" s="6"/>
      <c r="BA877" s="6"/>
      <c r="BB877" s="6"/>
      <c r="BC877" s="6"/>
      <c r="BD877" s="6"/>
      <c r="BE877" s="6"/>
    </row>
    <row r="878" spans="2:57" x14ac:dyDescent="0.3">
      <c r="B878" s="4" t="s">
        <v>901</v>
      </c>
      <c r="C878" s="4">
        <v>20</v>
      </c>
      <c r="D878" s="4" t="s">
        <v>17</v>
      </c>
      <c r="E878" s="4" t="s">
        <v>10</v>
      </c>
      <c r="F878" s="4" t="s">
        <v>43</v>
      </c>
      <c r="G878" s="18">
        <v>2678</v>
      </c>
      <c r="H878" s="10">
        <v>2</v>
      </c>
      <c r="I878" s="4">
        <v>4</v>
      </c>
      <c r="J878" s="4" t="s">
        <v>14</v>
      </c>
      <c r="K878" s="3" t="s">
        <v>14</v>
      </c>
      <c r="L878" s="3" t="str">
        <f>IF(Table1[[#This Row],[Monthly Income]]&lt;3000,"Low",IF(Table1[[#This Row],[Monthly Income]]&lt;7000,"Medium","High"))</f>
        <v>Low</v>
      </c>
      <c r="AK878" s="4"/>
      <c r="AL878" s="4"/>
      <c r="AM878" s="4"/>
      <c r="AN878" s="4"/>
      <c r="AO878" s="4"/>
      <c r="AP878" s="4"/>
      <c r="AQ878" s="4"/>
      <c r="AR878" s="4"/>
      <c r="AS878" s="4"/>
      <c r="AU878" s="4"/>
      <c r="AV878" s="4"/>
      <c r="AW878" s="4"/>
      <c r="AX878" s="4"/>
      <c r="AY878" s="4"/>
      <c r="AZ878" s="4"/>
      <c r="BA878" s="4"/>
      <c r="BB878" s="4"/>
      <c r="BC878" s="4"/>
      <c r="BD878" s="4"/>
      <c r="BE878" s="4"/>
    </row>
    <row r="879" spans="2:57" x14ac:dyDescent="0.3">
      <c r="B879" s="6" t="s">
        <v>902</v>
      </c>
      <c r="C879" s="6">
        <v>46</v>
      </c>
      <c r="D879" s="6" t="s">
        <v>17</v>
      </c>
      <c r="E879" s="6" t="s">
        <v>15</v>
      </c>
      <c r="F879" s="6" t="s">
        <v>27</v>
      </c>
      <c r="G879" s="19">
        <v>7379</v>
      </c>
      <c r="H879" s="11">
        <v>6</v>
      </c>
      <c r="I879" s="6">
        <v>4</v>
      </c>
      <c r="J879" s="6" t="s">
        <v>14</v>
      </c>
      <c r="K879" s="5" t="s">
        <v>14</v>
      </c>
      <c r="L879" s="3" t="str">
        <f>IF(Table1[[#This Row],[Monthly Income]]&lt;3000,"Low",IF(Table1[[#This Row],[Monthly Income]]&lt;7000,"Medium","High"))</f>
        <v>High</v>
      </c>
      <c r="AK879" s="6"/>
      <c r="AL879" s="6"/>
      <c r="AM879" s="6"/>
      <c r="AN879" s="6"/>
      <c r="AO879" s="6"/>
      <c r="AP879" s="6"/>
      <c r="AQ879" s="6"/>
      <c r="AR879" s="6"/>
      <c r="AS879" s="6"/>
      <c r="AU879" s="6"/>
      <c r="AV879" s="6"/>
      <c r="AW879" s="6"/>
      <c r="AX879" s="6"/>
      <c r="AY879" s="6"/>
      <c r="AZ879" s="6"/>
      <c r="BA879" s="6"/>
      <c r="BB879" s="6"/>
      <c r="BC879" s="6"/>
      <c r="BD879" s="6"/>
      <c r="BE879" s="6"/>
    </row>
    <row r="880" spans="2:57" x14ac:dyDescent="0.3">
      <c r="B880" s="4" t="s">
        <v>903</v>
      </c>
      <c r="C880" s="4">
        <v>42</v>
      </c>
      <c r="D880" s="4" t="s">
        <v>17</v>
      </c>
      <c r="E880" s="4" t="s">
        <v>102</v>
      </c>
      <c r="F880" s="4" t="s">
        <v>104</v>
      </c>
      <c r="G880" s="18">
        <v>6272</v>
      </c>
      <c r="H880" s="10">
        <v>4</v>
      </c>
      <c r="I880" s="4">
        <v>1</v>
      </c>
      <c r="J880" s="4" t="s">
        <v>14</v>
      </c>
      <c r="K880" s="3" t="s">
        <v>14</v>
      </c>
      <c r="L880" s="3" t="str">
        <f>IF(Table1[[#This Row],[Monthly Income]]&lt;3000,"Low",IF(Table1[[#This Row],[Monthly Income]]&lt;7000,"Medium","High"))</f>
        <v>Medium</v>
      </c>
      <c r="AK880" s="4"/>
      <c r="AL880" s="4"/>
      <c r="AM880" s="4"/>
      <c r="AN880" s="4"/>
      <c r="AO880" s="4"/>
      <c r="AP880" s="4"/>
      <c r="AQ880" s="4"/>
      <c r="AR880" s="4"/>
      <c r="AS880" s="4"/>
      <c r="AU880" s="4"/>
      <c r="AV880" s="4"/>
      <c r="AW880" s="4"/>
      <c r="AX880" s="4"/>
      <c r="AY880" s="4"/>
      <c r="AZ880" s="4"/>
      <c r="BA880" s="4"/>
      <c r="BB880" s="4"/>
      <c r="BC880" s="4"/>
      <c r="BD880" s="4"/>
      <c r="BE880" s="4"/>
    </row>
    <row r="881" spans="2:57" x14ac:dyDescent="0.3">
      <c r="B881" s="6" t="s">
        <v>904</v>
      </c>
      <c r="C881" s="6">
        <v>60</v>
      </c>
      <c r="D881" s="6" t="s">
        <v>17</v>
      </c>
      <c r="E881" s="6" t="s">
        <v>10</v>
      </c>
      <c r="F881" s="6" t="s">
        <v>13</v>
      </c>
      <c r="G881" s="19">
        <v>5220</v>
      </c>
      <c r="H881" s="11">
        <v>11</v>
      </c>
      <c r="I881" s="6">
        <v>4</v>
      </c>
      <c r="J881" s="6" t="s">
        <v>9</v>
      </c>
      <c r="K881" s="5" t="s">
        <v>14</v>
      </c>
      <c r="L881" s="3" t="str">
        <f>IF(Table1[[#This Row],[Monthly Income]]&lt;3000,"Low",IF(Table1[[#This Row],[Monthly Income]]&lt;7000,"Medium","High"))</f>
        <v>Medium</v>
      </c>
      <c r="AK881" s="6"/>
      <c r="AL881" s="6"/>
      <c r="AM881" s="6"/>
      <c r="AN881" s="6"/>
      <c r="AO881" s="6"/>
      <c r="AP881" s="6"/>
      <c r="AQ881" s="6"/>
      <c r="AR881" s="6"/>
      <c r="AS881" s="6"/>
      <c r="AU881" s="6"/>
      <c r="AV881" s="6"/>
      <c r="AW881" s="6"/>
      <c r="AX881" s="6"/>
      <c r="AY881" s="6"/>
      <c r="AZ881" s="6"/>
      <c r="BA881" s="6"/>
      <c r="BB881" s="6"/>
      <c r="BC881" s="6"/>
      <c r="BD881" s="6"/>
      <c r="BE881" s="6"/>
    </row>
    <row r="882" spans="2:57" x14ac:dyDescent="0.3">
      <c r="B882" s="4" t="s">
        <v>905</v>
      </c>
      <c r="C882" s="4">
        <v>32</v>
      </c>
      <c r="D882" s="4" t="s">
        <v>12</v>
      </c>
      <c r="E882" s="4" t="s">
        <v>15</v>
      </c>
      <c r="F882" s="4" t="s">
        <v>20</v>
      </c>
      <c r="G882" s="18">
        <v>2743</v>
      </c>
      <c r="H882" s="10">
        <v>2</v>
      </c>
      <c r="I882" s="4">
        <v>2</v>
      </c>
      <c r="J882" s="4" t="s">
        <v>14</v>
      </c>
      <c r="K882" s="3" t="s">
        <v>14</v>
      </c>
      <c r="L882" s="3" t="str">
        <f>IF(Table1[[#This Row],[Monthly Income]]&lt;3000,"Low",IF(Table1[[#This Row],[Monthly Income]]&lt;7000,"Medium","High"))</f>
        <v>Low</v>
      </c>
      <c r="AK882" s="4"/>
      <c r="AL882" s="4"/>
      <c r="AM882" s="4"/>
      <c r="AN882" s="4"/>
      <c r="AO882" s="4"/>
      <c r="AP882" s="4"/>
      <c r="AQ882" s="4"/>
      <c r="AR882" s="4"/>
      <c r="AS882" s="4"/>
      <c r="AU882" s="4"/>
      <c r="AV882" s="4"/>
      <c r="AW882" s="4"/>
      <c r="AX882" s="4"/>
      <c r="AY882" s="4"/>
      <c r="AZ882" s="4"/>
      <c r="BA882" s="4"/>
      <c r="BB882" s="4"/>
      <c r="BC882" s="4"/>
      <c r="BD882" s="4"/>
      <c r="BE882" s="4"/>
    </row>
    <row r="883" spans="2:57" x14ac:dyDescent="0.3">
      <c r="B883" s="6" t="s">
        <v>906</v>
      </c>
      <c r="C883" s="6">
        <v>32</v>
      </c>
      <c r="D883" s="6" t="s">
        <v>12</v>
      </c>
      <c r="E883" s="6" t="s">
        <v>15</v>
      </c>
      <c r="F883" s="6" t="s">
        <v>18</v>
      </c>
      <c r="G883" s="19">
        <v>4998</v>
      </c>
      <c r="H883" s="11">
        <v>8</v>
      </c>
      <c r="I883" s="6">
        <v>3</v>
      </c>
      <c r="J883" s="6" t="s">
        <v>9</v>
      </c>
      <c r="K883" s="5" t="s">
        <v>14</v>
      </c>
      <c r="L883" s="3" t="str">
        <f>IF(Table1[[#This Row],[Monthly Income]]&lt;3000,"Low",IF(Table1[[#This Row],[Monthly Income]]&lt;7000,"Medium","High"))</f>
        <v>Medium</v>
      </c>
      <c r="AK883" s="6"/>
      <c r="AL883" s="6"/>
      <c r="AM883" s="6"/>
      <c r="AN883" s="6"/>
      <c r="AO883" s="6"/>
      <c r="AP883" s="6"/>
      <c r="AQ883" s="6"/>
      <c r="AR883" s="6"/>
      <c r="AS883" s="6"/>
      <c r="AU883" s="6"/>
      <c r="AV883" s="6"/>
      <c r="AW883" s="6"/>
      <c r="AX883" s="6"/>
      <c r="AY883" s="6"/>
      <c r="AZ883" s="6"/>
      <c r="BA883" s="6"/>
      <c r="BB883" s="6"/>
      <c r="BC883" s="6"/>
      <c r="BD883" s="6"/>
      <c r="BE883" s="6"/>
    </row>
    <row r="884" spans="2:57" x14ac:dyDescent="0.3">
      <c r="B884" s="4" t="s">
        <v>907</v>
      </c>
      <c r="C884" s="4">
        <v>36</v>
      </c>
      <c r="D884" s="4" t="s">
        <v>12</v>
      </c>
      <c r="E884" s="4" t="s">
        <v>15</v>
      </c>
      <c r="F884" s="4" t="s">
        <v>27</v>
      </c>
      <c r="G884" s="18">
        <v>10252</v>
      </c>
      <c r="H884" s="10">
        <v>7</v>
      </c>
      <c r="I884" s="4">
        <v>1</v>
      </c>
      <c r="J884" s="4" t="s">
        <v>9</v>
      </c>
      <c r="K884" s="3" t="s">
        <v>14</v>
      </c>
      <c r="L884" s="3" t="str">
        <f>IF(Table1[[#This Row],[Monthly Income]]&lt;3000,"Low",IF(Table1[[#This Row],[Monthly Income]]&lt;7000,"Medium","High"))</f>
        <v>High</v>
      </c>
      <c r="AK884" s="4"/>
      <c r="AL884" s="4"/>
      <c r="AM884" s="4"/>
      <c r="AN884" s="4"/>
      <c r="AO884" s="4"/>
      <c r="AP884" s="4"/>
      <c r="AQ884" s="4"/>
      <c r="AR884" s="4"/>
      <c r="AS884" s="4"/>
      <c r="AU884" s="4"/>
      <c r="AV884" s="4"/>
      <c r="AW884" s="4"/>
      <c r="AX884" s="4"/>
      <c r="AY884" s="4"/>
      <c r="AZ884" s="4"/>
      <c r="BA884" s="4"/>
      <c r="BB884" s="4"/>
      <c r="BC884" s="4"/>
      <c r="BD884" s="4"/>
      <c r="BE884" s="4"/>
    </row>
    <row r="885" spans="2:57" x14ac:dyDescent="0.3">
      <c r="B885" s="6" t="s">
        <v>908</v>
      </c>
      <c r="C885" s="6">
        <v>33</v>
      </c>
      <c r="D885" s="6" t="s">
        <v>17</v>
      </c>
      <c r="E885" s="6" t="s">
        <v>15</v>
      </c>
      <c r="F885" s="6" t="s">
        <v>18</v>
      </c>
      <c r="G885" s="19">
        <v>2781</v>
      </c>
      <c r="H885" s="11">
        <v>14</v>
      </c>
      <c r="I885" s="6">
        <v>4</v>
      </c>
      <c r="J885" s="6" t="s">
        <v>14</v>
      </c>
      <c r="K885" s="5" t="s">
        <v>14</v>
      </c>
      <c r="L885" s="3" t="str">
        <f>IF(Table1[[#This Row],[Monthly Income]]&lt;3000,"Low",IF(Table1[[#This Row],[Monthly Income]]&lt;7000,"Medium","High"))</f>
        <v>Low</v>
      </c>
      <c r="AK885" s="6"/>
      <c r="AL885" s="6"/>
      <c r="AM885" s="6"/>
      <c r="AN885" s="6"/>
      <c r="AO885" s="6"/>
      <c r="AP885" s="6"/>
      <c r="AQ885" s="6"/>
      <c r="AR885" s="6"/>
      <c r="AS885" s="6"/>
      <c r="AU885" s="6"/>
      <c r="AV885" s="6"/>
      <c r="AW885" s="6"/>
      <c r="AX885" s="6"/>
      <c r="AY885" s="6"/>
      <c r="AZ885" s="6"/>
      <c r="BA885" s="6"/>
      <c r="BB885" s="6"/>
      <c r="BC885" s="6"/>
      <c r="BD885" s="6"/>
      <c r="BE885" s="6"/>
    </row>
    <row r="886" spans="2:57" x14ac:dyDescent="0.3">
      <c r="B886" s="4" t="s">
        <v>909</v>
      </c>
      <c r="C886" s="4">
        <v>40</v>
      </c>
      <c r="D886" s="4" t="s">
        <v>12</v>
      </c>
      <c r="E886" s="4" t="s">
        <v>10</v>
      </c>
      <c r="F886" s="4" t="s">
        <v>13</v>
      </c>
      <c r="G886" s="18">
        <v>6852</v>
      </c>
      <c r="H886" s="10">
        <v>5</v>
      </c>
      <c r="I886" s="4">
        <v>2</v>
      </c>
      <c r="J886" s="4" t="s">
        <v>14</v>
      </c>
      <c r="K886" s="3" t="s">
        <v>14</v>
      </c>
      <c r="L886" s="3" t="str">
        <f>IF(Table1[[#This Row],[Monthly Income]]&lt;3000,"Low",IF(Table1[[#This Row],[Monthly Income]]&lt;7000,"Medium","High"))</f>
        <v>Medium</v>
      </c>
      <c r="AK886" s="4"/>
      <c r="AL886" s="4"/>
      <c r="AM886" s="4"/>
      <c r="AN886" s="4"/>
      <c r="AO886" s="4"/>
      <c r="AP886" s="4"/>
      <c r="AQ886" s="4"/>
      <c r="AR886" s="4"/>
      <c r="AS886" s="4"/>
      <c r="AU886" s="4"/>
      <c r="AV886" s="4"/>
      <c r="AW886" s="4"/>
      <c r="AX886" s="4"/>
      <c r="AY886" s="4"/>
      <c r="AZ886" s="4"/>
      <c r="BA886" s="4"/>
      <c r="BB886" s="4"/>
      <c r="BC886" s="4"/>
      <c r="BD886" s="4"/>
      <c r="BE886" s="4"/>
    </row>
    <row r="887" spans="2:57" x14ac:dyDescent="0.3">
      <c r="B887" s="6" t="s">
        <v>910</v>
      </c>
      <c r="C887" s="6">
        <v>25</v>
      </c>
      <c r="D887" s="6" t="s">
        <v>17</v>
      </c>
      <c r="E887" s="6" t="s">
        <v>10</v>
      </c>
      <c r="F887" s="6" t="s">
        <v>13</v>
      </c>
      <c r="G887" s="19">
        <v>4950</v>
      </c>
      <c r="H887" s="11">
        <v>4</v>
      </c>
      <c r="I887" s="6">
        <v>4</v>
      </c>
      <c r="J887" s="6" t="s">
        <v>14</v>
      </c>
      <c r="K887" s="5" t="s">
        <v>14</v>
      </c>
      <c r="L887" s="3" t="str">
        <f>IF(Table1[[#This Row],[Monthly Income]]&lt;3000,"Low",IF(Table1[[#This Row],[Monthly Income]]&lt;7000,"Medium","High"))</f>
        <v>Medium</v>
      </c>
      <c r="AK887" s="6"/>
      <c r="AL887" s="6"/>
      <c r="AM887" s="6"/>
      <c r="AN887" s="6"/>
      <c r="AO887" s="6"/>
      <c r="AP887" s="6"/>
      <c r="AQ887" s="6"/>
      <c r="AR887" s="6"/>
      <c r="AS887" s="6"/>
      <c r="AU887" s="6"/>
      <c r="AV887" s="6"/>
      <c r="AW887" s="6"/>
      <c r="AX887" s="6"/>
      <c r="AY887" s="6"/>
      <c r="AZ887" s="6"/>
      <c r="BA887" s="6"/>
      <c r="BB887" s="6"/>
      <c r="BC887" s="6"/>
      <c r="BD887" s="6"/>
      <c r="BE887" s="6"/>
    </row>
    <row r="888" spans="2:57" x14ac:dyDescent="0.3">
      <c r="B888" s="4" t="s">
        <v>911</v>
      </c>
      <c r="C888" s="4">
        <v>30</v>
      </c>
      <c r="D888" s="4" t="s">
        <v>17</v>
      </c>
      <c r="E888" s="4" t="s">
        <v>15</v>
      </c>
      <c r="F888" s="4" t="s">
        <v>18</v>
      </c>
      <c r="G888" s="18">
        <v>3579</v>
      </c>
      <c r="H888" s="10">
        <v>11</v>
      </c>
      <c r="I888" s="4">
        <v>2</v>
      </c>
      <c r="J888" s="4" t="s">
        <v>9</v>
      </c>
      <c r="K888" s="3" t="s">
        <v>14</v>
      </c>
      <c r="L888" s="3" t="str">
        <f>IF(Table1[[#This Row],[Monthly Income]]&lt;3000,"Low",IF(Table1[[#This Row],[Monthly Income]]&lt;7000,"Medium","High"))</f>
        <v>Medium</v>
      </c>
      <c r="AK888" s="4"/>
      <c r="AL888" s="4"/>
      <c r="AM888" s="4"/>
      <c r="AN888" s="4"/>
      <c r="AO888" s="4"/>
      <c r="AP888" s="4"/>
      <c r="AQ888" s="4"/>
      <c r="AR888" s="4"/>
      <c r="AS888" s="4"/>
      <c r="AU888" s="4"/>
      <c r="AV888" s="4"/>
      <c r="AW888" s="4"/>
      <c r="AX888" s="4"/>
      <c r="AY888" s="4"/>
      <c r="AZ888" s="4"/>
      <c r="BA888" s="4"/>
      <c r="BB888" s="4"/>
      <c r="BC888" s="4"/>
      <c r="BD888" s="4"/>
      <c r="BE888" s="4"/>
    </row>
    <row r="889" spans="2:57" x14ac:dyDescent="0.3">
      <c r="B889" s="6" t="s">
        <v>912</v>
      </c>
      <c r="C889" s="6">
        <v>42</v>
      </c>
      <c r="D889" s="6" t="s">
        <v>12</v>
      </c>
      <c r="E889" s="6" t="s">
        <v>15</v>
      </c>
      <c r="F889" s="6" t="s">
        <v>45</v>
      </c>
      <c r="G889" s="19">
        <v>13191</v>
      </c>
      <c r="H889" s="11">
        <v>1</v>
      </c>
      <c r="I889" s="6">
        <v>1</v>
      </c>
      <c r="J889" s="6" t="s">
        <v>9</v>
      </c>
      <c r="K889" s="5" t="s">
        <v>14</v>
      </c>
      <c r="L889" s="3" t="str">
        <f>IF(Table1[[#This Row],[Monthly Income]]&lt;3000,"Low",IF(Table1[[#This Row],[Monthly Income]]&lt;7000,"Medium","High"))</f>
        <v>High</v>
      </c>
      <c r="AK889" s="6"/>
      <c r="AL889" s="6"/>
      <c r="AM889" s="6"/>
      <c r="AN889" s="6"/>
      <c r="AO889" s="6"/>
      <c r="AP889" s="6"/>
      <c r="AQ889" s="6"/>
      <c r="AR889" s="6"/>
      <c r="AS889" s="6"/>
      <c r="AU889" s="6"/>
      <c r="AV889" s="6"/>
      <c r="AW889" s="6"/>
      <c r="AX889" s="6"/>
      <c r="AY889" s="6"/>
      <c r="AZ889" s="6"/>
      <c r="BA889" s="6"/>
      <c r="BB889" s="6"/>
      <c r="BC889" s="6"/>
      <c r="BD889" s="6"/>
      <c r="BE889" s="6"/>
    </row>
    <row r="890" spans="2:57" x14ac:dyDescent="0.3">
      <c r="B890" s="4" t="s">
        <v>913</v>
      </c>
      <c r="C890" s="4">
        <v>35</v>
      </c>
      <c r="D890" s="4" t="s">
        <v>12</v>
      </c>
      <c r="E890" s="4" t="s">
        <v>10</v>
      </c>
      <c r="F890" s="4" t="s">
        <v>13</v>
      </c>
      <c r="G890" s="18">
        <v>10377</v>
      </c>
      <c r="H890" s="10">
        <v>13</v>
      </c>
      <c r="I890" s="4">
        <v>4</v>
      </c>
      <c r="J890" s="4" t="s">
        <v>9</v>
      </c>
      <c r="K890" s="3" t="s">
        <v>14</v>
      </c>
      <c r="L890" s="3" t="str">
        <f>IF(Table1[[#This Row],[Monthly Income]]&lt;3000,"Low",IF(Table1[[#This Row],[Monthly Income]]&lt;7000,"Medium","High"))</f>
        <v>High</v>
      </c>
      <c r="AK890" s="4"/>
      <c r="AL890" s="4"/>
      <c r="AM890" s="4"/>
      <c r="AN890" s="4"/>
      <c r="AO890" s="4"/>
      <c r="AP890" s="4"/>
      <c r="AQ890" s="4"/>
      <c r="AR890" s="4"/>
      <c r="AS890" s="4"/>
      <c r="AU890" s="4"/>
      <c r="AV890" s="4"/>
      <c r="AW890" s="4"/>
      <c r="AX890" s="4"/>
      <c r="AY890" s="4"/>
      <c r="AZ890" s="4"/>
      <c r="BA890" s="4"/>
      <c r="BB890" s="4"/>
      <c r="BC890" s="4"/>
      <c r="BD890" s="4"/>
      <c r="BE890" s="4"/>
    </row>
    <row r="891" spans="2:57" x14ac:dyDescent="0.3">
      <c r="B891" s="6" t="s">
        <v>914</v>
      </c>
      <c r="C891" s="6">
        <v>27</v>
      </c>
      <c r="D891" s="6" t="s">
        <v>17</v>
      </c>
      <c r="E891" s="6" t="s">
        <v>15</v>
      </c>
      <c r="F891" s="6" t="s">
        <v>18</v>
      </c>
      <c r="G891" s="19">
        <v>2235</v>
      </c>
      <c r="H891" s="11">
        <v>9</v>
      </c>
      <c r="I891" s="6">
        <v>1</v>
      </c>
      <c r="J891" s="6" t="s">
        <v>9</v>
      </c>
      <c r="K891" s="5" t="s">
        <v>14</v>
      </c>
      <c r="L891" s="3" t="str">
        <f>IF(Table1[[#This Row],[Monthly Income]]&lt;3000,"Low",IF(Table1[[#This Row],[Monthly Income]]&lt;7000,"Medium","High"))</f>
        <v>Low</v>
      </c>
      <c r="AK891" s="6"/>
      <c r="AL891" s="6"/>
      <c r="AM891" s="6"/>
      <c r="AN891" s="6"/>
      <c r="AO891" s="6"/>
      <c r="AP891" s="6"/>
      <c r="AQ891" s="6"/>
      <c r="AR891" s="6"/>
      <c r="AS891" s="6"/>
      <c r="AU891" s="6"/>
      <c r="AV891" s="6"/>
      <c r="AW891" s="6"/>
      <c r="AX891" s="6"/>
      <c r="AY891" s="6"/>
      <c r="AZ891" s="6"/>
      <c r="BA891" s="6"/>
      <c r="BB891" s="6"/>
      <c r="BC891" s="6"/>
      <c r="BD891" s="6"/>
      <c r="BE891" s="6"/>
    </row>
    <row r="892" spans="2:57" x14ac:dyDescent="0.3">
      <c r="B892" s="4" t="s">
        <v>915</v>
      </c>
      <c r="C892" s="4">
        <v>54</v>
      </c>
      <c r="D892" s="4" t="s">
        <v>12</v>
      </c>
      <c r="E892" s="4" t="s">
        <v>15</v>
      </c>
      <c r="F892" s="4" t="s">
        <v>27</v>
      </c>
      <c r="G892" s="18">
        <v>10502</v>
      </c>
      <c r="H892" s="10">
        <v>5</v>
      </c>
      <c r="I892" s="4">
        <v>3</v>
      </c>
      <c r="J892" s="4" t="s">
        <v>14</v>
      </c>
      <c r="K892" s="3" t="s">
        <v>14</v>
      </c>
      <c r="L892" s="3" t="str">
        <f>IF(Table1[[#This Row],[Monthly Income]]&lt;3000,"Low",IF(Table1[[#This Row],[Monthly Income]]&lt;7000,"Medium","High"))</f>
        <v>High</v>
      </c>
      <c r="AK892" s="4"/>
      <c r="AL892" s="4"/>
      <c r="AM892" s="4"/>
      <c r="AN892" s="4"/>
      <c r="AO892" s="4"/>
      <c r="AP892" s="4"/>
      <c r="AQ892" s="4"/>
      <c r="AR892" s="4"/>
      <c r="AS892" s="4"/>
      <c r="AU892" s="4"/>
      <c r="AV892" s="4"/>
      <c r="AW892" s="4"/>
      <c r="AX892" s="4"/>
      <c r="AY892" s="4"/>
      <c r="AZ892" s="4"/>
      <c r="BA892" s="4"/>
      <c r="BB892" s="4"/>
      <c r="BC892" s="4"/>
      <c r="BD892" s="4"/>
      <c r="BE892" s="4"/>
    </row>
    <row r="893" spans="2:57" x14ac:dyDescent="0.3">
      <c r="B893" s="6" t="s">
        <v>916</v>
      </c>
      <c r="C893" s="6">
        <v>44</v>
      </c>
      <c r="D893" s="6" t="s">
        <v>12</v>
      </c>
      <c r="E893" s="6" t="s">
        <v>15</v>
      </c>
      <c r="F893" s="6" t="s">
        <v>18</v>
      </c>
      <c r="G893" s="19">
        <v>2011</v>
      </c>
      <c r="H893" s="11">
        <v>10</v>
      </c>
      <c r="I893" s="6">
        <v>4</v>
      </c>
      <c r="J893" s="6" t="s">
        <v>14</v>
      </c>
      <c r="K893" s="5" t="s">
        <v>14</v>
      </c>
      <c r="L893" s="3" t="str">
        <f>IF(Table1[[#This Row],[Monthly Income]]&lt;3000,"Low",IF(Table1[[#This Row],[Monthly Income]]&lt;7000,"Medium","High"))</f>
        <v>Low</v>
      </c>
      <c r="AK893" s="6"/>
      <c r="AL893" s="6"/>
      <c r="AM893" s="6"/>
      <c r="AN893" s="6"/>
      <c r="AO893" s="6"/>
      <c r="AP893" s="6"/>
      <c r="AQ893" s="6"/>
      <c r="AR893" s="6"/>
      <c r="AS893" s="6"/>
      <c r="AU893" s="6"/>
      <c r="AV893" s="6"/>
      <c r="AW893" s="6"/>
      <c r="AX893" s="6"/>
      <c r="AY893" s="6"/>
      <c r="AZ893" s="6"/>
      <c r="BA893" s="6"/>
      <c r="BB893" s="6"/>
      <c r="BC893" s="6"/>
      <c r="BD893" s="6"/>
      <c r="BE893" s="6"/>
    </row>
    <row r="894" spans="2:57" x14ac:dyDescent="0.3">
      <c r="B894" s="4" t="s">
        <v>917</v>
      </c>
      <c r="C894" s="4">
        <v>19</v>
      </c>
      <c r="D894" s="4" t="s">
        <v>12</v>
      </c>
      <c r="E894" s="4" t="s">
        <v>15</v>
      </c>
      <c r="F894" s="4" t="s">
        <v>18</v>
      </c>
      <c r="G894" s="18">
        <v>1859</v>
      </c>
      <c r="H894" s="10">
        <v>1</v>
      </c>
      <c r="I894" s="4">
        <v>2</v>
      </c>
      <c r="J894" s="4" t="s">
        <v>9</v>
      </c>
      <c r="K894" s="3" t="s">
        <v>9</v>
      </c>
      <c r="L894" s="3" t="str">
        <f>IF(Table1[[#This Row],[Monthly Income]]&lt;3000,"Low",IF(Table1[[#This Row],[Monthly Income]]&lt;7000,"Medium","High"))</f>
        <v>Low</v>
      </c>
      <c r="AK894" s="4"/>
      <c r="AL894" s="4"/>
      <c r="AM894" s="4"/>
      <c r="AN894" s="4"/>
      <c r="AO894" s="4"/>
      <c r="AP894" s="4"/>
      <c r="AQ894" s="4"/>
      <c r="AR894" s="4"/>
      <c r="AS894" s="4"/>
      <c r="AU894" s="4"/>
      <c r="AV894" s="4"/>
      <c r="AW894" s="4"/>
      <c r="AX894" s="4"/>
      <c r="AY894" s="4"/>
      <c r="AZ894" s="4"/>
      <c r="BA894" s="4"/>
      <c r="BB894" s="4"/>
      <c r="BC894" s="4"/>
      <c r="BD894" s="4"/>
      <c r="BE894" s="4"/>
    </row>
    <row r="895" spans="2:57" x14ac:dyDescent="0.3">
      <c r="B895" s="6" t="s">
        <v>918</v>
      </c>
      <c r="C895" s="6">
        <v>29</v>
      </c>
      <c r="D895" s="6" t="s">
        <v>12</v>
      </c>
      <c r="E895" s="6" t="s">
        <v>15</v>
      </c>
      <c r="F895" s="6" t="s">
        <v>18</v>
      </c>
      <c r="G895" s="19">
        <v>3760</v>
      </c>
      <c r="H895" s="11">
        <v>3</v>
      </c>
      <c r="I895" s="6">
        <v>4</v>
      </c>
      <c r="J895" s="6" t="s">
        <v>14</v>
      </c>
      <c r="K895" s="5" t="s">
        <v>14</v>
      </c>
      <c r="L895" s="3" t="str">
        <f>IF(Table1[[#This Row],[Monthly Income]]&lt;3000,"Low",IF(Table1[[#This Row],[Monthly Income]]&lt;7000,"Medium","High"))</f>
        <v>Medium</v>
      </c>
      <c r="AK895" s="6"/>
      <c r="AL895" s="6"/>
      <c r="AM895" s="6"/>
      <c r="AN895" s="6"/>
      <c r="AO895" s="6"/>
      <c r="AP895" s="6"/>
      <c r="AQ895" s="6"/>
      <c r="AR895" s="6"/>
      <c r="AS895" s="6"/>
      <c r="AU895" s="6"/>
      <c r="AV895" s="6"/>
      <c r="AW895" s="6"/>
      <c r="AX895" s="6"/>
      <c r="AY895" s="6"/>
      <c r="AZ895" s="6"/>
      <c r="BA895" s="6"/>
      <c r="BB895" s="6"/>
      <c r="BC895" s="6"/>
      <c r="BD895" s="6"/>
      <c r="BE895" s="6"/>
    </row>
    <row r="896" spans="2:57" x14ac:dyDescent="0.3">
      <c r="B896" s="4" t="s">
        <v>919</v>
      </c>
      <c r="C896" s="4">
        <v>54</v>
      </c>
      <c r="D896" s="4" t="s">
        <v>17</v>
      </c>
      <c r="E896" s="4" t="s">
        <v>15</v>
      </c>
      <c r="F896" s="4" t="s">
        <v>45</v>
      </c>
      <c r="G896" s="18">
        <v>17779</v>
      </c>
      <c r="H896" s="10">
        <v>10</v>
      </c>
      <c r="I896" s="4">
        <v>4</v>
      </c>
      <c r="J896" s="4" t="s">
        <v>14</v>
      </c>
      <c r="K896" s="3" t="s">
        <v>14</v>
      </c>
      <c r="L896" s="3" t="str">
        <f>IF(Table1[[#This Row],[Monthly Income]]&lt;3000,"Low",IF(Table1[[#This Row],[Monthly Income]]&lt;7000,"Medium","High"))</f>
        <v>High</v>
      </c>
      <c r="AK896" s="4"/>
      <c r="AL896" s="4"/>
      <c r="AM896" s="4"/>
      <c r="AN896" s="4"/>
      <c r="AO896" s="4"/>
      <c r="AP896" s="4"/>
      <c r="AQ896" s="4"/>
      <c r="AR896" s="4"/>
      <c r="AS896" s="4"/>
      <c r="AU896" s="4"/>
      <c r="AV896" s="4"/>
      <c r="AW896" s="4"/>
      <c r="AX896" s="4"/>
      <c r="AY896" s="4"/>
      <c r="AZ896" s="4"/>
      <c r="BA896" s="4"/>
      <c r="BB896" s="4"/>
      <c r="BC896" s="4"/>
      <c r="BD896" s="4"/>
      <c r="BE896" s="4"/>
    </row>
    <row r="897" spans="2:57" x14ac:dyDescent="0.3">
      <c r="B897" s="6" t="s">
        <v>920</v>
      </c>
      <c r="C897" s="6">
        <v>31</v>
      </c>
      <c r="D897" s="6" t="s">
        <v>17</v>
      </c>
      <c r="E897" s="6" t="s">
        <v>15</v>
      </c>
      <c r="F897" s="6" t="s">
        <v>29</v>
      </c>
      <c r="G897" s="19">
        <v>6833</v>
      </c>
      <c r="H897" s="11">
        <v>6</v>
      </c>
      <c r="I897" s="6">
        <v>1</v>
      </c>
      <c r="J897" s="6" t="s">
        <v>9</v>
      </c>
      <c r="K897" s="5" t="s">
        <v>14</v>
      </c>
      <c r="L897" s="3" t="str">
        <f>IF(Table1[[#This Row],[Monthly Income]]&lt;3000,"Low",IF(Table1[[#This Row],[Monthly Income]]&lt;7000,"Medium","High"))</f>
        <v>Medium</v>
      </c>
      <c r="AK897" s="6"/>
      <c r="AL897" s="6"/>
      <c r="AM897" s="6"/>
      <c r="AN897" s="6"/>
      <c r="AO897" s="6"/>
      <c r="AP897" s="6"/>
      <c r="AQ897" s="6"/>
      <c r="AR897" s="6"/>
      <c r="AS897" s="6"/>
      <c r="AU897" s="6"/>
      <c r="AV897" s="6"/>
      <c r="AW897" s="6"/>
      <c r="AX897" s="6"/>
      <c r="AY897" s="6"/>
      <c r="AZ897" s="6"/>
      <c r="BA897" s="6"/>
      <c r="BB897" s="6"/>
      <c r="BC897" s="6"/>
      <c r="BD897" s="6"/>
      <c r="BE897" s="6"/>
    </row>
    <row r="898" spans="2:57" x14ac:dyDescent="0.3">
      <c r="B898" s="4" t="s">
        <v>921</v>
      </c>
      <c r="C898" s="4">
        <v>31</v>
      </c>
      <c r="D898" s="4" t="s">
        <v>12</v>
      </c>
      <c r="E898" s="4" t="s">
        <v>15</v>
      </c>
      <c r="F898" s="4" t="s">
        <v>29</v>
      </c>
      <c r="G898" s="18">
        <v>6812</v>
      </c>
      <c r="H898" s="10">
        <v>10</v>
      </c>
      <c r="I898" s="4">
        <v>1</v>
      </c>
      <c r="J898" s="4" t="s">
        <v>14</v>
      </c>
      <c r="K898" s="3" t="s">
        <v>14</v>
      </c>
      <c r="L898" s="3" t="str">
        <f>IF(Table1[[#This Row],[Monthly Income]]&lt;3000,"Low",IF(Table1[[#This Row],[Monthly Income]]&lt;7000,"Medium","High"))</f>
        <v>Medium</v>
      </c>
      <c r="AK898" s="4"/>
      <c r="AL898" s="4"/>
      <c r="AM898" s="4"/>
      <c r="AN898" s="4"/>
      <c r="AO898" s="4"/>
      <c r="AP898" s="4"/>
      <c r="AQ898" s="4"/>
      <c r="AR898" s="4"/>
      <c r="AS898" s="4"/>
      <c r="AU898" s="4"/>
      <c r="AV898" s="4"/>
      <c r="AW898" s="4"/>
      <c r="AX898" s="4"/>
      <c r="AY898" s="4"/>
      <c r="AZ898" s="4"/>
      <c r="BA898" s="4"/>
      <c r="BB898" s="4"/>
      <c r="BC898" s="4"/>
      <c r="BD898" s="4"/>
      <c r="BE898" s="4"/>
    </row>
    <row r="899" spans="2:57" x14ac:dyDescent="0.3">
      <c r="B899" s="6" t="s">
        <v>922</v>
      </c>
      <c r="C899" s="6">
        <v>59</v>
      </c>
      <c r="D899" s="6" t="s">
        <v>12</v>
      </c>
      <c r="E899" s="6" t="s">
        <v>10</v>
      </c>
      <c r="F899" s="6" t="s">
        <v>13</v>
      </c>
      <c r="G899" s="19">
        <v>5171</v>
      </c>
      <c r="H899" s="11">
        <v>6</v>
      </c>
      <c r="I899" s="6">
        <v>4</v>
      </c>
      <c r="J899" s="6" t="s">
        <v>14</v>
      </c>
      <c r="K899" s="5" t="s">
        <v>14</v>
      </c>
      <c r="L899" s="3" t="str">
        <f>IF(Table1[[#This Row],[Monthly Income]]&lt;3000,"Low",IF(Table1[[#This Row],[Monthly Income]]&lt;7000,"Medium","High"))</f>
        <v>Medium</v>
      </c>
      <c r="AK899" s="6"/>
      <c r="AL899" s="6"/>
      <c r="AM899" s="6"/>
      <c r="AN899" s="6"/>
      <c r="AO899" s="6"/>
      <c r="AP899" s="6"/>
      <c r="AQ899" s="6"/>
      <c r="AR899" s="6"/>
      <c r="AS899" s="6"/>
      <c r="AU899" s="6"/>
      <c r="AV899" s="6"/>
      <c r="AW899" s="6"/>
      <c r="AX899" s="6"/>
      <c r="AY899" s="6"/>
      <c r="AZ899" s="6"/>
      <c r="BA899" s="6"/>
      <c r="BB899" s="6"/>
      <c r="BC899" s="6"/>
      <c r="BD899" s="6"/>
      <c r="BE899" s="6"/>
    </row>
    <row r="900" spans="2:57" x14ac:dyDescent="0.3">
      <c r="B900" s="4" t="s">
        <v>923</v>
      </c>
      <c r="C900" s="4">
        <v>43</v>
      </c>
      <c r="D900" s="4" t="s">
        <v>17</v>
      </c>
      <c r="E900" s="4" t="s">
        <v>15</v>
      </c>
      <c r="F900" s="4" t="s">
        <v>45</v>
      </c>
      <c r="G900" s="18">
        <v>19740</v>
      </c>
      <c r="H900" s="10">
        <v>8</v>
      </c>
      <c r="I900" s="4">
        <v>4</v>
      </c>
      <c r="J900" s="4" t="s">
        <v>14</v>
      </c>
      <c r="K900" s="3" t="s">
        <v>14</v>
      </c>
      <c r="L900" s="3" t="str">
        <f>IF(Table1[[#This Row],[Monthly Income]]&lt;3000,"Low",IF(Table1[[#This Row],[Monthly Income]]&lt;7000,"Medium","High"))</f>
        <v>High</v>
      </c>
      <c r="AK900" s="4"/>
      <c r="AL900" s="4"/>
      <c r="AM900" s="4"/>
      <c r="AN900" s="4"/>
      <c r="AO900" s="4"/>
      <c r="AP900" s="4"/>
      <c r="AQ900" s="4"/>
      <c r="AR900" s="4"/>
      <c r="AS900" s="4"/>
      <c r="AU900" s="4"/>
      <c r="AV900" s="4"/>
      <c r="AW900" s="4"/>
      <c r="AX900" s="4"/>
      <c r="AY900" s="4"/>
      <c r="AZ900" s="4"/>
      <c r="BA900" s="4"/>
      <c r="BB900" s="4"/>
      <c r="BC900" s="4"/>
      <c r="BD900" s="4"/>
      <c r="BE900" s="4"/>
    </row>
    <row r="901" spans="2:57" x14ac:dyDescent="0.3">
      <c r="B901" s="6" t="s">
        <v>924</v>
      </c>
      <c r="C901" s="6">
        <v>49</v>
      </c>
      <c r="D901" s="6" t="s">
        <v>17</v>
      </c>
      <c r="E901" s="6" t="s">
        <v>15</v>
      </c>
      <c r="F901" s="6" t="s">
        <v>39</v>
      </c>
      <c r="G901" s="19">
        <v>18711</v>
      </c>
      <c r="H901" s="11">
        <v>1</v>
      </c>
      <c r="I901" s="6">
        <v>3</v>
      </c>
      <c r="J901" s="6" t="s">
        <v>14</v>
      </c>
      <c r="K901" s="5" t="s">
        <v>14</v>
      </c>
      <c r="L901" s="3" t="str">
        <f>IF(Table1[[#This Row],[Monthly Income]]&lt;3000,"Low",IF(Table1[[#This Row],[Monthly Income]]&lt;7000,"Medium","High"))</f>
        <v>High</v>
      </c>
      <c r="AK901" s="6"/>
      <c r="AL901" s="6"/>
      <c r="AM901" s="6"/>
      <c r="AN901" s="6"/>
      <c r="AO901" s="6"/>
      <c r="AP901" s="6"/>
      <c r="AQ901" s="6"/>
      <c r="AR901" s="6"/>
      <c r="AS901" s="6"/>
      <c r="AU901" s="6"/>
      <c r="AV901" s="6"/>
      <c r="AW901" s="6"/>
      <c r="AX901" s="6"/>
      <c r="AY901" s="6"/>
      <c r="AZ901" s="6"/>
      <c r="BA901" s="6"/>
      <c r="BB901" s="6"/>
      <c r="BC901" s="6"/>
      <c r="BD901" s="6"/>
      <c r="BE901" s="6"/>
    </row>
    <row r="902" spans="2:57" x14ac:dyDescent="0.3">
      <c r="B902" s="4" t="s">
        <v>925</v>
      </c>
      <c r="C902" s="4">
        <v>36</v>
      </c>
      <c r="D902" s="4" t="s">
        <v>17</v>
      </c>
      <c r="E902" s="4" t="s">
        <v>15</v>
      </c>
      <c r="F902" s="4" t="s">
        <v>18</v>
      </c>
      <c r="G902" s="18">
        <v>3692</v>
      </c>
      <c r="H902" s="10">
        <v>11</v>
      </c>
      <c r="I902" s="4">
        <v>2</v>
      </c>
      <c r="J902" s="4" t="s">
        <v>14</v>
      </c>
      <c r="K902" s="3" t="s">
        <v>14</v>
      </c>
      <c r="L902" s="3" t="str">
        <f>IF(Table1[[#This Row],[Monthly Income]]&lt;3000,"Low",IF(Table1[[#This Row],[Monthly Income]]&lt;7000,"Medium","High"))</f>
        <v>Medium</v>
      </c>
      <c r="AK902" s="4"/>
      <c r="AL902" s="4"/>
      <c r="AM902" s="4"/>
      <c r="AN902" s="4"/>
      <c r="AO902" s="4"/>
      <c r="AP902" s="4"/>
      <c r="AQ902" s="4"/>
      <c r="AR902" s="4"/>
      <c r="AS902" s="4"/>
      <c r="AU902" s="4"/>
      <c r="AV902" s="4"/>
      <c r="AW902" s="4"/>
      <c r="AX902" s="4"/>
      <c r="AY902" s="4"/>
      <c r="AZ902" s="4"/>
      <c r="BA902" s="4"/>
      <c r="BB902" s="4"/>
      <c r="BC902" s="4"/>
      <c r="BD902" s="4"/>
      <c r="BE902" s="4"/>
    </row>
    <row r="903" spans="2:57" x14ac:dyDescent="0.3">
      <c r="B903" s="6" t="s">
        <v>926</v>
      </c>
      <c r="C903" s="6">
        <v>48</v>
      </c>
      <c r="D903" s="6" t="s">
        <v>17</v>
      </c>
      <c r="E903" s="6" t="s">
        <v>15</v>
      </c>
      <c r="F903" s="6" t="s">
        <v>20</v>
      </c>
      <c r="G903" s="19">
        <v>2559</v>
      </c>
      <c r="H903" s="11">
        <v>1</v>
      </c>
      <c r="I903" s="6">
        <v>2</v>
      </c>
      <c r="J903" s="6" t="s">
        <v>14</v>
      </c>
      <c r="K903" s="5" t="s">
        <v>14</v>
      </c>
      <c r="L903" s="3" t="str">
        <f>IF(Table1[[#This Row],[Monthly Income]]&lt;3000,"Low",IF(Table1[[#This Row],[Monthly Income]]&lt;7000,"Medium","High"))</f>
        <v>Low</v>
      </c>
      <c r="AK903" s="6"/>
      <c r="AL903" s="6"/>
      <c r="AM903" s="6"/>
      <c r="AN903" s="6"/>
      <c r="AO903" s="6"/>
      <c r="AP903" s="6"/>
      <c r="AQ903" s="6"/>
      <c r="AR903" s="6"/>
      <c r="AS903" s="6"/>
      <c r="AU903" s="6"/>
      <c r="AV903" s="6"/>
      <c r="AW903" s="6"/>
      <c r="AX903" s="6"/>
      <c r="AY903" s="6"/>
      <c r="AZ903" s="6"/>
      <c r="BA903" s="6"/>
      <c r="BB903" s="6"/>
      <c r="BC903" s="6"/>
      <c r="BD903" s="6"/>
      <c r="BE903" s="6"/>
    </row>
    <row r="904" spans="2:57" x14ac:dyDescent="0.3">
      <c r="B904" s="4" t="s">
        <v>927</v>
      </c>
      <c r="C904" s="4">
        <v>27</v>
      </c>
      <c r="D904" s="4" t="s">
        <v>17</v>
      </c>
      <c r="E904" s="4" t="s">
        <v>15</v>
      </c>
      <c r="F904" s="4" t="s">
        <v>18</v>
      </c>
      <c r="G904" s="18">
        <v>2517</v>
      </c>
      <c r="H904" s="10">
        <v>5</v>
      </c>
      <c r="I904" s="4">
        <v>3</v>
      </c>
      <c r="J904" s="4" t="s">
        <v>14</v>
      </c>
      <c r="K904" s="3" t="s">
        <v>14</v>
      </c>
      <c r="L904" s="3" t="str">
        <f>IF(Table1[[#This Row],[Monthly Income]]&lt;3000,"Low",IF(Table1[[#This Row],[Monthly Income]]&lt;7000,"Medium","High"))</f>
        <v>Low</v>
      </c>
      <c r="AK904" s="4"/>
      <c r="AL904" s="4"/>
      <c r="AM904" s="4"/>
      <c r="AN904" s="4"/>
      <c r="AO904" s="4"/>
      <c r="AP904" s="4"/>
      <c r="AQ904" s="4"/>
      <c r="AR904" s="4"/>
      <c r="AS904" s="4"/>
      <c r="AU904" s="4"/>
      <c r="AV904" s="4"/>
      <c r="AW904" s="4"/>
      <c r="AX904" s="4"/>
      <c r="AY904" s="4"/>
      <c r="AZ904" s="4"/>
      <c r="BA904" s="4"/>
      <c r="BB904" s="4"/>
      <c r="BC904" s="4"/>
      <c r="BD904" s="4"/>
      <c r="BE904" s="4"/>
    </row>
    <row r="905" spans="2:57" x14ac:dyDescent="0.3">
      <c r="B905" s="6" t="s">
        <v>928</v>
      </c>
      <c r="C905" s="6">
        <v>29</v>
      </c>
      <c r="D905" s="6" t="s">
        <v>17</v>
      </c>
      <c r="E905" s="6" t="s">
        <v>15</v>
      </c>
      <c r="F905" s="6" t="s">
        <v>29</v>
      </c>
      <c r="G905" s="19">
        <v>6623</v>
      </c>
      <c r="H905" s="11">
        <v>6</v>
      </c>
      <c r="I905" s="6">
        <v>4</v>
      </c>
      <c r="J905" s="6" t="s">
        <v>9</v>
      </c>
      <c r="K905" s="5" t="s">
        <v>14</v>
      </c>
      <c r="L905" s="3" t="str">
        <f>IF(Table1[[#This Row],[Monthly Income]]&lt;3000,"Low",IF(Table1[[#This Row],[Monthly Income]]&lt;7000,"Medium","High"))</f>
        <v>Medium</v>
      </c>
      <c r="AK905" s="6"/>
      <c r="AL905" s="6"/>
      <c r="AM905" s="6"/>
      <c r="AN905" s="6"/>
      <c r="AO905" s="6"/>
      <c r="AP905" s="6"/>
      <c r="AQ905" s="6"/>
      <c r="AR905" s="6"/>
      <c r="AS905" s="6"/>
      <c r="AU905" s="6"/>
      <c r="AV905" s="6"/>
      <c r="AW905" s="6"/>
      <c r="AX905" s="6"/>
      <c r="AY905" s="6"/>
      <c r="AZ905" s="6"/>
      <c r="BA905" s="6"/>
      <c r="BB905" s="6"/>
      <c r="BC905" s="6"/>
      <c r="BD905" s="6"/>
      <c r="BE905" s="6"/>
    </row>
    <row r="906" spans="2:57" x14ac:dyDescent="0.3">
      <c r="B906" s="4" t="s">
        <v>929</v>
      </c>
      <c r="C906" s="4">
        <v>48</v>
      </c>
      <c r="D906" s="4" t="s">
        <v>17</v>
      </c>
      <c r="E906" s="4" t="s">
        <v>15</v>
      </c>
      <c r="F906" s="4" t="s">
        <v>45</v>
      </c>
      <c r="G906" s="18">
        <v>18265</v>
      </c>
      <c r="H906" s="10">
        <v>1</v>
      </c>
      <c r="I906" s="4">
        <v>4</v>
      </c>
      <c r="J906" s="4" t="s">
        <v>14</v>
      </c>
      <c r="K906" s="3" t="s">
        <v>14</v>
      </c>
      <c r="L906" s="3" t="str">
        <f>IF(Table1[[#This Row],[Monthly Income]]&lt;3000,"Low",IF(Table1[[#This Row],[Monthly Income]]&lt;7000,"Medium","High"))</f>
        <v>High</v>
      </c>
      <c r="AK906" s="4"/>
      <c r="AL906" s="4"/>
      <c r="AM906" s="4"/>
      <c r="AN906" s="4"/>
      <c r="AO906" s="4"/>
      <c r="AP906" s="4"/>
      <c r="AQ906" s="4"/>
      <c r="AR906" s="4"/>
      <c r="AS906" s="4"/>
      <c r="AU906" s="4"/>
      <c r="AV906" s="4"/>
      <c r="AW906" s="4"/>
      <c r="AX906" s="4"/>
      <c r="AY906" s="4"/>
      <c r="AZ906" s="4"/>
      <c r="BA906" s="4"/>
      <c r="BB906" s="4"/>
      <c r="BC906" s="4"/>
      <c r="BD906" s="4"/>
      <c r="BE906" s="4"/>
    </row>
    <row r="907" spans="2:57" x14ac:dyDescent="0.3">
      <c r="B907" s="6" t="s">
        <v>930</v>
      </c>
      <c r="C907" s="6">
        <v>29</v>
      </c>
      <c r="D907" s="6" t="s">
        <v>12</v>
      </c>
      <c r="E907" s="6" t="s">
        <v>15</v>
      </c>
      <c r="F907" s="6" t="s">
        <v>45</v>
      </c>
      <c r="G907" s="19">
        <v>16124</v>
      </c>
      <c r="H907" s="11">
        <v>7</v>
      </c>
      <c r="I907" s="6">
        <v>4</v>
      </c>
      <c r="J907" s="6" t="s">
        <v>14</v>
      </c>
      <c r="K907" s="5" t="s">
        <v>14</v>
      </c>
      <c r="L907" s="3" t="str">
        <f>IF(Table1[[#This Row],[Monthly Income]]&lt;3000,"Low",IF(Table1[[#This Row],[Monthly Income]]&lt;7000,"Medium","High"))</f>
        <v>High</v>
      </c>
      <c r="AK907" s="6"/>
      <c r="AL907" s="6"/>
      <c r="AM907" s="6"/>
      <c r="AN907" s="6"/>
      <c r="AO907" s="6"/>
      <c r="AP907" s="6"/>
      <c r="AQ907" s="6"/>
      <c r="AR907" s="6"/>
      <c r="AS907" s="6"/>
      <c r="AU907" s="6"/>
      <c r="AV907" s="6"/>
      <c r="AW907" s="6"/>
      <c r="AX907" s="6"/>
      <c r="AY907" s="6"/>
      <c r="AZ907" s="6"/>
      <c r="BA907" s="6"/>
      <c r="BB907" s="6"/>
      <c r="BC907" s="6"/>
      <c r="BD907" s="6"/>
      <c r="BE907" s="6"/>
    </row>
    <row r="908" spans="2:57" x14ac:dyDescent="0.3">
      <c r="B908" s="4" t="s">
        <v>931</v>
      </c>
      <c r="C908" s="4">
        <v>34</v>
      </c>
      <c r="D908" s="4" t="s">
        <v>12</v>
      </c>
      <c r="E908" s="4" t="s">
        <v>15</v>
      </c>
      <c r="F908" s="4" t="s">
        <v>18</v>
      </c>
      <c r="G908" s="18">
        <v>2585</v>
      </c>
      <c r="H908" s="10">
        <v>1</v>
      </c>
      <c r="I908" s="4">
        <v>3</v>
      </c>
      <c r="J908" s="4" t="s">
        <v>14</v>
      </c>
      <c r="K908" s="3" t="s">
        <v>14</v>
      </c>
      <c r="L908" s="3" t="str">
        <f>IF(Table1[[#This Row],[Monthly Income]]&lt;3000,"Low",IF(Table1[[#This Row],[Monthly Income]]&lt;7000,"Medium","High"))</f>
        <v>Low</v>
      </c>
      <c r="AK908" s="4"/>
      <c r="AL908" s="4"/>
      <c r="AM908" s="4"/>
      <c r="AN908" s="4"/>
      <c r="AO908" s="4"/>
      <c r="AP908" s="4"/>
      <c r="AQ908" s="4"/>
      <c r="AR908" s="4"/>
      <c r="AS908" s="4"/>
      <c r="AU908" s="4"/>
      <c r="AV908" s="4"/>
      <c r="AW908" s="4"/>
      <c r="AX908" s="4"/>
      <c r="AY908" s="4"/>
      <c r="AZ908" s="4"/>
      <c r="BA908" s="4"/>
      <c r="BB908" s="4"/>
      <c r="BC908" s="4"/>
      <c r="BD908" s="4"/>
      <c r="BE908" s="4"/>
    </row>
    <row r="909" spans="2:57" x14ac:dyDescent="0.3">
      <c r="B909" s="6" t="s">
        <v>932</v>
      </c>
      <c r="C909" s="6">
        <v>44</v>
      </c>
      <c r="D909" s="6" t="s">
        <v>17</v>
      </c>
      <c r="E909" s="6" t="s">
        <v>10</v>
      </c>
      <c r="F909" s="6" t="s">
        <v>39</v>
      </c>
      <c r="G909" s="19">
        <v>18213</v>
      </c>
      <c r="H909" s="11">
        <v>22</v>
      </c>
      <c r="I909" s="6">
        <v>2</v>
      </c>
      <c r="J909" s="6" t="s">
        <v>14</v>
      </c>
      <c r="K909" s="5" t="s">
        <v>14</v>
      </c>
      <c r="L909" s="3" t="str">
        <f>IF(Table1[[#This Row],[Monthly Income]]&lt;3000,"Low",IF(Table1[[#This Row],[Monthly Income]]&lt;7000,"Medium","High"))</f>
        <v>High</v>
      </c>
      <c r="AK909" s="6"/>
      <c r="AL909" s="6"/>
      <c r="AM909" s="6"/>
      <c r="AN909" s="6"/>
      <c r="AO909" s="6"/>
      <c r="AP909" s="6"/>
      <c r="AQ909" s="6"/>
      <c r="AR909" s="6"/>
      <c r="AS909" s="6"/>
      <c r="AU909" s="6"/>
      <c r="AV909" s="6"/>
      <c r="AW909" s="6"/>
      <c r="AX909" s="6"/>
      <c r="AY909" s="6"/>
      <c r="AZ909" s="6"/>
      <c r="BA909" s="6"/>
      <c r="BB909" s="6"/>
      <c r="BC909" s="6"/>
      <c r="BD909" s="6"/>
      <c r="BE909" s="6"/>
    </row>
    <row r="910" spans="2:57" x14ac:dyDescent="0.3">
      <c r="B910" s="4" t="s">
        <v>933</v>
      </c>
      <c r="C910" s="4">
        <v>33</v>
      </c>
      <c r="D910" s="4" t="s">
        <v>17</v>
      </c>
      <c r="E910" s="4" t="s">
        <v>10</v>
      </c>
      <c r="F910" s="4" t="s">
        <v>13</v>
      </c>
      <c r="G910" s="18">
        <v>8380</v>
      </c>
      <c r="H910" s="10">
        <v>9</v>
      </c>
      <c r="I910" s="4">
        <v>3</v>
      </c>
      <c r="J910" s="4" t="s">
        <v>9</v>
      </c>
      <c r="K910" s="3" t="s">
        <v>14</v>
      </c>
      <c r="L910" s="3" t="str">
        <f>IF(Table1[[#This Row],[Monthly Income]]&lt;3000,"Low",IF(Table1[[#This Row],[Monthly Income]]&lt;7000,"Medium","High"))</f>
        <v>High</v>
      </c>
      <c r="AK910" s="4"/>
      <c r="AL910" s="4"/>
      <c r="AM910" s="4"/>
      <c r="AN910" s="4"/>
      <c r="AO910" s="4"/>
      <c r="AP910" s="4"/>
      <c r="AQ910" s="4"/>
      <c r="AR910" s="4"/>
      <c r="AS910" s="4"/>
      <c r="AU910" s="4"/>
      <c r="AV910" s="4"/>
      <c r="AW910" s="4"/>
      <c r="AX910" s="4"/>
      <c r="AY910" s="4"/>
      <c r="AZ910" s="4"/>
      <c r="BA910" s="4"/>
      <c r="BB910" s="4"/>
      <c r="BC910" s="4"/>
      <c r="BD910" s="4"/>
      <c r="BE910" s="4"/>
    </row>
    <row r="911" spans="2:57" x14ac:dyDescent="0.3">
      <c r="B911" s="6" t="s">
        <v>934</v>
      </c>
      <c r="C911" s="6">
        <v>19</v>
      </c>
      <c r="D911" s="6" t="s">
        <v>12</v>
      </c>
      <c r="E911" s="6" t="s">
        <v>15</v>
      </c>
      <c r="F911" s="6" t="s">
        <v>18</v>
      </c>
      <c r="G911" s="19">
        <v>2994</v>
      </c>
      <c r="H911" s="11">
        <v>1</v>
      </c>
      <c r="I911" s="6">
        <v>4</v>
      </c>
      <c r="J911" s="6" t="s">
        <v>9</v>
      </c>
      <c r="K911" s="5" t="s">
        <v>14</v>
      </c>
      <c r="L911" s="3" t="str">
        <f>IF(Table1[[#This Row],[Monthly Income]]&lt;3000,"Low",IF(Table1[[#This Row],[Monthly Income]]&lt;7000,"Medium","High"))</f>
        <v>Low</v>
      </c>
      <c r="AK911" s="6"/>
      <c r="AL911" s="6"/>
      <c r="AM911" s="6"/>
      <c r="AN911" s="6"/>
      <c r="AO911" s="6"/>
      <c r="AP911" s="6"/>
      <c r="AQ911" s="6"/>
      <c r="AR911" s="6"/>
      <c r="AS911" s="6"/>
      <c r="AU911" s="6"/>
      <c r="AV911" s="6"/>
      <c r="AW911" s="6"/>
      <c r="AX911" s="6"/>
      <c r="AY911" s="6"/>
      <c r="AZ911" s="6"/>
      <c r="BA911" s="6"/>
      <c r="BB911" s="6"/>
      <c r="BC911" s="6"/>
      <c r="BD911" s="6"/>
      <c r="BE911" s="6"/>
    </row>
    <row r="912" spans="2:57" x14ac:dyDescent="0.3">
      <c r="B912" s="4" t="s">
        <v>935</v>
      </c>
      <c r="C912" s="4">
        <v>23</v>
      </c>
      <c r="D912" s="4" t="s">
        <v>17</v>
      </c>
      <c r="E912" s="4" t="s">
        <v>15</v>
      </c>
      <c r="F912" s="4" t="s">
        <v>18</v>
      </c>
      <c r="G912" s="18">
        <v>1223</v>
      </c>
      <c r="H912" s="10">
        <v>1</v>
      </c>
      <c r="I912" s="4">
        <v>3</v>
      </c>
      <c r="J912" s="4" t="s">
        <v>14</v>
      </c>
      <c r="K912" s="3" t="s">
        <v>14</v>
      </c>
      <c r="L912" s="3" t="str">
        <f>IF(Table1[[#This Row],[Monthly Income]]&lt;3000,"Low",IF(Table1[[#This Row],[Monthly Income]]&lt;7000,"Medium","High"))</f>
        <v>Low</v>
      </c>
      <c r="AK912" s="4"/>
      <c r="AL912" s="4"/>
      <c r="AM912" s="4"/>
      <c r="AN912" s="4"/>
      <c r="AO912" s="4"/>
      <c r="AP912" s="4"/>
      <c r="AQ912" s="4"/>
      <c r="AR912" s="4"/>
      <c r="AS912" s="4"/>
      <c r="AU912" s="4"/>
      <c r="AV912" s="4"/>
      <c r="AW912" s="4"/>
      <c r="AX912" s="4"/>
      <c r="AY912" s="4"/>
      <c r="AZ912" s="4"/>
      <c r="BA912" s="4"/>
      <c r="BB912" s="4"/>
      <c r="BC912" s="4"/>
      <c r="BD912" s="4"/>
      <c r="BE912" s="4"/>
    </row>
    <row r="913" spans="2:57" x14ac:dyDescent="0.3">
      <c r="B913" s="6" t="s">
        <v>936</v>
      </c>
      <c r="C913" s="6">
        <v>25</v>
      </c>
      <c r="D913" s="6" t="s">
        <v>17</v>
      </c>
      <c r="E913" s="6" t="s">
        <v>10</v>
      </c>
      <c r="F913" s="6" t="s">
        <v>43</v>
      </c>
      <c r="G913" s="19">
        <v>1118</v>
      </c>
      <c r="H913" s="11">
        <v>1</v>
      </c>
      <c r="I913" s="6">
        <v>4</v>
      </c>
      <c r="J913" s="6" t="s">
        <v>9</v>
      </c>
      <c r="K913" s="5" t="s">
        <v>9</v>
      </c>
      <c r="L913" s="3" t="str">
        <f>IF(Table1[[#This Row],[Monthly Income]]&lt;3000,"Low",IF(Table1[[#This Row],[Monthly Income]]&lt;7000,"Medium","High"))</f>
        <v>Low</v>
      </c>
      <c r="AK913" s="6"/>
      <c r="AL913" s="6"/>
      <c r="AM913" s="6"/>
      <c r="AN913" s="6"/>
      <c r="AO913" s="6"/>
      <c r="AP913" s="6"/>
      <c r="AQ913" s="6"/>
      <c r="AR913" s="6"/>
      <c r="AS913" s="6"/>
      <c r="AU913" s="6"/>
      <c r="AV913" s="6"/>
      <c r="AW913" s="6"/>
      <c r="AX913" s="6"/>
      <c r="AY913" s="6"/>
      <c r="AZ913" s="6"/>
      <c r="BA913" s="6"/>
      <c r="BB913" s="6"/>
      <c r="BC913" s="6"/>
      <c r="BD913" s="6"/>
      <c r="BE913" s="6"/>
    </row>
    <row r="914" spans="2:57" x14ac:dyDescent="0.3">
      <c r="B914" s="4" t="s">
        <v>937</v>
      </c>
      <c r="C914" s="4">
        <v>26</v>
      </c>
      <c r="D914" s="4" t="s">
        <v>17</v>
      </c>
      <c r="E914" s="4" t="s">
        <v>15</v>
      </c>
      <c r="F914" s="4" t="s">
        <v>18</v>
      </c>
      <c r="G914" s="18">
        <v>2875</v>
      </c>
      <c r="H914" s="10">
        <v>8</v>
      </c>
      <c r="I914" s="4">
        <v>4</v>
      </c>
      <c r="J914" s="4" t="s">
        <v>9</v>
      </c>
      <c r="K914" s="3" t="s">
        <v>14</v>
      </c>
      <c r="L914" s="3" t="str">
        <f>IF(Table1[[#This Row],[Monthly Income]]&lt;3000,"Low",IF(Table1[[#This Row],[Monthly Income]]&lt;7000,"Medium","High"))</f>
        <v>Low</v>
      </c>
      <c r="AK914" s="4"/>
      <c r="AL914" s="4"/>
      <c r="AM914" s="4"/>
      <c r="AN914" s="4"/>
      <c r="AO914" s="4"/>
      <c r="AP914" s="4"/>
      <c r="AQ914" s="4"/>
      <c r="AR914" s="4"/>
      <c r="AS914" s="4"/>
      <c r="AU914" s="4"/>
      <c r="AV914" s="4"/>
      <c r="AW914" s="4"/>
      <c r="AX914" s="4"/>
      <c r="AY914" s="4"/>
      <c r="AZ914" s="4"/>
      <c r="BA914" s="4"/>
      <c r="BB914" s="4"/>
      <c r="BC914" s="4"/>
      <c r="BD914" s="4"/>
      <c r="BE914" s="4"/>
    </row>
    <row r="915" spans="2:57" x14ac:dyDescent="0.3">
      <c r="B915" s="6" t="s">
        <v>938</v>
      </c>
      <c r="C915" s="6">
        <v>45</v>
      </c>
      <c r="D915" s="6" t="s">
        <v>12</v>
      </c>
      <c r="E915" s="6" t="s">
        <v>10</v>
      </c>
      <c r="F915" s="6" t="s">
        <v>39</v>
      </c>
      <c r="G915" s="19">
        <v>18824</v>
      </c>
      <c r="H915" s="11">
        <v>24</v>
      </c>
      <c r="I915" s="6">
        <v>2</v>
      </c>
      <c r="J915" s="6" t="s">
        <v>9</v>
      </c>
      <c r="K915" s="5" t="s">
        <v>9</v>
      </c>
      <c r="L915" s="3" t="str">
        <f>IF(Table1[[#This Row],[Monthly Income]]&lt;3000,"Low",IF(Table1[[#This Row],[Monthly Income]]&lt;7000,"Medium","High"))</f>
        <v>High</v>
      </c>
      <c r="AK915" s="6"/>
      <c r="AL915" s="6"/>
      <c r="AM915" s="6"/>
      <c r="AN915" s="6"/>
      <c r="AO915" s="6"/>
      <c r="AP915" s="6"/>
      <c r="AQ915" s="6"/>
      <c r="AR915" s="6"/>
      <c r="AS915" s="6"/>
      <c r="AU915" s="6"/>
      <c r="AV915" s="6"/>
      <c r="AW915" s="6"/>
      <c r="AX915" s="6"/>
      <c r="AY915" s="6"/>
      <c r="AZ915" s="6"/>
      <c r="BA915" s="6"/>
      <c r="BB915" s="6"/>
      <c r="BC915" s="6"/>
      <c r="BD915" s="6"/>
      <c r="BE915" s="6"/>
    </row>
    <row r="916" spans="2:57" x14ac:dyDescent="0.3">
      <c r="B916" s="4" t="s">
        <v>939</v>
      </c>
      <c r="C916" s="4">
        <v>55</v>
      </c>
      <c r="D916" s="4" t="s">
        <v>17</v>
      </c>
      <c r="E916" s="4" t="s">
        <v>15</v>
      </c>
      <c r="F916" s="4" t="s">
        <v>29</v>
      </c>
      <c r="G916" s="18">
        <v>13577</v>
      </c>
      <c r="H916" s="10">
        <v>33</v>
      </c>
      <c r="I916" s="4">
        <v>2</v>
      </c>
      <c r="J916" s="4" t="s">
        <v>9</v>
      </c>
      <c r="K916" s="3" t="s">
        <v>14</v>
      </c>
      <c r="L916" s="3" t="str">
        <f>IF(Table1[[#This Row],[Monthly Income]]&lt;3000,"Low",IF(Table1[[#This Row],[Monthly Income]]&lt;7000,"Medium","High"))</f>
        <v>High</v>
      </c>
      <c r="AK916" s="4"/>
      <c r="AL916" s="4"/>
      <c r="AM916" s="4"/>
      <c r="AN916" s="4"/>
      <c r="AO916" s="4"/>
      <c r="AP916" s="4"/>
      <c r="AQ916" s="4"/>
      <c r="AR916" s="4"/>
      <c r="AS916" s="4"/>
      <c r="AU916" s="4"/>
      <c r="AV916" s="4"/>
      <c r="AW916" s="4"/>
      <c r="AX916" s="4"/>
      <c r="AY916" s="4"/>
      <c r="AZ916" s="4"/>
      <c r="BA916" s="4"/>
      <c r="BB916" s="4"/>
      <c r="BC916" s="4"/>
      <c r="BD916" s="4"/>
      <c r="BE916" s="4"/>
    </row>
    <row r="917" spans="2:57" x14ac:dyDescent="0.3">
      <c r="B917" s="6" t="s">
        <v>940</v>
      </c>
      <c r="C917" s="6">
        <v>21</v>
      </c>
      <c r="D917" s="6" t="s">
        <v>12</v>
      </c>
      <c r="E917" s="6" t="s">
        <v>15</v>
      </c>
      <c r="F917" s="6" t="s">
        <v>20</v>
      </c>
      <c r="G917" s="19">
        <v>2625</v>
      </c>
      <c r="H917" s="11">
        <v>2</v>
      </c>
      <c r="I917" s="6">
        <v>3</v>
      </c>
      <c r="J917" s="6" t="s">
        <v>14</v>
      </c>
      <c r="K917" s="5" t="s">
        <v>9</v>
      </c>
      <c r="L917" s="3" t="str">
        <f>IF(Table1[[#This Row],[Monthly Income]]&lt;3000,"Low",IF(Table1[[#This Row],[Monthly Income]]&lt;7000,"Medium","High"))</f>
        <v>Low</v>
      </c>
      <c r="AK917" s="6"/>
      <c r="AL917" s="6"/>
      <c r="AM917" s="6"/>
      <c r="AN917" s="6"/>
      <c r="AO917" s="6"/>
      <c r="AP917" s="6"/>
      <c r="AQ917" s="6"/>
      <c r="AR917" s="6"/>
      <c r="AS917" s="6"/>
      <c r="AU917" s="6"/>
      <c r="AV917" s="6"/>
      <c r="AW917" s="6"/>
      <c r="AX917" s="6"/>
      <c r="AY917" s="6"/>
      <c r="AZ917" s="6"/>
      <c r="BA917" s="6"/>
      <c r="BB917" s="6"/>
      <c r="BC917" s="6"/>
      <c r="BD917" s="6"/>
      <c r="BE917" s="6"/>
    </row>
    <row r="918" spans="2:57" x14ac:dyDescent="0.3">
      <c r="B918" s="4" t="s">
        <v>941</v>
      </c>
      <c r="C918" s="4">
        <v>46</v>
      </c>
      <c r="D918" s="4" t="s">
        <v>12</v>
      </c>
      <c r="E918" s="4" t="s">
        <v>10</v>
      </c>
      <c r="F918" s="4" t="s">
        <v>39</v>
      </c>
      <c r="G918" s="18">
        <v>18789</v>
      </c>
      <c r="H918" s="10">
        <v>11</v>
      </c>
      <c r="I918" s="4">
        <v>2</v>
      </c>
      <c r="J918" s="4" t="s">
        <v>14</v>
      </c>
      <c r="K918" s="3" t="s">
        <v>14</v>
      </c>
      <c r="L918" s="3" t="str">
        <f>IF(Table1[[#This Row],[Monthly Income]]&lt;3000,"Low",IF(Table1[[#This Row],[Monthly Income]]&lt;7000,"Medium","High"))</f>
        <v>High</v>
      </c>
      <c r="AK918" s="4"/>
      <c r="AL918" s="4"/>
      <c r="AM918" s="4"/>
      <c r="AN918" s="4"/>
      <c r="AO918" s="4"/>
      <c r="AP918" s="4"/>
      <c r="AQ918" s="4"/>
      <c r="AR918" s="4"/>
      <c r="AS918" s="4"/>
      <c r="AU918" s="4"/>
      <c r="AV918" s="4"/>
      <c r="AW918" s="4"/>
      <c r="AX918" s="4"/>
      <c r="AY918" s="4"/>
      <c r="AZ918" s="4"/>
      <c r="BA918" s="4"/>
      <c r="BB918" s="4"/>
      <c r="BC918" s="4"/>
      <c r="BD918" s="4"/>
      <c r="BE918" s="4"/>
    </row>
    <row r="919" spans="2:57" x14ac:dyDescent="0.3">
      <c r="B919" s="6" t="s">
        <v>942</v>
      </c>
      <c r="C919" s="6">
        <v>34</v>
      </c>
      <c r="D919" s="6" t="s">
        <v>12</v>
      </c>
      <c r="E919" s="6" t="s">
        <v>10</v>
      </c>
      <c r="F919" s="6" t="s">
        <v>13</v>
      </c>
      <c r="G919" s="19">
        <v>4538</v>
      </c>
      <c r="H919" s="11">
        <v>3</v>
      </c>
      <c r="I919" s="6">
        <v>1</v>
      </c>
      <c r="J919" s="6" t="s">
        <v>9</v>
      </c>
      <c r="K919" s="5" t="s">
        <v>14</v>
      </c>
      <c r="L919" s="3" t="str">
        <f>IF(Table1[[#This Row],[Monthly Income]]&lt;3000,"Low",IF(Table1[[#This Row],[Monthly Income]]&lt;7000,"Medium","High"))</f>
        <v>Medium</v>
      </c>
      <c r="AK919" s="6"/>
      <c r="AL919" s="6"/>
      <c r="AM919" s="6"/>
      <c r="AN919" s="6"/>
      <c r="AO919" s="6"/>
      <c r="AP919" s="6"/>
      <c r="AQ919" s="6"/>
      <c r="AR919" s="6"/>
      <c r="AS919" s="6"/>
      <c r="AU919" s="6"/>
      <c r="AV919" s="6"/>
      <c r="AW919" s="6"/>
      <c r="AX919" s="6"/>
      <c r="AY919" s="6"/>
      <c r="AZ919" s="6"/>
      <c r="BA919" s="6"/>
      <c r="BB919" s="6"/>
      <c r="BC919" s="6"/>
      <c r="BD919" s="6"/>
      <c r="BE919" s="6"/>
    </row>
    <row r="920" spans="2:57" x14ac:dyDescent="0.3">
      <c r="B920" s="4" t="s">
        <v>943</v>
      </c>
      <c r="C920" s="4">
        <v>51</v>
      </c>
      <c r="D920" s="4" t="s">
        <v>17</v>
      </c>
      <c r="E920" s="4" t="s">
        <v>10</v>
      </c>
      <c r="F920" s="4" t="s">
        <v>39</v>
      </c>
      <c r="G920" s="18">
        <v>19847</v>
      </c>
      <c r="H920" s="10">
        <v>29</v>
      </c>
      <c r="I920" s="4">
        <v>2</v>
      </c>
      <c r="J920" s="4" t="s">
        <v>9</v>
      </c>
      <c r="K920" s="3" t="s">
        <v>14</v>
      </c>
      <c r="L920" s="3" t="str">
        <f>IF(Table1[[#This Row],[Monthly Income]]&lt;3000,"Low",IF(Table1[[#This Row],[Monthly Income]]&lt;7000,"Medium","High"))</f>
        <v>High</v>
      </c>
      <c r="AK920" s="4"/>
      <c r="AL920" s="4"/>
      <c r="AM920" s="4"/>
      <c r="AN920" s="4"/>
      <c r="AO920" s="4"/>
      <c r="AP920" s="4"/>
      <c r="AQ920" s="4"/>
      <c r="AR920" s="4"/>
      <c r="AS920" s="4"/>
      <c r="AU920" s="4"/>
      <c r="AV920" s="4"/>
      <c r="AW920" s="4"/>
      <c r="AX920" s="4"/>
      <c r="AY920" s="4"/>
      <c r="AZ920" s="4"/>
      <c r="BA920" s="4"/>
      <c r="BB920" s="4"/>
      <c r="BC920" s="4"/>
      <c r="BD920" s="4"/>
      <c r="BE920" s="4"/>
    </row>
    <row r="921" spans="2:57" x14ac:dyDescent="0.3">
      <c r="B921" s="6" t="s">
        <v>944</v>
      </c>
      <c r="C921" s="6">
        <v>59</v>
      </c>
      <c r="D921" s="6" t="s">
        <v>17</v>
      </c>
      <c r="E921" s="6" t="s">
        <v>15</v>
      </c>
      <c r="F921" s="6" t="s">
        <v>27</v>
      </c>
      <c r="G921" s="19">
        <v>10512</v>
      </c>
      <c r="H921" s="11">
        <v>9</v>
      </c>
      <c r="I921" s="6">
        <v>4</v>
      </c>
      <c r="J921" s="6" t="s">
        <v>14</v>
      </c>
      <c r="K921" s="5" t="s">
        <v>14</v>
      </c>
      <c r="L921" s="3" t="str">
        <f>IF(Table1[[#This Row],[Monthly Income]]&lt;3000,"Low",IF(Table1[[#This Row],[Monthly Income]]&lt;7000,"Medium","High"))</f>
        <v>High</v>
      </c>
      <c r="AK921" s="6"/>
      <c r="AL921" s="6"/>
      <c r="AM921" s="6"/>
      <c r="AN921" s="6"/>
      <c r="AO921" s="6"/>
      <c r="AP921" s="6"/>
      <c r="AQ921" s="6"/>
      <c r="AR921" s="6"/>
      <c r="AS921" s="6"/>
      <c r="AU921" s="6"/>
      <c r="AV921" s="6"/>
      <c r="AW921" s="6"/>
      <c r="AX921" s="6"/>
      <c r="AY921" s="6"/>
      <c r="AZ921" s="6"/>
      <c r="BA921" s="6"/>
      <c r="BB921" s="6"/>
      <c r="BC921" s="6"/>
      <c r="BD921" s="6"/>
      <c r="BE921" s="6"/>
    </row>
    <row r="922" spans="2:57" x14ac:dyDescent="0.3">
      <c r="B922" s="4" t="s">
        <v>945</v>
      </c>
      <c r="C922" s="4">
        <v>34</v>
      </c>
      <c r="D922" s="4" t="s">
        <v>12</v>
      </c>
      <c r="E922" s="4" t="s">
        <v>15</v>
      </c>
      <c r="F922" s="4" t="s">
        <v>20</v>
      </c>
      <c r="G922" s="18">
        <v>4444</v>
      </c>
      <c r="H922" s="10">
        <v>11</v>
      </c>
      <c r="I922" s="4">
        <v>2</v>
      </c>
      <c r="J922" s="4" t="s">
        <v>14</v>
      </c>
      <c r="K922" s="3" t="s">
        <v>14</v>
      </c>
      <c r="L922" s="3" t="str">
        <f>IF(Table1[[#This Row],[Monthly Income]]&lt;3000,"Low",IF(Table1[[#This Row],[Monthly Income]]&lt;7000,"Medium","High"))</f>
        <v>Medium</v>
      </c>
      <c r="AK922" s="4"/>
      <c r="AL922" s="4"/>
      <c r="AM922" s="4"/>
      <c r="AN922" s="4"/>
      <c r="AO922" s="4"/>
      <c r="AP922" s="4"/>
      <c r="AQ922" s="4"/>
      <c r="AR922" s="4"/>
      <c r="AS922" s="4"/>
      <c r="AU922" s="4"/>
      <c r="AV922" s="4"/>
      <c r="AW922" s="4"/>
      <c r="AX922" s="4"/>
      <c r="AY922" s="4"/>
      <c r="AZ922" s="4"/>
      <c r="BA922" s="4"/>
      <c r="BB922" s="4"/>
      <c r="BC922" s="4"/>
      <c r="BD922" s="4"/>
      <c r="BE922" s="4"/>
    </row>
    <row r="923" spans="2:57" x14ac:dyDescent="0.3">
      <c r="B923" s="6" t="s">
        <v>946</v>
      </c>
      <c r="C923" s="6">
        <v>28</v>
      </c>
      <c r="D923" s="6" t="s">
        <v>17</v>
      </c>
      <c r="E923" s="6" t="s">
        <v>15</v>
      </c>
      <c r="F923" s="6" t="s">
        <v>20</v>
      </c>
      <c r="G923" s="19">
        <v>2154</v>
      </c>
      <c r="H923" s="11">
        <v>4</v>
      </c>
      <c r="I923" s="6">
        <v>3</v>
      </c>
      <c r="J923" s="6" t="s">
        <v>9</v>
      </c>
      <c r="K923" s="5" t="s">
        <v>14</v>
      </c>
      <c r="L923" s="3" t="str">
        <f>IF(Table1[[#This Row],[Monthly Income]]&lt;3000,"Low",IF(Table1[[#This Row],[Monthly Income]]&lt;7000,"Medium","High"))</f>
        <v>Low</v>
      </c>
      <c r="AK923" s="6"/>
      <c r="AL923" s="6"/>
      <c r="AM923" s="6"/>
      <c r="AN923" s="6"/>
      <c r="AO923" s="6"/>
      <c r="AP923" s="6"/>
      <c r="AQ923" s="6"/>
      <c r="AR923" s="6"/>
      <c r="AS923" s="6"/>
      <c r="AU923" s="6"/>
      <c r="AV923" s="6"/>
      <c r="AW923" s="6"/>
      <c r="AX923" s="6"/>
      <c r="AY923" s="6"/>
      <c r="AZ923" s="6"/>
      <c r="BA923" s="6"/>
      <c r="BB923" s="6"/>
      <c r="BC923" s="6"/>
      <c r="BD923" s="6"/>
      <c r="BE923" s="6"/>
    </row>
    <row r="924" spans="2:57" x14ac:dyDescent="0.3">
      <c r="B924" s="4" t="s">
        <v>947</v>
      </c>
      <c r="C924" s="4">
        <v>44</v>
      </c>
      <c r="D924" s="4" t="s">
        <v>17</v>
      </c>
      <c r="E924" s="4" t="s">
        <v>15</v>
      </c>
      <c r="F924" s="4" t="s">
        <v>39</v>
      </c>
      <c r="G924" s="18">
        <v>19190</v>
      </c>
      <c r="H924" s="10">
        <v>25</v>
      </c>
      <c r="I924" s="4">
        <v>1</v>
      </c>
      <c r="J924" s="4" t="s">
        <v>14</v>
      </c>
      <c r="K924" s="3" t="s">
        <v>14</v>
      </c>
      <c r="L924" s="3" t="str">
        <f>IF(Table1[[#This Row],[Monthly Income]]&lt;3000,"Low",IF(Table1[[#This Row],[Monthly Income]]&lt;7000,"Medium","High"))</f>
        <v>High</v>
      </c>
      <c r="AK924" s="4"/>
      <c r="AL924" s="4"/>
      <c r="AM924" s="4"/>
      <c r="AN924" s="4"/>
      <c r="AO924" s="4"/>
      <c r="AP924" s="4"/>
      <c r="AQ924" s="4"/>
      <c r="AR924" s="4"/>
      <c r="AS924" s="4"/>
      <c r="AU924" s="4"/>
      <c r="AV924" s="4"/>
      <c r="AW924" s="4"/>
      <c r="AX924" s="4"/>
      <c r="AY924" s="4"/>
      <c r="AZ924" s="4"/>
      <c r="BA924" s="4"/>
      <c r="BB924" s="4"/>
      <c r="BC924" s="4"/>
      <c r="BD924" s="4"/>
      <c r="BE924" s="4"/>
    </row>
    <row r="925" spans="2:57" x14ac:dyDescent="0.3">
      <c r="B925" s="6" t="s">
        <v>948</v>
      </c>
      <c r="C925" s="6">
        <v>34</v>
      </c>
      <c r="D925" s="6" t="s">
        <v>17</v>
      </c>
      <c r="E925" s="6" t="s">
        <v>102</v>
      </c>
      <c r="F925" s="6" t="s">
        <v>104</v>
      </c>
      <c r="G925" s="19">
        <v>4490</v>
      </c>
      <c r="H925" s="11">
        <v>10</v>
      </c>
      <c r="I925" s="6">
        <v>2</v>
      </c>
      <c r="J925" s="6" t="s">
        <v>14</v>
      </c>
      <c r="K925" s="5" t="s">
        <v>14</v>
      </c>
      <c r="L925" s="3" t="str">
        <f>IF(Table1[[#This Row],[Monthly Income]]&lt;3000,"Low",IF(Table1[[#This Row],[Monthly Income]]&lt;7000,"Medium","High"))</f>
        <v>Medium</v>
      </c>
      <c r="AK925" s="6"/>
      <c r="AL925" s="6"/>
      <c r="AM925" s="6"/>
      <c r="AN925" s="6"/>
      <c r="AO925" s="6"/>
      <c r="AP925" s="6"/>
      <c r="AQ925" s="6"/>
      <c r="AR925" s="6"/>
      <c r="AS925" s="6"/>
      <c r="AU925" s="6"/>
      <c r="AV925" s="6"/>
      <c r="AW925" s="6"/>
      <c r="AX925" s="6"/>
      <c r="AY925" s="6"/>
      <c r="AZ925" s="6"/>
      <c r="BA925" s="6"/>
      <c r="BB925" s="6"/>
      <c r="BC925" s="6"/>
      <c r="BD925" s="6"/>
      <c r="BE925" s="6"/>
    </row>
    <row r="926" spans="2:57" x14ac:dyDescent="0.3">
      <c r="B926" s="4" t="s">
        <v>949</v>
      </c>
      <c r="C926" s="4">
        <v>35</v>
      </c>
      <c r="D926" s="4" t="s">
        <v>17</v>
      </c>
      <c r="E926" s="4" t="s">
        <v>15</v>
      </c>
      <c r="F926" s="4" t="s">
        <v>18</v>
      </c>
      <c r="G926" s="18">
        <v>3506</v>
      </c>
      <c r="H926" s="10">
        <v>3</v>
      </c>
      <c r="I926" s="4">
        <v>3</v>
      </c>
      <c r="J926" s="4" t="s">
        <v>9</v>
      </c>
      <c r="K926" s="3" t="s">
        <v>14</v>
      </c>
      <c r="L926" s="3" t="str">
        <f>IF(Table1[[#This Row],[Monthly Income]]&lt;3000,"Low",IF(Table1[[#This Row],[Monthly Income]]&lt;7000,"Medium","High"))</f>
        <v>Medium</v>
      </c>
      <c r="AK926" s="4"/>
      <c r="AL926" s="4"/>
      <c r="AM926" s="4"/>
      <c r="AN926" s="4"/>
      <c r="AO926" s="4"/>
      <c r="AP926" s="4"/>
      <c r="AQ926" s="4"/>
      <c r="AR926" s="4"/>
      <c r="AS926" s="4"/>
      <c r="AU926" s="4"/>
      <c r="AV926" s="4"/>
      <c r="AW926" s="4"/>
      <c r="AX926" s="4"/>
      <c r="AY926" s="4"/>
      <c r="AZ926" s="4"/>
      <c r="BA926" s="4"/>
      <c r="BB926" s="4"/>
      <c r="BC926" s="4"/>
      <c r="BD926" s="4"/>
      <c r="BE926" s="4"/>
    </row>
    <row r="927" spans="2:57" x14ac:dyDescent="0.3">
      <c r="B927" s="6" t="s">
        <v>950</v>
      </c>
      <c r="C927" s="6">
        <v>42</v>
      </c>
      <c r="D927" s="6" t="s">
        <v>12</v>
      </c>
      <c r="E927" s="6" t="s">
        <v>15</v>
      </c>
      <c r="F927" s="6" t="s">
        <v>18</v>
      </c>
      <c r="G927" s="19">
        <v>2372</v>
      </c>
      <c r="H927" s="11">
        <v>1</v>
      </c>
      <c r="I927" s="6">
        <v>2</v>
      </c>
      <c r="J927" s="6" t="s">
        <v>9</v>
      </c>
      <c r="K927" s="5" t="s">
        <v>14</v>
      </c>
      <c r="L927" s="3" t="str">
        <f>IF(Table1[[#This Row],[Monthly Income]]&lt;3000,"Low",IF(Table1[[#This Row],[Monthly Income]]&lt;7000,"Medium","High"))</f>
        <v>Low</v>
      </c>
      <c r="AK927" s="6"/>
      <c r="AL927" s="6"/>
      <c r="AM927" s="6"/>
      <c r="AN927" s="6"/>
      <c r="AO927" s="6"/>
      <c r="AP927" s="6"/>
      <c r="AQ927" s="6"/>
      <c r="AR927" s="6"/>
      <c r="AS927" s="6"/>
      <c r="AU927" s="6"/>
      <c r="AV927" s="6"/>
      <c r="AW927" s="6"/>
      <c r="AX927" s="6"/>
      <c r="AY927" s="6"/>
      <c r="AZ927" s="6"/>
      <c r="BA927" s="6"/>
      <c r="BB927" s="6"/>
      <c r="BC927" s="6"/>
      <c r="BD927" s="6"/>
      <c r="BE927" s="6"/>
    </row>
    <row r="928" spans="2:57" x14ac:dyDescent="0.3">
      <c r="B928" s="4" t="s">
        <v>951</v>
      </c>
      <c r="C928" s="4">
        <v>43</v>
      </c>
      <c r="D928" s="4" t="s">
        <v>12</v>
      </c>
      <c r="E928" s="4" t="s">
        <v>10</v>
      </c>
      <c r="F928" s="4" t="s">
        <v>13</v>
      </c>
      <c r="G928" s="18">
        <v>10231</v>
      </c>
      <c r="H928" s="10">
        <v>21</v>
      </c>
      <c r="I928" s="4">
        <v>4</v>
      </c>
      <c r="J928" s="4" t="s">
        <v>14</v>
      </c>
      <c r="K928" s="3" t="s">
        <v>14</v>
      </c>
      <c r="L928" s="3" t="str">
        <f>IF(Table1[[#This Row],[Monthly Income]]&lt;3000,"Low",IF(Table1[[#This Row],[Monthly Income]]&lt;7000,"Medium","High"))</f>
        <v>High</v>
      </c>
      <c r="AK928" s="4"/>
      <c r="AL928" s="4"/>
      <c r="AM928" s="4"/>
      <c r="AN928" s="4"/>
      <c r="AO928" s="4"/>
      <c r="AP928" s="4"/>
      <c r="AQ928" s="4"/>
      <c r="AR928" s="4"/>
      <c r="AS928" s="4"/>
      <c r="AU928" s="4"/>
      <c r="AV928" s="4"/>
      <c r="AW928" s="4"/>
      <c r="AX928" s="4"/>
      <c r="AY928" s="4"/>
      <c r="AZ928" s="4"/>
      <c r="BA928" s="4"/>
      <c r="BB928" s="4"/>
      <c r="BC928" s="4"/>
      <c r="BD928" s="4"/>
      <c r="BE928" s="4"/>
    </row>
    <row r="929" spans="2:57" x14ac:dyDescent="0.3">
      <c r="B929" s="6" t="s">
        <v>952</v>
      </c>
      <c r="C929" s="6">
        <v>36</v>
      </c>
      <c r="D929" s="6" t="s">
        <v>12</v>
      </c>
      <c r="E929" s="6" t="s">
        <v>15</v>
      </c>
      <c r="F929" s="6" t="s">
        <v>27</v>
      </c>
      <c r="G929" s="19">
        <v>5410</v>
      </c>
      <c r="H929" s="11">
        <v>16</v>
      </c>
      <c r="I929" s="6">
        <v>2</v>
      </c>
      <c r="J929" s="6" t="s">
        <v>9</v>
      </c>
      <c r="K929" s="5" t="s">
        <v>14</v>
      </c>
      <c r="L929" s="3" t="str">
        <f>IF(Table1[[#This Row],[Monthly Income]]&lt;3000,"Low",IF(Table1[[#This Row],[Monthly Income]]&lt;7000,"Medium","High"))</f>
        <v>Medium</v>
      </c>
      <c r="AK929" s="6"/>
      <c r="AL929" s="6"/>
      <c r="AM929" s="6"/>
      <c r="AN929" s="6"/>
      <c r="AO929" s="6"/>
      <c r="AP929" s="6"/>
      <c r="AQ929" s="6"/>
      <c r="AR929" s="6"/>
      <c r="AS929" s="6"/>
      <c r="AU929" s="6"/>
      <c r="AV929" s="6"/>
      <c r="AW929" s="6"/>
      <c r="AX929" s="6"/>
      <c r="AY929" s="6"/>
      <c r="AZ929" s="6"/>
      <c r="BA929" s="6"/>
      <c r="BB929" s="6"/>
      <c r="BC929" s="6"/>
      <c r="BD929" s="6"/>
      <c r="BE929" s="6"/>
    </row>
    <row r="930" spans="2:57" x14ac:dyDescent="0.3">
      <c r="B930" s="4" t="s">
        <v>953</v>
      </c>
      <c r="C930" s="4">
        <v>44</v>
      </c>
      <c r="D930" s="4" t="s">
        <v>12</v>
      </c>
      <c r="E930" s="4" t="s">
        <v>15</v>
      </c>
      <c r="F930" s="4" t="s">
        <v>29</v>
      </c>
      <c r="G930" s="18">
        <v>7978</v>
      </c>
      <c r="H930" s="10">
        <v>10</v>
      </c>
      <c r="I930" s="4">
        <v>4</v>
      </c>
      <c r="J930" s="4" t="s">
        <v>14</v>
      </c>
      <c r="K930" s="3" t="s">
        <v>9</v>
      </c>
      <c r="L930" s="3" t="str">
        <f>IF(Table1[[#This Row],[Monthly Income]]&lt;3000,"Low",IF(Table1[[#This Row],[Monthly Income]]&lt;7000,"Medium","High"))</f>
        <v>High</v>
      </c>
      <c r="AK930" s="4"/>
      <c r="AL930" s="4"/>
      <c r="AM930" s="4"/>
      <c r="AN930" s="4"/>
      <c r="AO930" s="4"/>
      <c r="AP930" s="4"/>
      <c r="AQ930" s="4"/>
      <c r="AR930" s="4"/>
      <c r="AS930" s="4"/>
      <c r="AU930" s="4"/>
      <c r="AV930" s="4"/>
      <c r="AW930" s="4"/>
      <c r="AX930" s="4"/>
      <c r="AY930" s="4"/>
      <c r="AZ930" s="4"/>
      <c r="BA930" s="4"/>
      <c r="BB930" s="4"/>
      <c r="BC930" s="4"/>
      <c r="BD930" s="4"/>
      <c r="BE930" s="4"/>
    </row>
    <row r="931" spans="2:57" x14ac:dyDescent="0.3">
      <c r="B931" s="6" t="s">
        <v>954</v>
      </c>
      <c r="C931" s="6">
        <v>28</v>
      </c>
      <c r="D931" s="6" t="s">
        <v>17</v>
      </c>
      <c r="E931" s="6" t="s">
        <v>15</v>
      </c>
      <c r="F931" s="6" t="s">
        <v>20</v>
      </c>
      <c r="G931" s="19">
        <v>3867</v>
      </c>
      <c r="H931" s="11">
        <v>2</v>
      </c>
      <c r="I931" s="6">
        <v>4</v>
      </c>
      <c r="J931" s="6" t="s">
        <v>9</v>
      </c>
      <c r="K931" s="5" t="s">
        <v>14</v>
      </c>
      <c r="L931" s="3" t="str">
        <f>IF(Table1[[#This Row],[Monthly Income]]&lt;3000,"Low",IF(Table1[[#This Row],[Monthly Income]]&lt;7000,"Medium","High"))</f>
        <v>Medium</v>
      </c>
      <c r="AK931" s="6"/>
      <c r="AL931" s="6"/>
      <c r="AM931" s="6"/>
      <c r="AN931" s="6"/>
      <c r="AO931" s="6"/>
      <c r="AP931" s="6"/>
      <c r="AQ931" s="6"/>
      <c r="AR931" s="6"/>
      <c r="AS931" s="6"/>
      <c r="AU931" s="6"/>
      <c r="AV931" s="6"/>
      <c r="AW931" s="6"/>
      <c r="AX931" s="6"/>
      <c r="AY931" s="6"/>
      <c r="AZ931" s="6"/>
      <c r="BA931" s="6"/>
      <c r="BB931" s="6"/>
      <c r="BC931" s="6"/>
      <c r="BD931" s="6"/>
      <c r="BE931" s="6"/>
    </row>
    <row r="932" spans="2:57" x14ac:dyDescent="0.3">
      <c r="B932" s="4" t="s">
        <v>955</v>
      </c>
      <c r="C932" s="4">
        <v>51</v>
      </c>
      <c r="D932" s="4" t="s">
        <v>12</v>
      </c>
      <c r="E932" s="4" t="s">
        <v>15</v>
      </c>
      <c r="F932" s="4" t="s">
        <v>20</v>
      </c>
      <c r="G932" s="18">
        <v>2838</v>
      </c>
      <c r="H932" s="10">
        <v>7</v>
      </c>
      <c r="I932" s="4">
        <v>3</v>
      </c>
      <c r="J932" s="4" t="s">
        <v>14</v>
      </c>
      <c r="K932" s="3" t="s">
        <v>14</v>
      </c>
      <c r="L932" s="3" t="str">
        <f>IF(Table1[[#This Row],[Monthly Income]]&lt;3000,"Low",IF(Table1[[#This Row],[Monthly Income]]&lt;7000,"Medium","High"))</f>
        <v>Low</v>
      </c>
      <c r="AK932" s="4"/>
      <c r="AL932" s="4"/>
      <c r="AM932" s="4"/>
      <c r="AN932" s="4"/>
      <c r="AO932" s="4"/>
      <c r="AP932" s="4"/>
      <c r="AQ932" s="4"/>
      <c r="AR932" s="4"/>
      <c r="AS932" s="4"/>
      <c r="AU932" s="4"/>
      <c r="AV932" s="4"/>
      <c r="AW932" s="4"/>
      <c r="AX932" s="4"/>
      <c r="AY932" s="4"/>
      <c r="AZ932" s="4"/>
      <c r="BA932" s="4"/>
      <c r="BB932" s="4"/>
      <c r="BC932" s="4"/>
      <c r="BD932" s="4"/>
      <c r="BE932" s="4"/>
    </row>
    <row r="933" spans="2:57" x14ac:dyDescent="0.3">
      <c r="B933" s="6" t="s">
        <v>956</v>
      </c>
      <c r="C933" s="6">
        <v>30</v>
      </c>
      <c r="D933" s="6" t="s">
        <v>12</v>
      </c>
      <c r="E933" s="6" t="s">
        <v>15</v>
      </c>
      <c r="F933" s="6" t="s">
        <v>27</v>
      </c>
      <c r="G933" s="19">
        <v>4695</v>
      </c>
      <c r="H933" s="11">
        <v>8</v>
      </c>
      <c r="I933" s="6">
        <v>3</v>
      </c>
      <c r="J933" s="6" t="s">
        <v>9</v>
      </c>
      <c r="K933" s="5" t="s">
        <v>14</v>
      </c>
      <c r="L933" s="3" t="str">
        <f>IF(Table1[[#This Row],[Monthly Income]]&lt;3000,"Low",IF(Table1[[#This Row],[Monthly Income]]&lt;7000,"Medium","High"))</f>
        <v>Medium</v>
      </c>
      <c r="AK933" s="6"/>
      <c r="AL933" s="6"/>
      <c r="AM933" s="6"/>
      <c r="AN933" s="6"/>
      <c r="AO933" s="6"/>
      <c r="AP933" s="6"/>
      <c r="AQ933" s="6"/>
      <c r="AR933" s="6"/>
      <c r="AS933" s="6"/>
      <c r="AU933" s="6"/>
      <c r="AV933" s="6"/>
      <c r="AW933" s="6"/>
      <c r="AX933" s="6"/>
      <c r="AY933" s="6"/>
      <c r="AZ933" s="6"/>
      <c r="BA933" s="6"/>
      <c r="BB933" s="6"/>
      <c r="BC933" s="6"/>
      <c r="BD933" s="6"/>
      <c r="BE933" s="6"/>
    </row>
    <row r="934" spans="2:57" x14ac:dyDescent="0.3">
      <c r="B934" s="4" t="s">
        <v>957</v>
      </c>
      <c r="C934" s="4">
        <v>29</v>
      </c>
      <c r="D934" s="4" t="s">
        <v>12</v>
      </c>
      <c r="E934" s="4" t="s">
        <v>15</v>
      </c>
      <c r="F934" s="4" t="s">
        <v>20</v>
      </c>
      <c r="G934" s="18">
        <v>3339</v>
      </c>
      <c r="H934" s="10">
        <v>7</v>
      </c>
      <c r="I934" s="4">
        <v>3</v>
      </c>
      <c r="J934" s="4" t="s">
        <v>9</v>
      </c>
      <c r="K934" s="3" t="s">
        <v>9</v>
      </c>
      <c r="L934" s="3" t="str">
        <f>IF(Table1[[#This Row],[Monthly Income]]&lt;3000,"Low",IF(Table1[[#This Row],[Monthly Income]]&lt;7000,"Medium","High"))</f>
        <v>Medium</v>
      </c>
      <c r="AK934" s="4"/>
      <c r="AL934" s="4"/>
      <c r="AM934" s="4"/>
      <c r="AN934" s="4"/>
      <c r="AO934" s="4"/>
      <c r="AP934" s="4"/>
      <c r="AQ934" s="4"/>
      <c r="AR934" s="4"/>
      <c r="AS934" s="4"/>
      <c r="AU934" s="4"/>
      <c r="AV934" s="4"/>
      <c r="AW934" s="4"/>
      <c r="AX934" s="4"/>
      <c r="AY934" s="4"/>
      <c r="AZ934" s="4"/>
      <c r="BA934" s="4"/>
      <c r="BB934" s="4"/>
      <c r="BC934" s="4"/>
      <c r="BD934" s="4"/>
      <c r="BE934" s="4"/>
    </row>
    <row r="935" spans="2:57" x14ac:dyDescent="0.3">
      <c r="B935" s="6" t="s">
        <v>958</v>
      </c>
      <c r="C935" s="6">
        <v>28</v>
      </c>
      <c r="D935" s="6" t="s">
        <v>17</v>
      </c>
      <c r="E935" s="6" t="s">
        <v>15</v>
      </c>
      <c r="F935" s="6" t="s">
        <v>18</v>
      </c>
      <c r="G935" s="19">
        <v>2080</v>
      </c>
      <c r="H935" s="11">
        <v>3</v>
      </c>
      <c r="I935" s="6">
        <v>1</v>
      </c>
      <c r="J935" s="6" t="s">
        <v>14</v>
      </c>
      <c r="K935" s="5" t="s">
        <v>14</v>
      </c>
      <c r="L935" s="3" t="str">
        <f>IF(Table1[[#This Row],[Monthly Income]]&lt;3000,"Low",IF(Table1[[#This Row],[Monthly Income]]&lt;7000,"Medium","High"))</f>
        <v>Low</v>
      </c>
      <c r="AK935" s="6"/>
      <c r="AL935" s="6"/>
      <c r="AM935" s="6"/>
      <c r="AN935" s="6"/>
      <c r="AO935" s="6"/>
      <c r="AP935" s="6"/>
      <c r="AQ935" s="6"/>
      <c r="AR935" s="6"/>
      <c r="AS935" s="6"/>
      <c r="AU935" s="6"/>
      <c r="AV935" s="6"/>
      <c r="AW935" s="6"/>
      <c r="AX935" s="6"/>
      <c r="AY935" s="6"/>
      <c r="AZ935" s="6"/>
      <c r="BA935" s="6"/>
      <c r="BB935" s="6"/>
      <c r="BC935" s="6"/>
      <c r="BD935" s="6"/>
      <c r="BE935" s="6"/>
    </row>
    <row r="936" spans="2:57" x14ac:dyDescent="0.3">
      <c r="B936" s="4" t="s">
        <v>959</v>
      </c>
      <c r="C936" s="4">
        <v>25</v>
      </c>
      <c r="D936" s="4" t="s">
        <v>12</v>
      </c>
      <c r="E936" s="4" t="s">
        <v>15</v>
      </c>
      <c r="F936" s="4" t="s">
        <v>18</v>
      </c>
      <c r="G936" s="18">
        <v>2096</v>
      </c>
      <c r="H936" s="10">
        <v>2</v>
      </c>
      <c r="I936" s="4">
        <v>2</v>
      </c>
      <c r="J936" s="4" t="s">
        <v>14</v>
      </c>
      <c r="K936" s="3" t="s">
        <v>14</v>
      </c>
      <c r="L936" s="3" t="str">
        <f>IF(Table1[[#This Row],[Monthly Income]]&lt;3000,"Low",IF(Table1[[#This Row],[Monthly Income]]&lt;7000,"Medium","High"))</f>
        <v>Low</v>
      </c>
      <c r="AK936" s="4"/>
      <c r="AL936" s="4"/>
      <c r="AM936" s="4"/>
      <c r="AN936" s="4"/>
      <c r="AO936" s="4"/>
      <c r="AP936" s="4"/>
      <c r="AQ936" s="4"/>
      <c r="AR936" s="4"/>
      <c r="AS936" s="4"/>
      <c r="AU936" s="4"/>
      <c r="AV936" s="4"/>
      <c r="AW936" s="4"/>
      <c r="AX936" s="4"/>
      <c r="AY936" s="4"/>
      <c r="AZ936" s="4"/>
      <c r="BA936" s="4"/>
      <c r="BB936" s="4"/>
      <c r="BC936" s="4"/>
      <c r="BD936" s="4"/>
      <c r="BE936" s="4"/>
    </row>
    <row r="937" spans="2:57" x14ac:dyDescent="0.3">
      <c r="B937" s="6" t="s">
        <v>960</v>
      </c>
      <c r="C937" s="6">
        <v>32</v>
      </c>
      <c r="D937" s="6" t="s">
        <v>17</v>
      </c>
      <c r="E937" s="6" t="s">
        <v>10</v>
      </c>
      <c r="F937" s="6" t="s">
        <v>13</v>
      </c>
      <c r="G937" s="19">
        <v>6209</v>
      </c>
      <c r="H937" s="11">
        <v>10</v>
      </c>
      <c r="I937" s="6">
        <v>4</v>
      </c>
      <c r="J937" s="6" t="s">
        <v>14</v>
      </c>
      <c r="K937" s="5" t="s">
        <v>14</v>
      </c>
      <c r="L937" s="3" t="str">
        <f>IF(Table1[[#This Row],[Monthly Income]]&lt;3000,"Low",IF(Table1[[#This Row],[Monthly Income]]&lt;7000,"Medium","High"))</f>
        <v>Medium</v>
      </c>
      <c r="AK937" s="6"/>
      <c r="AL937" s="6"/>
      <c r="AM937" s="6"/>
      <c r="AN937" s="6"/>
      <c r="AO937" s="6"/>
      <c r="AP937" s="6"/>
      <c r="AQ937" s="6"/>
      <c r="AR937" s="6"/>
      <c r="AS937" s="6"/>
      <c r="AU937" s="6"/>
      <c r="AV937" s="6"/>
      <c r="AW937" s="6"/>
      <c r="AX937" s="6"/>
      <c r="AY937" s="6"/>
      <c r="AZ937" s="6"/>
      <c r="BA937" s="6"/>
      <c r="BB937" s="6"/>
      <c r="BC937" s="6"/>
      <c r="BD937" s="6"/>
      <c r="BE937" s="6"/>
    </row>
    <row r="938" spans="2:57" x14ac:dyDescent="0.3">
      <c r="B938" s="4" t="s">
        <v>961</v>
      </c>
      <c r="C938" s="4">
        <v>45</v>
      </c>
      <c r="D938" s="4" t="s">
        <v>12</v>
      </c>
      <c r="E938" s="4" t="s">
        <v>15</v>
      </c>
      <c r="F938" s="4" t="s">
        <v>39</v>
      </c>
      <c r="G938" s="18">
        <v>18061</v>
      </c>
      <c r="H938" s="10">
        <v>0</v>
      </c>
      <c r="I938" s="4">
        <v>2</v>
      </c>
      <c r="J938" s="4" t="s">
        <v>14</v>
      </c>
      <c r="K938" s="3" t="s">
        <v>14</v>
      </c>
      <c r="L938" s="3" t="str">
        <f>IF(Table1[[#This Row],[Monthly Income]]&lt;3000,"Low",IF(Table1[[#This Row],[Monthly Income]]&lt;7000,"Medium","High"))</f>
        <v>High</v>
      </c>
      <c r="AK938" s="4"/>
      <c r="AL938" s="4"/>
      <c r="AM938" s="4"/>
      <c r="AN938" s="4"/>
      <c r="AO938" s="4"/>
      <c r="AP938" s="4"/>
      <c r="AQ938" s="4"/>
      <c r="AR938" s="4"/>
      <c r="AS938" s="4"/>
      <c r="AU938" s="4"/>
      <c r="AV938" s="4"/>
      <c r="AW938" s="4"/>
      <c r="AX938" s="4"/>
      <c r="AY938" s="4"/>
      <c r="AZ938" s="4"/>
      <c r="BA938" s="4"/>
      <c r="BB938" s="4"/>
      <c r="BC938" s="4"/>
      <c r="BD938" s="4"/>
      <c r="BE938" s="4"/>
    </row>
    <row r="939" spans="2:57" x14ac:dyDescent="0.3">
      <c r="B939" s="6" t="s">
        <v>962</v>
      </c>
      <c r="C939" s="6">
        <v>39</v>
      </c>
      <c r="D939" s="6" t="s">
        <v>12</v>
      </c>
      <c r="E939" s="6" t="s">
        <v>15</v>
      </c>
      <c r="F939" s="6" t="s">
        <v>39</v>
      </c>
      <c r="G939" s="19">
        <v>17123</v>
      </c>
      <c r="H939" s="11">
        <v>19</v>
      </c>
      <c r="I939" s="6">
        <v>2</v>
      </c>
      <c r="J939" s="6" t="s">
        <v>9</v>
      </c>
      <c r="K939" s="5" t="s">
        <v>14</v>
      </c>
      <c r="L939" s="3" t="str">
        <f>IF(Table1[[#This Row],[Monthly Income]]&lt;3000,"Low",IF(Table1[[#This Row],[Monthly Income]]&lt;7000,"Medium","High"))</f>
        <v>High</v>
      </c>
      <c r="AK939" s="6"/>
      <c r="AL939" s="6"/>
      <c r="AM939" s="6"/>
      <c r="AN939" s="6"/>
      <c r="AO939" s="6"/>
      <c r="AP939" s="6"/>
      <c r="AQ939" s="6"/>
      <c r="AR939" s="6"/>
      <c r="AS939" s="6"/>
      <c r="AU939" s="6"/>
      <c r="AV939" s="6"/>
      <c r="AW939" s="6"/>
      <c r="AX939" s="6"/>
      <c r="AY939" s="6"/>
      <c r="AZ939" s="6"/>
      <c r="BA939" s="6"/>
      <c r="BB939" s="6"/>
      <c r="BC939" s="6"/>
      <c r="BD939" s="6"/>
      <c r="BE939" s="6"/>
    </row>
    <row r="940" spans="2:57" x14ac:dyDescent="0.3">
      <c r="B940" s="4" t="s">
        <v>963</v>
      </c>
      <c r="C940" s="4">
        <v>58</v>
      </c>
      <c r="D940" s="4" t="s">
        <v>17</v>
      </c>
      <c r="E940" s="4" t="s">
        <v>15</v>
      </c>
      <c r="F940" s="4" t="s">
        <v>18</v>
      </c>
      <c r="G940" s="18">
        <v>2372</v>
      </c>
      <c r="H940" s="10">
        <v>2</v>
      </c>
      <c r="I940" s="4">
        <v>3</v>
      </c>
      <c r="J940" s="4" t="s">
        <v>14</v>
      </c>
      <c r="K940" s="3" t="s">
        <v>14</v>
      </c>
      <c r="L940" s="3" t="str">
        <f>IF(Table1[[#This Row],[Monthly Income]]&lt;3000,"Low",IF(Table1[[#This Row],[Monthly Income]]&lt;7000,"Medium","High"))</f>
        <v>Low</v>
      </c>
      <c r="AK940" s="4"/>
      <c r="AL940" s="4"/>
      <c r="AM940" s="4"/>
      <c r="AN940" s="4"/>
      <c r="AO940" s="4"/>
      <c r="AP940" s="4"/>
      <c r="AQ940" s="4"/>
      <c r="AR940" s="4"/>
      <c r="AS940" s="4"/>
      <c r="AU940" s="4"/>
      <c r="AV940" s="4"/>
      <c r="AW940" s="4"/>
      <c r="AX940" s="4"/>
      <c r="AY940" s="4"/>
      <c r="AZ940" s="4"/>
      <c r="BA940" s="4"/>
      <c r="BB940" s="4"/>
      <c r="BC940" s="4"/>
      <c r="BD940" s="4"/>
      <c r="BE940" s="4"/>
    </row>
    <row r="941" spans="2:57" x14ac:dyDescent="0.3">
      <c r="B941" s="6" t="s">
        <v>964</v>
      </c>
      <c r="C941" s="6">
        <v>32</v>
      </c>
      <c r="D941" s="6" t="s">
        <v>17</v>
      </c>
      <c r="E941" s="6" t="s">
        <v>15</v>
      </c>
      <c r="F941" s="6" t="s">
        <v>20</v>
      </c>
      <c r="G941" s="19">
        <v>4883</v>
      </c>
      <c r="H941" s="11">
        <v>10</v>
      </c>
      <c r="I941" s="6">
        <v>3</v>
      </c>
      <c r="J941" s="6" t="s">
        <v>14</v>
      </c>
      <c r="K941" s="5" t="s">
        <v>9</v>
      </c>
      <c r="L941" s="3" t="str">
        <f>IF(Table1[[#This Row],[Monthly Income]]&lt;3000,"Low",IF(Table1[[#This Row],[Monthly Income]]&lt;7000,"Medium","High"))</f>
        <v>Medium</v>
      </c>
      <c r="AK941" s="6"/>
      <c r="AL941" s="6"/>
      <c r="AM941" s="6"/>
      <c r="AN941" s="6"/>
      <c r="AO941" s="6"/>
      <c r="AP941" s="6"/>
      <c r="AQ941" s="6"/>
      <c r="AR941" s="6"/>
      <c r="AS941" s="6"/>
      <c r="AU941" s="6"/>
      <c r="AV941" s="6"/>
      <c r="AW941" s="6"/>
      <c r="AX941" s="6"/>
      <c r="AY941" s="6"/>
      <c r="AZ941" s="6"/>
      <c r="BA941" s="6"/>
      <c r="BB941" s="6"/>
      <c r="BC941" s="6"/>
      <c r="BD941" s="6"/>
      <c r="BE941" s="6"/>
    </row>
    <row r="942" spans="2:57" x14ac:dyDescent="0.3">
      <c r="B942" s="4" t="s">
        <v>965</v>
      </c>
      <c r="C942" s="4">
        <v>39</v>
      </c>
      <c r="D942" s="4" t="s">
        <v>17</v>
      </c>
      <c r="E942" s="4" t="s">
        <v>15</v>
      </c>
      <c r="F942" s="4" t="s">
        <v>18</v>
      </c>
      <c r="G942" s="18">
        <v>3904</v>
      </c>
      <c r="H942" s="10">
        <v>5</v>
      </c>
      <c r="I942" s="4">
        <v>1</v>
      </c>
      <c r="J942" s="4" t="s">
        <v>14</v>
      </c>
      <c r="K942" s="3" t="s">
        <v>9</v>
      </c>
      <c r="L942" s="3" t="str">
        <f>IF(Table1[[#This Row],[Monthly Income]]&lt;3000,"Low",IF(Table1[[#This Row],[Monthly Income]]&lt;7000,"Medium","High"))</f>
        <v>Medium</v>
      </c>
      <c r="AK942" s="4"/>
      <c r="AL942" s="4"/>
      <c r="AM942" s="4"/>
      <c r="AN942" s="4"/>
      <c r="AO942" s="4"/>
      <c r="AP942" s="4"/>
      <c r="AQ942" s="4"/>
      <c r="AR942" s="4"/>
      <c r="AS942" s="4"/>
      <c r="AU942" s="4"/>
      <c r="AV942" s="4"/>
      <c r="AW942" s="4"/>
      <c r="AX942" s="4"/>
      <c r="AY942" s="4"/>
      <c r="AZ942" s="4"/>
      <c r="BA942" s="4"/>
      <c r="BB942" s="4"/>
      <c r="BC942" s="4"/>
      <c r="BD942" s="4"/>
      <c r="BE942" s="4"/>
    </row>
    <row r="943" spans="2:57" x14ac:dyDescent="0.3">
      <c r="B943" s="6" t="s">
        <v>966</v>
      </c>
      <c r="C943" s="6">
        <v>30</v>
      </c>
      <c r="D943" s="6" t="s">
        <v>12</v>
      </c>
      <c r="E943" s="6" t="s">
        <v>15</v>
      </c>
      <c r="F943" s="6" t="s">
        <v>20</v>
      </c>
      <c r="G943" s="19">
        <v>4627</v>
      </c>
      <c r="H943" s="11">
        <v>9</v>
      </c>
      <c r="I943" s="6">
        <v>4</v>
      </c>
      <c r="J943" s="6" t="s">
        <v>14</v>
      </c>
      <c r="K943" s="5" t="s">
        <v>14</v>
      </c>
      <c r="L943" s="3" t="str">
        <f>IF(Table1[[#This Row],[Monthly Income]]&lt;3000,"Low",IF(Table1[[#This Row],[Monthly Income]]&lt;7000,"Medium","High"))</f>
        <v>Medium</v>
      </c>
      <c r="AK943" s="6"/>
      <c r="AL943" s="6"/>
      <c r="AM943" s="6"/>
      <c r="AN943" s="6"/>
      <c r="AO943" s="6"/>
      <c r="AP943" s="6"/>
      <c r="AQ943" s="6"/>
      <c r="AR943" s="6"/>
      <c r="AS943" s="6"/>
      <c r="AU943" s="6"/>
      <c r="AV943" s="6"/>
      <c r="AW943" s="6"/>
      <c r="AX943" s="6"/>
      <c r="AY943" s="6"/>
      <c r="AZ943" s="6"/>
      <c r="BA943" s="6"/>
      <c r="BB943" s="6"/>
      <c r="BC943" s="6"/>
      <c r="BD943" s="6"/>
      <c r="BE943" s="6"/>
    </row>
    <row r="944" spans="2:57" x14ac:dyDescent="0.3">
      <c r="B944" s="4" t="s">
        <v>967</v>
      </c>
      <c r="C944" s="4">
        <v>36</v>
      </c>
      <c r="D944" s="4" t="s">
        <v>12</v>
      </c>
      <c r="E944" s="4" t="s">
        <v>15</v>
      </c>
      <c r="F944" s="4" t="s">
        <v>29</v>
      </c>
      <c r="G944" s="18">
        <v>7094</v>
      </c>
      <c r="H944" s="10">
        <v>7</v>
      </c>
      <c r="I944" s="4">
        <v>3</v>
      </c>
      <c r="J944" s="4" t="s">
        <v>14</v>
      </c>
      <c r="K944" s="3" t="s">
        <v>14</v>
      </c>
      <c r="L944" s="3" t="str">
        <f>IF(Table1[[#This Row],[Monthly Income]]&lt;3000,"Low",IF(Table1[[#This Row],[Monthly Income]]&lt;7000,"Medium","High"))</f>
        <v>High</v>
      </c>
      <c r="AK944" s="4"/>
      <c r="AL944" s="4"/>
      <c r="AM944" s="4"/>
      <c r="AN944" s="4"/>
      <c r="AO944" s="4"/>
      <c r="AP944" s="4"/>
      <c r="AQ944" s="4"/>
      <c r="AR944" s="4"/>
      <c r="AS944" s="4"/>
      <c r="AU944" s="4"/>
      <c r="AV944" s="4"/>
      <c r="AW944" s="4"/>
      <c r="AX944" s="4"/>
      <c r="AY944" s="4"/>
      <c r="AZ944" s="4"/>
      <c r="BA944" s="4"/>
      <c r="BB944" s="4"/>
      <c r="BC944" s="4"/>
      <c r="BD944" s="4"/>
      <c r="BE944" s="4"/>
    </row>
    <row r="945" spans="2:57" x14ac:dyDescent="0.3">
      <c r="B945" s="6" t="s">
        <v>968</v>
      </c>
      <c r="C945" s="6">
        <v>46</v>
      </c>
      <c r="D945" s="6" t="s">
        <v>12</v>
      </c>
      <c r="E945" s="6" t="s">
        <v>102</v>
      </c>
      <c r="F945" s="6" t="s">
        <v>104</v>
      </c>
      <c r="G945" s="19">
        <v>3423</v>
      </c>
      <c r="H945" s="11">
        <v>7</v>
      </c>
      <c r="I945" s="6">
        <v>1</v>
      </c>
      <c r="J945" s="6" t="s">
        <v>14</v>
      </c>
      <c r="K945" s="5" t="s">
        <v>14</v>
      </c>
      <c r="L945" s="3" t="str">
        <f>IF(Table1[[#This Row],[Monthly Income]]&lt;3000,"Low",IF(Table1[[#This Row],[Monthly Income]]&lt;7000,"Medium","High"))</f>
        <v>Medium</v>
      </c>
      <c r="AK945" s="6"/>
      <c r="AL945" s="6"/>
      <c r="AM945" s="6"/>
      <c r="AN945" s="6"/>
      <c r="AO945" s="6"/>
      <c r="AP945" s="6"/>
      <c r="AQ945" s="6"/>
      <c r="AR945" s="6"/>
      <c r="AS945" s="6"/>
      <c r="AU945" s="6"/>
      <c r="AV945" s="6"/>
      <c r="AW945" s="6"/>
      <c r="AX945" s="6"/>
      <c r="AY945" s="6"/>
      <c r="AZ945" s="6"/>
      <c r="BA945" s="6"/>
      <c r="BB945" s="6"/>
      <c r="BC945" s="6"/>
      <c r="BD945" s="6"/>
      <c r="BE945" s="6"/>
    </row>
    <row r="946" spans="2:57" x14ac:dyDescent="0.3">
      <c r="B946" s="4" t="s">
        <v>969</v>
      </c>
      <c r="C946" s="4">
        <v>28</v>
      </c>
      <c r="D946" s="4" t="s">
        <v>12</v>
      </c>
      <c r="E946" s="4" t="s">
        <v>15</v>
      </c>
      <c r="F946" s="4" t="s">
        <v>20</v>
      </c>
      <c r="G946" s="18">
        <v>6674</v>
      </c>
      <c r="H946" s="10">
        <v>9</v>
      </c>
      <c r="I946" s="4">
        <v>4</v>
      </c>
      <c r="J946" s="4" t="s">
        <v>14</v>
      </c>
      <c r="K946" s="3" t="s">
        <v>14</v>
      </c>
      <c r="L946" s="3" t="str">
        <f>IF(Table1[[#This Row],[Monthly Income]]&lt;3000,"Low",IF(Table1[[#This Row],[Monthly Income]]&lt;7000,"Medium","High"))</f>
        <v>Medium</v>
      </c>
      <c r="AK946" s="4"/>
      <c r="AL946" s="4"/>
      <c r="AM946" s="4"/>
      <c r="AN946" s="4"/>
      <c r="AO946" s="4"/>
      <c r="AP946" s="4"/>
      <c r="AQ946" s="4"/>
      <c r="AR946" s="4"/>
      <c r="AS946" s="4"/>
      <c r="AU946" s="4"/>
      <c r="AV946" s="4"/>
      <c r="AW946" s="4"/>
      <c r="AX946" s="4"/>
      <c r="AY946" s="4"/>
      <c r="AZ946" s="4"/>
      <c r="BA946" s="4"/>
      <c r="BB946" s="4"/>
      <c r="BC946" s="4"/>
      <c r="BD946" s="4"/>
      <c r="BE946" s="4"/>
    </row>
    <row r="947" spans="2:57" x14ac:dyDescent="0.3">
      <c r="B947" s="6" t="s">
        <v>970</v>
      </c>
      <c r="C947" s="6">
        <v>50</v>
      </c>
      <c r="D947" s="6" t="s">
        <v>12</v>
      </c>
      <c r="E947" s="6" t="s">
        <v>15</v>
      </c>
      <c r="F947" s="6" t="s">
        <v>45</v>
      </c>
      <c r="G947" s="19">
        <v>16880</v>
      </c>
      <c r="H947" s="11">
        <v>3</v>
      </c>
      <c r="I947" s="6">
        <v>1</v>
      </c>
      <c r="J947" s="6" t="s">
        <v>9</v>
      </c>
      <c r="K947" s="5" t="s">
        <v>14</v>
      </c>
      <c r="L947" s="3" t="str">
        <f>IF(Table1[[#This Row],[Monthly Income]]&lt;3000,"Low",IF(Table1[[#This Row],[Monthly Income]]&lt;7000,"Medium","High"))</f>
        <v>High</v>
      </c>
      <c r="AK947" s="6"/>
      <c r="AL947" s="6"/>
      <c r="AM947" s="6"/>
      <c r="AN947" s="6"/>
      <c r="AO947" s="6"/>
      <c r="AP947" s="6"/>
      <c r="AQ947" s="6"/>
      <c r="AR947" s="6"/>
      <c r="AS947" s="6"/>
      <c r="AU947" s="6"/>
      <c r="AV947" s="6"/>
      <c r="AW947" s="6"/>
      <c r="AX947" s="6"/>
      <c r="AY947" s="6"/>
      <c r="AZ947" s="6"/>
      <c r="BA947" s="6"/>
      <c r="BB947" s="6"/>
      <c r="BC947" s="6"/>
      <c r="BD947" s="6"/>
      <c r="BE947" s="6"/>
    </row>
    <row r="948" spans="2:57" x14ac:dyDescent="0.3">
      <c r="B948" s="4" t="s">
        <v>971</v>
      </c>
      <c r="C948" s="4">
        <v>40</v>
      </c>
      <c r="D948" s="4" t="s">
        <v>17</v>
      </c>
      <c r="E948" s="4" t="s">
        <v>10</v>
      </c>
      <c r="F948" s="4" t="s">
        <v>13</v>
      </c>
      <c r="G948" s="18">
        <v>9094</v>
      </c>
      <c r="H948" s="10">
        <v>5</v>
      </c>
      <c r="I948" s="4">
        <v>2</v>
      </c>
      <c r="J948" s="4" t="s">
        <v>9</v>
      </c>
      <c r="K948" s="3" t="s">
        <v>9</v>
      </c>
      <c r="L948" s="3" t="str">
        <f>IF(Table1[[#This Row],[Monthly Income]]&lt;3000,"Low",IF(Table1[[#This Row],[Monthly Income]]&lt;7000,"Medium","High"))</f>
        <v>High</v>
      </c>
      <c r="AK948" s="4"/>
      <c r="AL948" s="4"/>
      <c r="AM948" s="4"/>
      <c r="AN948" s="4"/>
      <c r="AO948" s="4"/>
      <c r="AP948" s="4"/>
      <c r="AQ948" s="4"/>
      <c r="AR948" s="4"/>
      <c r="AS948" s="4"/>
      <c r="AU948" s="4"/>
      <c r="AV948" s="4"/>
      <c r="AW948" s="4"/>
      <c r="AX948" s="4"/>
      <c r="AY948" s="4"/>
      <c r="AZ948" s="4"/>
      <c r="BA948" s="4"/>
      <c r="BB948" s="4"/>
      <c r="BC948" s="4"/>
      <c r="BD948" s="4"/>
      <c r="BE948" s="4"/>
    </row>
    <row r="949" spans="2:57" x14ac:dyDescent="0.3">
      <c r="B949" s="6" t="s">
        <v>972</v>
      </c>
      <c r="C949" s="6">
        <v>52</v>
      </c>
      <c r="D949" s="6" t="s">
        <v>17</v>
      </c>
      <c r="E949" s="6" t="s">
        <v>10</v>
      </c>
      <c r="F949" s="6" t="s">
        <v>13</v>
      </c>
      <c r="G949" s="19">
        <v>8446</v>
      </c>
      <c r="H949" s="11">
        <v>8</v>
      </c>
      <c r="I949" s="6">
        <v>2</v>
      </c>
      <c r="J949" s="6" t="s">
        <v>9</v>
      </c>
      <c r="K949" s="5" t="s">
        <v>9</v>
      </c>
      <c r="L949" s="3" t="str">
        <f>IF(Table1[[#This Row],[Monthly Income]]&lt;3000,"Low",IF(Table1[[#This Row],[Monthly Income]]&lt;7000,"Medium","High"))</f>
        <v>High</v>
      </c>
      <c r="AK949" s="6"/>
      <c r="AL949" s="6"/>
      <c r="AM949" s="6"/>
      <c r="AN949" s="6"/>
      <c r="AO949" s="6"/>
      <c r="AP949" s="6"/>
      <c r="AQ949" s="6"/>
      <c r="AR949" s="6"/>
      <c r="AS949" s="6"/>
      <c r="AU949" s="6"/>
      <c r="AV949" s="6"/>
      <c r="AW949" s="6"/>
      <c r="AX949" s="6"/>
      <c r="AY949" s="6"/>
      <c r="AZ949" s="6"/>
      <c r="BA949" s="6"/>
      <c r="BB949" s="6"/>
      <c r="BC949" s="6"/>
      <c r="BD949" s="6"/>
      <c r="BE949" s="6"/>
    </row>
    <row r="950" spans="2:57" x14ac:dyDescent="0.3">
      <c r="B950" s="4" t="s">
        <v>973</v>
      </c>
      <c r="C950" s="4">
        <v>30</v>
      </c>
      <c r="D950" s="4" t="s">
        <v>12</v>
      </c>
      <c r="E950" s="4" t="s">
        <v>15</v>
      </c>
      <c r="F950" s="4" t="s">
        <v>39</v>
      </c>
      <c r="G950" s="18">
        <v>11916</v>
      </c>
      <c r="H950" s="10">
        <v>9</v>
      </c>
      <c r="I950" s="4">
        <v>1</v>
      </c>
      <c r="J950" s="4" t="s">
        <v>9</v>
      </c>
      <c r="K950" s="3" t="s">
        <v>14</v>
      </c>
      <c r="L950" s="3" t="str">
        <f>IF(Table1[[#This Row],[Monthly Income]]&lt;3000,"Low",IF(Table1[[#This Row],[Monthly Income]]&lt;7000,"Medium","High"))</f>
        <v>High</v>
      </c>
      <c r="AK950" s="4"/>
      <c r="AL950" s="4"/>
      <c r="AM950" s="4"/>
      <c r="AN950" s="4"/>
      <c r="AO950" s="4"/>
      <c r="AP950" s="4"/>
      <c r="AQ950" s="4"/>
      <c r="AR950" s="4"/>
      <c r="AS950" s="4"/>
      <c r="AU950" s="4"/>
      <c r="AV950" s="4"/>
      <c r="AW950" s="4"/>
      <c r="AX950" s="4"/>
      <c r="AY950" s="4"/>
      <c r="AZ950" s="4"/>
      <c r="BA950" s="4"/>
      <c r="BB950" s="4"/>
      <c r="BC950" s="4"/>
      <c r="BD950" s="4"/>
      <c r="BE950" s="4"/>
    </row>
    <row r="951" spans="2:57" x14ac:dyDescent="0.3">
      <c r="B951" s="6" t="s">
        <v>974</v>
      </c>
      <c r="C951" s="6">
        <v>39</v>
      </c>
      <c r="D951" s="6" t="s">
        <v>17</v>
      </c>
      <c r="E951" s="6" t="s">
        <v>15</v>
      </c>
      <c r="F951" s="6" t="s">
        <v>27</v>
      </c>
      <c r="G951" s="19">
        <v>4534</v>
      </c>
      <c r="H951" s="11">
        <v>8</v>
      </c>
      <c r="I951" s="6">
        <v>3</v>
      </c>
      <c r="J951" s="6" t="s">
        <v>14</v>
      </c>
      <c r="K951" s="5" t="s">
        <v>14</v>
      </c>
      <c r="L951" s="3" t="str">
        <f>IF(Table1[[#This Row],[Monthly Income]]&lt;3000,"Low",IF(Table1[[#This Row],[Monthly Income]]&lt;7000,"Medium","High"))</f>
        <v>Medium</v>
      </c>
      <c r="AK951" s="6"/>
      <c r="AL951" s="6"/>
      <c r="AM951" s="6"/>
      <c r="AN951" s="6"/>
      <c r="AO951" s="6"/>
      <c r="AP951" s="6"/>
      <c r="AQ951" s="6"/>
      <c r="AR951" s="6"/>
      <c r="AS951" s="6"/>
      <c r="AU951" s="6"/>
      <c r="AV951" s="6"/>
      <c r="AW951" s="6"/>
      <c r="AX951" s="6"/>
      <c r="AY951" s="6"/>
      <c r="AZ951" s="6"/>
      <c r="BA951" s="6"/>
      <c r="BB951" s="6"/>
      <c r="BC951" s="6"/>
      <c r="BD951" s="6"/>
      <c r="BE951" s="6"/>
    </row>
    <row r="952" spans="2:57" x14ac:dyDescent="0.3">
      <c r="B952" s="4" t="s">
        <v>975</v>
      </c>
      <c r="C952" s="4">
        <v>31</v>
      </c>
      <c r="D952" s="4" t="s">
        <v>12</v>
      </c>
      <c r="E952" s="4" t="s">
        <v>10</v>
      </c>
      <c r="F952" s="4" t="s">
        <v>13</v>
      </c>
      <c r="G952" s="18">
        <v>9852</v>
      </c>
      <c r="H952" s="10">
        <v>10</v>
      </c>
      <c r="I952" s="4">
        <v>3</v>
      </c>
      <c r="J952" s="4" t="s">
        <v>9</v>
      </c>
      <c r="K952" s="3" t="s">
        <v>14</v>
      </c>
      <c r="L952" s="3" t="str">
        <f>IF(Table1[[#This Row],[Monthly Income]]&lt;3000,"Low",IF(Table1[[#This Row],[Monthly Income]]&lt;7000,"Medium","High"))</f>
        <v>High</v>
      </c>
      <c r="AK952" s="4"/>
      <c r="AL952" s="4"/>
      <c r="AM952" s="4"/>
      <c r="AN952" s="4"/>
      <c r="AO952" s="4"/>
      <c r="AP952" s="4"/>
      <c r="AQ952" s="4"/>
      <c r="AR952" s="4"/>
      <c r="AS952" s="4"/>
      <c r="AU952" s="4"/>
      <c r="AV952" s="4"/>
      <c r="AW952" s="4"/>
      <c r="AX952" s="4"/>
      <c r="AY952" s="4"/>
      <c r="AZ952" s="4"/>
      <c r="BA952" s="4"/>
      <c r="BB952" s="4"/>
      <c r="BC952" s="4"/>
      <c r="BD952" s="4"/>
      <c r="BE952" s="4"/>
    </row>
    <row r="953" spans="2:57" x14ac:dyDescent="0.3">
      <c r="B953" s="6" t="s">
        <v>976</v>
      </c>
      <c r="C953" s="6">
        <v>41</v>
      </c>
      <c r="D953" s="6" t="s">
        <v>17</v>
      </c>
      <c r="E953" s="6" t="s">
        <v>10</v>
      </c>
      <c r="F953" s="6" t="s">
        <v>13</v>
      </c>
      <c r="G953" s="19">
        <v>6151</v>
      </c>
      <c r="H953" s="11">
        <v>19</v>
      </c>
      <c r="I953" s="6">
        <v>2</v>
      </c>
      <c r="J953" s="6" t="s">
        <v>14</v>
      </c>
      <c r="K953" s="5" t="s">
        <v>14</v>
      </c>
      <c r="L953" s="3" t="str">
        <f>IF(Table1[[#This Row],[Monthly Income]]&lt;3000,"Low",IF(Table1[[#This Row],[Monthly Income]]&lt;7000,"Medium","High"))</f>
        <v>Medium</v>
      </c>
      <c r="AK953" s="6"/>
      <c r="AL953" s="6"/>
      <c r="AM953" s="6"/>
      <c r="AN953" s="6"/>
      <c r="AO953" s="6"/>
      <c r="AP953" s="6"/>
      <c r="AQ953" s="6"/>
      <c r="AR953" s="6"/>
      <c r="AS953" s="6"/>
      <c r="AU953" s="6"/>
      <c r="AV953" s="6"/>
      <c r="AW953" s="6"/>
      <c r="AX953" s="6"/>
      <c r="AY953" s="6"/>
      <c r="AZ953" s="6"/>
      <c r="BA953" s="6"/>
      <c r="BB953" s="6"/>
      <c r="BC953" s="6"/>
      <c r="BD953" s="6"/>
      <c r="BE953" s="6"/>
    </row>
    <row r="954" spans="2:57" x14ac:dyDescent="0.3">
      <c r="B954" s="4" t="s">
        <v>977</v>
      </c>
      <c r="C954" s="4">
        <v>31</v>
      </c>
      <c r="D954" s="4" t="s">
        <v>12</v>
      </c>
      <c r="E954" s="4" t="s">
        <v>10</v>
      </c>
      <c r="F954" s="4" t="s">
        <v>43</v>
      </c>
      <c r="G954" s="18">
        <v>2302</v>
      </c>
      <c r="H954" s="10">
        <v>3</v>
      </c>
      <c r="I954" s="4">
        <v>2</v>
      </c>
      <c r="J954" s="4" t="s">
        <v>9</v>
      </c>
      <c r="K954" s="3" t="s">
        <v>9</v>
      </c>
      <c r="L954" s="3" t="str">
        <f>IF(Table1[[#This Row],[Monthly Income]]&lt;3000,"Low",IF(Table1[[#This Row],[Monthly Income]]&lt;7000,"Medium","High"))</f>
        <v>Low</v>
      </c>
      <c r="AK954" s="4"/>
      <c r="AL954" s="4"/>
      <c r="AM954" s="4"/>
      <c r="AN954" s="4"/>
      <c r="AO954" s="4"/>
      <c r="AP954" s="4"/>
      <c r="AQ954" s="4"/>
      <c r="AR954" s="4"/>
      <c r="AS954" s="4"/>
      <c r="AU954" s="4"/>
      <c r="AV954" s="4"/>
      <c r="AW954" s="4"/>
      <c r="AX954" s="4"/>
      <c r="AY954" s="4"/>
      <c r="AZ954" s="4"/>
      <c r="BA954" s="4"/>
      <c r="BB954" s="4"/>
      <c r="BC954" s="4"/>
      <c r="BD954" s="4"/>
      <c r="BE954" s="4"/>
    </row>
    <row r="955" spans="2:57" x14ac:dyDescent="0.3">
      <c r="B955" s="6" t="s">
        <v>978</v>
      </c>
      <c r="C955" s="6">
        <v>44</v>
      </c>
      <c r="D955" s="6" t="s">
        <v>17</v>
      </c>
      <c r="E955" s="6" t="s">
        <v>15</v>
      </c>
      <c r="F955" s="6" t="s">
        <v>20</v>
      </c>
      <c r="G955" s="19">
        <v>2362</v>
      </c>
      <c r="H955" s="11">
        <v>3</v>
      </c>
      <c r="I955" s="6">
        <v>1</v>
      </c>
      <c r="J955" s="6" t="s">
        <v>14</v>
      </c>
      <c r="K955" s="5" t="s">
        <v>9</v>
      </c>
      <c r="L955" s="3" t="str">
        <f>IF(Table1[[#This Row],[Monthly Income]]&lt;3000,"Low",IF(Table1[[#This Row],[Monthly Income]]&lt;7000,"Medium","High"))</f>
        <v>Low</v>
      </c>
      <c r="AK955" s="6"/>
      <c r="AL955" s="6"/>
      <c r="AM955" s="6"/>
      <c r="AN955" s="6"/>
      <c r="AO955" s="6"/>
      <c r="AP955" s="6"/>
      <c r="AQ955" s="6"/>
      <c r="AR955" s="6"/>
      <c r="AS955" s="6"/>
      <c r="AU955" s="6"/>
      <c r="AV955" s="6"/>
      <c r="AW955" s="6"/>
      <c r="AX955" s="6"/>
      <c r="AY955" s="6"/>
      <c r="AZ955" s="6"/>
      <c r="BA955" s="6"/>
      <c r="BB955" s="6"/>
      <c r="BC955" s="6"/>
      <c r="BD955" s="6"/>
      <c r="BE955" s="6"/>
    </row>
    <row r="956" spans="2:57" x14ac:dyDescent="0.3">
      <c r="B956" s="4" t="s">
        <v>979</v>
      </c>
      <c r="C956" s="4">
        <v>42</v>
      </c>
      <c r="D956" s="4" t="s">
        <v>17</v>
      </c>
      <c r="E956" s="4" t="s">
        <v>15</v>
      </c>
      <c r="F956" s="4" t="s">
        <v>39</v>
      </c>
      <c r="G956" s="18">
        <v>17861</v>
      </c>
      <c r="H956" s="10">
        <v>20</v>
      </c>
      <c r="I956" s="4">
        <v>3</v>
      </c>
      <c r="J956" s="4" t="s">
        <v>9</v>
      </c>
      <c r="K956" s="3" t="s">
        <v>14</v>
      </c>
      <c r="L956" s="3" t="str">
        <f>IF(Table1[[#This Row],[Monthly Income]]&lt;3000,"Low",IF(Table1[[#This Row],[Monthly Income]]&lt;7000,"Medium","High"))</f>
        <v>High</v>
      </c>
      <c r="AK956" s="4"/>
      <c r="AL956" s="4"/>
      <c r="AM956" s="4"/>
      <c r="AN956" s="4"/>
      <c r="AO956" s="4"/>
      <c r="AP956" s="4"/>
      <c r="AQ956" s="4"/>
      <c r="AR956" s="4"/>
      <c r="AS956" s="4"/>
      <c r="AU956" s="4"/>
      <c r="AV956" s="4"/>
      <c r="AW956" s="4"/>
      <c r="AX956" s="4"/>
      <c r="AY956" s="4"/>
      <c r="AZ956" s="4"/>
      <c r="BA956" s="4"/>
      <c r="BB956" s="4"/>
      <c r="BC956" s="4"/>
      <c r="BD956" s="4"/>
      <c r="BE956" s="4"/>
    </row>
    <row r="957" spans="2:57" x14ac:dyDescent="0.3">
      <c r="B957" s="6" t="s">
        <v>980</v>
      </c>
      <c r="C957" s="6">
        <v>55</v>
      </c>
      <c r="D957" s="6" t="s">
        <v>12</v>
      </c>
      <c r="E957" s="6" t="s">
        <v>15</v>
      </c>
      <c r="F957" s="6" t="s">
        <v>39</v>
      </c>
      <c r="G957" s="19">
        <v>19187</v>
      </c>
      <c r="H957" s="11">
        <v>19</v>
      </c>
      <c r="I957" s="6">
        <v>3</v>
      </c>
      <c r="J957" s="6" t="s">
        <v>14</v>
      </c>
      <c r="K957" s="5" t="s">
        <v>14</v>
      </c>
      <c r="L957" s="3" t="str">
        <f>IF(Table1[[#This Row],[Monthly Income]]&lt;3000,"Low",IF(Table1[[#This Row],[Monthly Income]]&lt;7000,"Medium","High"))</f>
        <v>High</v>
      </c>
      <c r="AK957" s="6"/>
      <c r="AL957" s="6"/>
      <c r="AM957" s="6"/>
      <c r="AN957" s="6"/>
      <c r="AO957" s="6"/>
      <c r="AP957" s="6"/>
      <c r="AQ957" s="6"/>
      <c r="AR957" s="6"/>
      <c r="AS957" s="6"/>
      <c r="AU957" s="6"/>
      <c r="AV957" s="6"/>
      <c r="AW957" s="6"/>
      <c r="AX957" s="6"/>
      <c r="AY957" s="6"/>
      <c r="AZ957" s="6"/>
      <c r="BA957" s="6"/>
      <c r="BB957" s="6"/>
      <c r="BC957" s="6"/>
      <c r="BD957" s="6"/>
      <c r="BE957" s="6"/>
    </row>
    <row r="958" spans="2:57" x14ac:dyDescent="0.3">
      <c r="B958" s="4" t="s">
        <v>981</v>
      </c>
      <c r="C958" s="4">
        <v>56</v>
      </c>
      <c r="D958" s="4" t="s">
        <v>17</v>
      </c>
      <c r="E958" s="4" t="s">
        <v>102</v>
      </c>
      <c r="F958" s="4" t="s">
        <v>39</v>
      </c>
      <c r="G958" s="18">
        <v>19717</v>
      </c>
      <c r="H958" s="10">
        <v>7</v>
      </c>
      <c r="I958" s="4">
        <v>2</v>
      </c>
      <c r="J958" s="4" t="s">
        <v>14</v>
      </c>
      <c r="K958" s="3" t="s">
        <v>14</v>
      </c>
      <c r="L958" s="3" t="str">
        <f>IF(Table1[[#This Row],[Monthly Income]]&lt;3000,"Low",IF(Table1[[#This Row],[Monthly Income]]&lt;7000,"Medium","High"))</f>
        <v>High</v>
      </c>
      <c r="AK958" s="4"/>
      <c r="AL958" s="4"/>
      <c r="AM958" s="4"/>
      <c r="AN958" s="4"/>
      <c r="AO958" s="4"/>
      <c r="AP958" s="4"/>
      <c r="AQ958" s="4"/>
      <c r="AR958" s="4"/>
      <c r="AS958" s="4"/>
      <c r="AU958" s="4"/>
      <c r="AV958" s="4"/>
      <c r="AW958" s="4"/>
      <c r="AX958" s="4"/>
      <c r="AY958" s="4"/>
      <c r="AZ958" s="4"/>
      <c r="BA958" s="4"/>
      <c r="BB958" s="4"/>
      <c r="BC958" s="4"/>
      <c r="BD958" s="4"/>
      <c r="BE958" s="4"/>
    </row>
    <row r="959" spans="2:57" x14ac:dyDescent="0.3">
      <c r="B959" s="6" t="s">
        <v>982</v>
      </c>
      <c r="C959" s="6">
        <v>40</v>
      </c>
      <c r="D959" s="6" t="s">
        <v>17</v>
      </c>
      <c r="E959" s="6" t="s">
        <v>15</v>
      </c>
      <c r="F959" s="6" t="s">
        <v>18</v>
      </c>
      <c r="G959" s="19">
        <v>3544</v>
      </c>
      <c r="H959" s="11">
        <v>4</v>
      </c>
      <c r="I959" s="6">
        <v>3</v>
      </c>
      <c r="J959" s="6" t="s">
        <v>14</v>
      </c>
      <c r="K959" s="5" t="s">
        <v>14</v>
      </c>
      <c r="L959" s="3" t="str">
        <f>IF(Table1[[#This Row],[Monthly Income]]&lt;3000,"Low",IF(Table1[[#This Row],[Monthly Income]]&lt;7000,"Medium","High"))</f>
        <v>Medium</v>
      </c>
      <c r="AK959" s="6"/>
      <c r="AL959" s="6"/>
      <c r="AM959" s="6"/>
      <c r="AN959" s="6"/>
      <c r="AO959" s="6"/>
      <c r="AP959" s="6"/>
      <c r="AQ959" s="6"/>
      <c r="AR959" s="6"/>
      <c r="AS959" s="6"/>
      <c r="AU959" s="6"/>
      <c r="AV959" s="6"/>
      <c r="AW959" s="6"/>
      <c r="AX959" s="6"/>
      <c r="AY959" s="6"/>
      <c r="AZ959" s="6"/>
      <c r="BA959" s="6"/>
      <c r="BB959" s="6"/>
      <c r="BC959" s="6"/>
      <c r="BD959" s="6"/>
      <c r="BE959" s="6"/>
    </row>
    <row r="960" spans="2:57" x14ac:dyDescent="0.3">
      <c r="B960" s="4" t="s">
        <v>983</v>
      </c>
      <c r="C960" s="4">
        <v>34</v>
      </c>
      <c r="D960" s="4" t="s">
        <v>17</v>
      </c>
      <c r="E960" s="4" t="s">
        <v>15</v>
      </c>
      <c r="F960" s="4" t="s">
        <v>29</v>
      </c>
      <c r="G960" s="18">
        <v>8500</v>
      </c>
      <c r="H960" s="10">
        <v>9</v>
      </c>
      <c r="I960" s="4">
        <v>4</v>
      </c>
      <c r="J960" s="4" t="s">
        <v>14</v>
      </c>
      <c r="K960" s="3" t="s">
        <v>14</v>
      </c>
      <c r="L960" s="3" t="str">
        <f>IF(Table1[[#This Row],[Monthly Income]]&lt;3000,"Low",IF(Table1[[#This Row],[Monthly Income]]&lt;7000,"Medium","High"))</f>
        <v>High</v>
      </c>
      <c r="AK960" s="4"/>
      <c r="AL960" s="4"/>
      <c r="AM960" s="4"/>
      <c r="AN960" s="4"/>
      <c r="AO960" s="4"/>
      <c r="AP960" s="4"/>
      <c r="AQ960" s="4"/>
      <c r="AR960" s="4"/>
      <c r="AS960" s="4"/>
      <c r="AU960" s="4"/>
      <c r="AV960" s="4"/>
      <c r="AW960" s="4"/>
      <c r="AX960" s="4"/>
      <c r="AY960" s="4"/>
      <c r="AZ960" s="4"/>
      <c r="BA960" s="4"/>
      <c r="BB960" s="4"/>
      <c r="BC960" s="4"/>
      <c r="BD960" s="4"/>
      <c r="BE960" s="4"/>
    </row>
    <row r="961" spans="2:57" x14ac:dyDescent="0.3">
      <c r="B961" s="6" t="s">
        <v>984</v>
      </c>
      <c r="C961" s="6">
        <v>40</v>
      </c>
      <c r="D961" s="6" t="s">
        <v>17</v>
      </c>
      <c r="E961" s="6" t="s">
        <v>15</v>
      </c>
      <c r="F961" s="6" t="s">
        <v>18</v>
      </c>
      <c r="G961" s="19">
        <v>4661</v>
      </c>
      <c r="H961" s="11">
        <v>9</v>
      </c>
      <c r="I961" s="6">
        <v>4</v>
      </c>
      <c r="J961" s="6" t="s">
        <v>14</v>
      </c>
      <c r="K961" s="5" t="s">
        <v>14</v>
      </c>
      <c r="L961" s="3" t="str">
        <f>IF(Table1[[#This Row],[Monthly Income]]&lt;3000,"Low",IF(Table1[[#This Row],[Monthly Income]]&lt;7000,"Medium","High"))</f>
        <v>Medium</v>
      </c>
      <c r="AK961" s="6"/>
      <c r="AL961" s="6"/>
      <c r="AM961" s="6"/>
      <c r="AN961" s="6"/>
      <c r="AO961" s="6"/>
      <c r="AP961" s="6"/>
      <c r="AQ961" s="6"/>
      <c r="AR961" s="6"/>
      <c r="AS961" s="6"/>
      <c r="AU961" s="6"/>
      <c r="AV961" s="6"/>
      <c r="AW961" s="6"/>
      <c r="AX961" s="6"/>
      <c r="AY961" s="6"/>
      <c r="AZ961" s="6"/>
      <c r="BA961" s="6"/>
      <c r="BB961" s="6"/>
      <c r="BC961" s="6"/>
      <c r="BD961" s="6"/>
      <c r="BE961" s="6"/>
    </row>
    <row r="962" spans="2:57" x14ac:dyDescent="0.3">
      <c r="B962" s="4" t="s">
        <v>985</v>
      </c>
      <c r="C962" s="4">
        <v>41</v>
      </c>
      <c r="D962" s="4" t="s">
        <v>12</v>
      </c>
      <c r="E962" s="4" t="s">
        <v>10</v>
      </c>
      <c r="F962" s="4" t="s">
        <v>13</v>
      </c>
      <c r="G962" s="18">
        <v>4103</v>
      </c>
      <c r="H962" s="10">
        <v>9</v>
      </c>
      <c r="I962" s="4">
        <v>1</v>
      </c>
      <c r="J962" s="4" t="s">
        <v>14</v>
      </c>
      <c r="K962" s="3" t="s">
        <v>14</v>
      </c>
      <c r="L962" s="3" t="str">
        <f>IF(Table1[[#This Row],[Monthly Income]]&lt;3000,"Low",IF(Table1[[#This Row],[Monthly Income]]&lt;7000,"Medium","High"))</f>
        <v>Medium</v>
      </c>
      <c r="AK962" s="4"/>
      <c r="AL962" s="4"/>
      <c r="AM962" s="4"/>
      <c r="AN962" s="4"/>
      <c r="AO962" s="4"/>
      <c r="AP962" s="4"/>
      <c r="AQ962" s="4"/>
      <c r="AR962" s="4"/>
      <c r="AS962" s="4"/>
      <c r="AU962" s="4"/>
      <c r="AV962" s="4"/>
      <c r="AW962" s="4"/>
      <c r="AX962" s="4"/>
      <c r="AY962" s="4"/>
      <c r="AZ962" s="4"/>
      <c r="BA962" s="4"/>
      <c r="BB962" s="4"/>
      <c r="BC962" s="4"/>
      <c r="BD962" s="4"/>
      <c r="BE962" s="4"/>
    </row>
    <row r="963" spans="2:57" x14ac:dyDescent="0.3">
      <c r="B963" s="6" t="s">
        <v>986</v>
      </c>
      <c r="C963" s="6">
        <v>35</v>
      </c>
      <c r="D963" s="6" t="s">
        <v>17</v>
      </c>
      <c r="E963" s="6" t="s">
        <v>15</v>
      </c>
      <c r="F963" s="6" t="s">
        <v>18</v>
      </c>
      <c r="G963" s="19">
        <v>4249</v>
      </c>
      <c r="H963" s="11">
        <v>9</v>
      </c>
      <c r="I963" s="6">
        <v>3</v>
      </c>
      <c r="J963" s="6" t="s">
        <v>9</v>
      </c>
      <c r="K963" s="5" t="s">
        <v>14</v>
      </c>
      <c r="L963" s="3" t="str">
        <f>IF(Table1[[#This Row],[Monthly Income]]&lt;3000,"Low",IF(Table1[[#This Row],[Monthly Income]]&lt;7000,"Medium","High"))</f>
        <v>Medium</v>
      </c>
      <c r="AK963" s="6"/>
      <c r="AL963" s="6"/>
      <c r="AM963" s="6"/>
      <c r="AN963" s="6"/>
      <c r="AO963" s="6"/>
      <c r="AP963" s="6"/>
      <c r="AQ963" s="6"/>
      <c r="AR963" s="6"/>
      <c r="AS963" s="6"/>
      <c r="AU963" s="6"/>
      <c r="AV963" s="6"/>
      <c r="AW963" s="6"/>
      <c r="AX963" s="6"/>
      <c r="AY963" s="6"/>
      <c r="AZ963" s="6"/>
      <c r="BA963" s="6"/>
      <c r="BB963" s="6"/>
      <c r="BC963" s="6"/>
      <c r="BD963" s="6"/>
      <c r="BE963" s="6"/>
    </row>
    <row r="964" spans="2:57" x14ac:dyDescent="0.3">
      <c r="B964" s="4" t="s">
        <v>987</v>
      </c>
      <c r="C964" s="4">
        <v>51</v>
      </c>
      <c r="D964" s="4" t="s">
        <v>17</v>
      </c>
      <c r="E964" s="4" t="s">
        <v>102</v>
      </c>
      <c r="F964" s="4" t="s">
        <v>39</v>
      </c>
      <c r="G964" s="18">
        <v>14026</v>
      </c>
      <c r="H964" s="10">
        <v>33</v>
      </c>
      <c r="I964" s="4">
        <v>2</v>
      </c>
      <c r="J964" s="4" t="s">
        <v>9</v>
      </c>
      <c r="K964" s="3" t="s">
        <v>14</v>
      </c>
      <c r="L964" s="3" t="str">
        <f>IF(Table1[[#This Row],[Monthly Income]]&lt;3000,"Low",IF(Table1[[#This Row],[Monthly Income]]&lt;7000,"Medium","High"))</f>
        <v>High</v>
      </c>
      <c r="AK964" s="4"/>
      <c r="AL964" s="4"/>
      <c r="AM964" s="4"/>
      <c r="AN964" s="4"/>
      <c r="AO964" s="4"/>
      <c r="AP964" s="4"/>
      <c r="AQ964" s="4"/>
      <c r="AR964" s="4"/>
      <c r="AS964" s="4"/>
      <c r="AU964" s="4"/>
      <c r="AV964" s="4"/>
      <c r="AW964" s="4"/>
      <c r="AX964" s="4"/>
      <c r="AY964" s="4"/>
      <c r="AZ964" s="4"/>
      <c r="BA964" s="4"/>
      <c r="BB964" s="4"/>
      <c r="BC964" s="4"/>
      <c r="BD964" s="4"/>
      <c r="BE964" s="4"/>
    </row>
    <row r="965" spans="2:57" x14ac:dyDescent="0.3">
      <c r="B965" s="6" t="s">
        <v>988</v>
      </c>
      <c r="C965" s="6">
        <v>38</v>
      </c>
      <c r="D965" s="6" t="s">
        <v>12</v>
      </c>
      <c r="E965" s="6" t="s">
        <v>10</v>
      </c>
      <c r="F965" s="6" t="s">
        <v>13</v>
      </c>
      <c r="G965" s="19">
        <v>6893</v>
      </c>
      <c r="H965" s="11">
        <v>7</v>
      </c>
      <c r="I965" s="6">
        <v>1</v>
      </c>
      <c r="J965" s="6" t="s">
        <v>14</v>
      </c>
      <c r="K965" s="5" t="s">
        <v>14</v>
      </c>
      <c r="L965" s="3" t="str">
        <f>IF(Table1[[#This Row],[Monthly Income]]&lt;3000,"Low",IF(Table1[[#This Row],[Monthly Income]]&lt;7000,"Medium","High"))</f>
        <v>Medium</v>
      </c>
      <c r="AK965" s="6"/>
      <c r="AL965" s="6"/>
      <c r="AM965" s="6"/>
      <c r="AN965" s="6"/>
      <c r="AO965" s="6"/>
      <c r="AP965" s="6"/>
      <c r="AQ965" s="6"/>
      <c r="AR965" s="6"/>
      <c r="AS965" s="6"/>
      <c r="AU965" s="6"/>
      <c r="AV965" s="6"/>
      <c r="AW965" s="6"/>
      <c r="AX965" s="6"/>
      <c r="AY965" s="6"/>
      <c r="AZ965" s="6"/>
      <c r="BA965" s="6"/>
      <c r="BB965" s="6"/>
      <c r="BC965" s="6"/>
      <c r="BD965" s="6"/>
      <c r="BE965" s="6"/>
    </row>
    <row r="966" spans="2:57" x14ac:dyDescent="0.3">
      <c r="B966" s="4" t="s">
        <v>989</v>
      </c>
      <c r="C966" s="4">
        <v>34</v>
      </c>
      <c r="D966" s="4" t="s">
        <v>12</v>
      </c>
      <c r="E966" s="4" t="s">
        <v>10</v>
      </c>
      <c r="F966" s="4" t="s">
        <v>13</v>
      </c>
      <c r="G966" s="18">
        <v>6125</v>
      </c>
      <c r="H966" s="10">
        <v>10</v>
      </c>
      <c r="I966" s="4">
        <v>1</v>
      </c>
      <c r="J966" s="4" t="s">
        <v>14</v>
      </c>
      <c r="K966" s="3" t="s">
        <v>14</v>
      </c>
      <c r="L966" s="3" t="str">
        <f>IF(Table1[[#This Row],[Monthly Income]]&lt;3000,"Low",IF(Table1[[#This Row],[Monthly Income]]&lt;7000,"Medium","High"))</f>
        <v>Medium</v>
      </c>
      <c r="AK966" s="4"/>
      <c r="AL966" s="4"/>
      <c r="AM966" s="4"/>
      <c r="AN966" s="4"/>
      <c r="AO966" s="4"/>
      <c r="AP966" s="4"/>
      <c r="AQ966" s="4"/>
      <c r="AR966" s="4"/>
      <c r="AS966" s="4"/>
      <c r="AU966" s="4"/>
      <c r="AV966" s="4"/>
      <c r="AW966" s="4"/>
      <c r="AX966" s="4"/>
      <c r="AY966" s="4"/>
      <c r="AZ966" s="4"/>
      <c r="BA966" s="4"/>
      <c r="BB966" s="4"/>
      <c r="BC966" s="4"/>
      <c r="BD966" s="4"/>
      <c r="BE966" s="4"/>
    </row>
    <row r="967" spans="2:57" x14ac:dyDescent="0.3">
      <c r="B967" s="6" t="s">
        <v>990</v>
      </c>
      <c r="C967" s="6">
        <v>25</v>
      </c>
      <c r="D967" s="6" t="s">
        <v>17</v>
      </c>
      <c r="E967" s="6" t="s">
        <v>15</v>
      </c>
      <c r="F967" s="6" t="s">
        <v>20</v>
      </c>
      <c r="G967" s="19">
        <v>3669</v>
      </c>
      <c r="H967" s="11">
        <v>3</v>
      </c>
      <c r="I967" s="6">
        <v>4</v>
      </c>
      <c r="J967" s="6" t="s">
        <v>14</v>
      </c>
      <c r="K967" s="5" t="s">
        <v>14</v>
      </c>
      <c r="L967" s="3" t="str">
        <f>IF(Table1[[#This Row],[Monthly Income]]&lt;3000,"Low",IF(Table1[[#This Row],[Monthly Income]]&lt;7000,"Medium","High"))</f>
        <v>Medium</v>
      </c>
      <c r="AK967" s="6"/>
      <c r="AL967" s="6"/>
      <c r="AM967" s="6"/>
      <c r="AN967" s="6"/>
      <c r="AO967" s="6"/>
      <c r="AP967" s="6"/>
      <c r="AQ967" s="6"/>
      <c r="AR967" s="6"/>
      <c r="AS967" s="6"/>
      <c r="AU967" s="6"/>
      <c r="AV967" s="6"/>
      <c r="AW967" s="6"/>
      <c r="AX967" s="6"/>
      <c r="AY967" s="6"/>
      <c r="AZ967" s="6"/>
      <c r="BA967" s="6"/>
      <c r="BB967" s="6"/>
      <c r="BC967" s="6"/>
      <c r="BD967" s="6"/>
      <c r="BE967" s="6"/>
    </row>
    <row r="968" spans="2:57" x14ac:dyDescent="0.3">
      <c r="B968" s="4" t="s">
        <v>991</v>
      </c>
      <c r="C968" s="4">
        <v>58</v>
      </c>
      <c r="D968" s="4" t="s">
        <v>12</v>
      </c>
      <c r="E968" s="4" t="s">
        <v>15</v>
      </c>
      <c r="F968" s="4" t="s">
        <v>27</v>
      </c>
      <c r="G968" s="18">
        <v>10008</v>
      </c>
      <c r="H968" s="10">
        <v>10</v>
      </c>
      <c r="I968" s="4">
        <v>1</v>
      </c>
      <c r="J968" s="4" t="s">
        <v>9</v>
      </c>
      <c r="K968" s="3" t="s">
        <v>9</v>
      </c>
      <c r="L968" s="3" t="str">
        <f>IF(Table1[[#This Row],[Monthly Income]]&lt;3000,"Low",IF(Table1[[#This Row],[Monthly Income]]&lt;7000,"Medium","High"))</f>
        <v>High</v>
      </c>
      <c r="AK968" s="4"/>
      <c r="AL968" s="4"/>
      <c r="AM968" s="4"/>
      <c r="AN968" s="4"/>
      <c r="AO968" s="4"/>
      <c r="AP968" s="4"/>
      <c r="AQ968" s="4"/>
      <c r="AR968" s="4"/>
      <c r="AS968" s="4"/>
      <c r="AU968" s="4"/>
      <c r="AV968" s="4"/>
      <c r="AW968" s="4"/>
      <c r="AX968" s="4"/>
      <c r="AY968" s="4"/>
      <c r="AZ968" s="4"/>
      <c r="BA968" s="4"/>
      <c r="BB968" s="4"/>
      <c r="BC968" s="4"/>
      <c r="BD968" s="4"/>
      <c r="BE968" s="4"/>
    </row>
    <row r="969" spans="2:57" x14ac:dyDescent="0.3">
      <c r="B969" s="6" t="s">
        <v>992</v>
      </c>
      <c r="C969" s="6">
        <v>40</v>
      </c>
      <c r="D969" s="6" t="s">
        <v>17</v>
      </c>
      <c r="E969" s="6" t="s">
        <v>15</v>
      </c>
      <c r="F969" s="6" t="s">
        <v>20</v>
      </c>
      <c r="G969" s="19">
        <v>2387</v>
      </c>
      <c r="H969" s="11">
        <v>4</v>
      </c>
      <c r="I969" s="6">
        <v>2</v>
      </c>
      <c r="J969" s="6" t="s">
        <v>14</v>
      </c>
      <c r="K969" s="5" t="s">
        <v>14</v>
      </c>
      <c r="L969" s="3" t="str">
        <f>IF(Table1[[#This Row],[Monthly Income]]&lt;3000,"Low",IF(Table1[[#This Row],[Monthly Income]]&lt;7000,"Medium","High"))</f>
        <v>Low</v>
      </c>
      <c r="AK969" s="6"/>
      <c r="AL969" s="6"/>
      <c r="AM969" s="6"/>
      <c r="AN969" s="6"/>
      <c r="AO969" s="6"/>
      <c r="AP969" s="6"/>
      <c r="AQ969" s="6"/>
      <c r="AR969" s="6"/>
      <c r="AS969" s="6"/>
      <c r="AU969" s="6"/>
      <c r="AV969" s="6"/>
      <c r="AW969" s="6"/>
      <c r="AX969" s="6"/>
      <c r="AY969" s="6"/>
      <c r="AZ969" s="6"/>
      <c r="BA969" s="6"/>
      <c r="BB969" s="6"/>
      <c r="BC969" s="6"/>
      <c r="BD969" s="6"/>
      <c r="BE969" s="6"/>
    </row>
    <row r="970" spans="2:57" x14ac:dyDescent="0.3">
      <c r="B970" s="4" t="s">
        <v>993</v>
      </c>
      <c r="C970" s="4">
        <v>36</v>
      </c>
      <c r="D970" s="4" t="s">
        <v>12</v>
      </c>
      <c r="E970" s="4" t="s">
        <v>10</v>
      </c>
      <c r="F970" s="4" t="s">
        <v>13</v>
      </c>
      <c r="G970" s="18">
        <v>4639</v>
      </c>
      <c r="H970" s="10">
        <v>15</v>
      </c>
      <c r="I970" s="4">
        <v>1</v>
      </c>
      <c r="J970" s="4" t="s">
        <v>14</v>
      </c>
      <c r="K970" s="3" t="s">
        <v>14</v>
      </c>
      <c r="L970" s="3" t="str">
        <f>IF(Table1[[#This Row],[Monthly Income]]&lt;3000,"Low",IF(Table1[[#This Row],[Monthly Income]]&lt;7000,"Medium","High"))</f>
        <v>Medium</v>
      </c>
      <c r="AK970" s="4"/>
      <c r="AL970" s="4"/>
      <c r="AM970" s="4"/>
      <c r="AN970" s="4"/>
      <c r="AO970" s="4"/>
      <c r="AP970" s="4"/>
      <c r="AQ970" s="4"/>
      <c r="AR970" s="4"/>
      <c r="AS970" s="4"/>
      <c r="AU970" s="4"/>
      <c r="AV970" s="4"/>
      <c r="AW970" s="4"/>
      <c r="AX970" s="4"/>
      <c r="AY970" s="4"/>
      <c r="AZ970" s="4"/>
      <c r="BA970" s="4"/>
      <c r="BB970" s="4"/>
      <c r="BC970" s="4"/>
      <c r="BD970" s="4"/>
      <c r="BE970" s="4"/>
    </row>
    <row r="971" spans="2:57" x14ac:dyDescent="0.3">
      <c r="B971" s="6" t="s">
        <v>994</v>
      </c>
      <c r="C971" s="6">
        <v>48</v>
      </c>
      <c r="D971" s="6" t="s">
        <v>17</v>
      </c>
      <c r="E971" s="6" t="s">
        <v>15</v>
      </c>
      <c r="F971" s="6" t="s">
        <v>27</v>
      </c>
      <c r="G971" s="19">
        <v>7898</v>
      </c>
      <c r="H971" s="11">
        <v>10</v>
      </c>
      <c r="I971" s="6">
        <v>4</v>
      </c>
      <c r="J971" s="6" t="s">
        <v>14</v>
      </c>
      <c r="K971" s="5" t="s">
        <v>14</v>
      </c>
      <c r="L971" s="3" t="str">
        <f>IF(Table1[[#This Row],[Monthly Income]]&lt;3000,"Low",IF(Table1[[#This Row],[Monthly Income]]&lt;7000,"Medium","High"))</f>
        <v>High</v>
      </c>
      <c r="AK971" s="6"/>
      <c r="AL971" s="6"/>
      <c r="AM971" s="6"/>
      <c r="AN971" s="6"/>
      <c r="AO971" s="6"/>
      <c r="AP971" s="6"/>
      <c r="AQ971" s="6"/>
      <c r="AR971" s="6"/>
      <c r="AS971" s="6"/>
      <c r="AU971" s="6"/>
      <c r="AV971" s="6"/>
      <c r="AW971" s="6"/>
      <c r="AX971" s="6"/>
      <c r="AY971" s="6"/>
      <c r="AZ971" s="6"/>
      <c r="BA971" s="6"/>
      <c r="BB971" s="6"/>
      <c r="BC971" s="6"/>
      <c r="BD971" s="6"/>
      <c r="BE971" s="6"/>
    </row>
    <row r="972" spans="2:57" x14ac:dyDescent="0.3">
      <c r="B972" s="4" t="s">
        <v>995</v>
      </c>
      <c r="C972" s="4">
        <v>27</v>
      </c>
      <c r="D972" s="4" t="s">
        <v>12</v>
      </c>
      <c r="E972" s="4" t="s">
        <v>10</v>
      </c>
      <c r="F972" s="4" t="s">
        <v>43</v>
      </c>
      <c r="G972" s="18">
        <v>2534</v>
      </c>
      <c r="H972" s="10">
        <v>1</v>
      </c>
      <c r="I972" s="4">
        <v>4</v>
      </c>
      <c r="J972" s="4" t="s">
        <v>14</v>
      </c>
      <c r="K972" s="3" t="s">
        <v>14</v>
      </c>
      <c r="L972" s="3" t="str">
        <f>IF(Table1[[#This Row],[Monthly Income]]&lt;3000,"Low",IF(Table1[[#This Row],[Monthly Income]]&lt;7000,"Medium","High"))</f>
        <v>Low</v>
      </c>
      <c r="AK972" s="4"/>
      <c r="AL972" s="4"/>
      <c r="AM972" s="4"/>
      <c r="AN972" s="4"/>
      <c r="AO972" s="4"/>
      <c r="AP972" s="4"/>
      <c r="AQ972" s="4"/>
      <c r="AR972" s="4"/>
      <c r="AS972" s="4"/>
      <c r="AU972" s="4"/>
      <c r="AV972" s="4"/>
      <c r="AW972" s="4"/>
      <c r="AX972" s="4"/>
      <c r="AY972" s="4"/>
      <c r="AZ972" s="4"/>
      <c r="BA972" s="4"/>
      <c r="BB972" s="4"/>
      <c r="BC972" s="4"/>
      <c r="BD972" s="4"/>
      <c r="BE972" s="4"/>
    </row>
    <row r="973" spans="2:57" x14ac:dyDescent="0.3">
      <c r="B973" s="6" t="s">
        <v>996</v>
      </c>
      <c r="C973" s="6">
        <v>51</v>
      </c>
      <c r="D973" s="6" t="s">
        <v>12</v>
      </c>
      <c r="E973" s="6" t="s">
        <v>15</v>
      </c>
      <c r="F973" s="6" t="s">
        <v>27</v>
      </c>
      <c r="G973" s="19">
        <v>13142</v>
      </c>
      <c r="H973" s="11">
        <v>5</v>
      </c>
      <c r="I973" s="6">
        <v>2</v>
      </c>
      <c r="J973" s="6" t="s">
        <v>14</v>
      </c>
      <c r="K973" s="5" t="s">
        <v>14</v>
      </c>
      <c r="L973" s="3" t="str">
        <f>IF(Table1[[#This Row],[Monthly Income]]&lt;3000,"Low",IF(Table1[[#This Row],[Monthly Income]]&lt;7000,"Medium","High"))</f>
        <v>High</v>
      </c>
      <c r="AK973" s="6"/>
      <c r="AL973" s="6"/>
      <c r="AM973" s="6"/>
      <c r="AN973" s="6"/>
      <c r="AO973" s="6"/>
      <c r="AP973" s="6"/>
      <c r="AQ973" s="6"/>
      <c r="AR973" s="6"/>
      <c r="AS973" s="6"/>
      <c r="AU973" s="6"/>
      <c r="AV973" s="6"/>
      <c r="AW973" s="6"/>
      <c r="AX973" s="6"/>
      <c r="AY973" s="6"/>
      <c r="AZ973" s="6"/>
      <c r="BA973" s="6"/>
      <c r="BB973" s="6"/>
      <c r="BC973" s="6"/>
      <c r="BD973" s="6"/>
      <c r="BE973" s="6"/>
    </row>
    <row r="974" spans="2:57" x14ac:dyDescent="0.3">
      <c r="B974" s="4" t="s">
        <v>997</v>
      </c>
      <c r="C974" s="4">
        <v>18</v>
      </c>
      <c r="D974" s="4" t="s">
        <v>12</v>
      </c>
      <c r="E974" s="4" t="s">
        <v>15</v>
      </c>
      <c r="F974" s="4" t="s">
        <v>20</v>
      </c>
      <c r="G974" s="18">
        <v>1611</v>
      </c>
      <c r="H974" s="10">
        <v>0</v>
      </c>
      <c r="I974" s="4">
        <v>4</v>
      </c>
      <c r="J974" s="4" t="s">
        <v>14</v>
      </c>
      <c r="K974" s="3" t="s">
        <v>14</v>
      </c>
      <c r="L974" s="3" t="str">
        <f>IF(Table1[[#This Row],[Monthly Income]]&lt;3000,"Low",IF(Table1[[#This Row],[Monthly Income]]&lt;7000,"Medium","High"))</f>
        <v>Low</v>
      </c>
      <c r="AK974" s="4"/>
      <c r="AL974" s="4"/>
      <c r="AM974" s="4"/>
      <c r="AN974" s="4"/>
      <c r="AO974" s="4"/>
      <c r="AP974" s="4"/>
      <c r="AQ974" s="4"/>
      <c r="AR974" s="4"/>
      <c r="AS974" s="4"/>
      <c r="AU974" s="4"/>
      <c r="AV974" s="4"/>
      <c r="AW974" s="4"/>
      <c r="AX974" s="4"/>
      <c r="AY974" s="4"/>
      <c r="AZ974" s="4"/>
      <c r="BA974" s="4"/>
      <c r="BB974" s="4"/>
      <c r="BC974" s="4"/>
      <c r="BD974" s="4"/>
      <c r="BE974" s="4"/>
    </row>
    <row r="975" spans="2:57" x14ac:dyDescent="0.3">
      <c r="B975" s="6" t="s">
        <v>998</v>
      </c>
      <c r="C975" s="6">
        <v>35</v>
      </c>
      <c r="D975" s="6" t="s">
        <v>12</v>
      </c>
      <c r="E975" s="6" t="s">
        <v>15</v>
      </c>
      <c r="F975" s="6" t="s">
        <v>20</v>
      </c>
      <c r="G975" s="19">
        <v>5363</v>
      </c>
      <c r="H975" s="11">
        <v>9</v>
      </c>
      <c r="I975" s="6">
        <v>4</v>
      </c>
      <c r="J975" s="6" t="s">
        <v>14</v>
      </c>
      <c r="K975" s="5" t="s">
        <v>14</v>
      </c>
      <c r="L975" s="3" t="str">
        <f>IF(Table1[[#This Row],[Monthly Income]]&lt;3000,"Low",IF(Table1[[#This Row],[Monthly Income]]&lt;7000,"Medium","High"))</f>
        <v>Medium</v>
      </c>
      <c r="AK975" s="6"/>
      <c r="AL975" s="6"/>
      <c r="AM975" s="6"/>
      <c r="AN975" s="6"/>
      <c r="AO975" s="6"/>
      <c r="AP975" s="6"/>
      <c r="AQ975" s="6"/>
      <c r="AR975" s="6"/>
      <c r="AS975" s="6"/>
      <c r="AU975" s="6"/>
      <c r="AV975" s="6"/>
      <c r="AW975" s="6"/>
      <c r="AX975" s="6"/>
      <c r="AY975" s="6"/>
      <c r="AZ975" s="6"/>
      <c r="BA975" s="6"/>
      <c r="BB975" s="6"/>
      <c r="BC975" s="6"/>
      <c r="BD975" s="6"/>
      <c r="BE975" s="6"/>
    </row>
    <row r="976" spans="2:57" x14ac:dyDescent="0.3">
      <c r="B976" s="4" t="s">
        <v>999</v>
      </c>
      <c r="C976" s="4">
        <v>27</v>
      </c>
      <c r="D976" s="4" t="s">
        <v>17</v>
      </c>
      <c r="E976" s="4" t="s">
        <v>10</v>
      </c>
      <c r="F976" s="4" t="s">
        <v>13</v>
      </c>
      <c r="G976" s="18">
        <v>5071</v>
      </c>
      <c r="H976" s="10">
        <v>6</v>
      </c>
      <c r="I976" s="4">
        <v>4</v>
      </c>
      <c r="J976" s="4" t="s">
        <v>14</v>
      </c>
      <c r="K976" s="3" t="s">
        <v>14</v>
      </c>
      <c r="L976" s="3" t="str">
        <f>IF(Table1[[#This Row],[Monthly Income]]&lt;3000,"Low",IF(Table1[[#This Row],[Monthly Income]]&lt;7000,"Medium","High"))</f>
        <v>Medium</v>
      </c>
      <c r="AK976" s="4"/>
      <c r="AL976" s="4"/>
      <c r="AM976" s="4"/>
      <c r="AN976" s="4"/>
      <c r="AO976" s="4"/>
      <c r="AP976" s="4"/>
      <c r="AQ976" s="4"/>
      <c r="AR976" s="4"/>
      <c r="AS976" s="4"/>
      <c r="AU976" s="4"/>
      <c r="AV976" s="4"/>
      <c r="AW976" s="4"/>
      <c r="AX976" s="4"/>
      <c r="AY976" s="4"/>
      <c r="AZ976" s="4"/>
      <c r="BA976" s="4"/>
      <c r="BB976" s="4"/>
      <c r="BC976" s="4"/>
      <c r="BD976" s="4"/>
      <c r="BE976" s="4"/>
    </row>
    <row r="977" spans="2:57" x14ac:dyDescent="0.3">
      <c r="B977" s="6" t="s">
        <v>1000</v>
      </c>
      <c r="C977" s="6">
        <v>55</v>
      </c>
      <c r="D977" s="6" t="s">
        <v>17</v>
      </c>
      <c r="E977" s="6" t="s">
        <v>10</v>
      </c>
      <c r="F977" s="6" t="s">
        <v>13</v>
      </c>
      <c r="G977" s="19">
        <v>13695</v>
      </c>
      <c r="H977" s="11">
        <v>19</v>
      </c>
      <c r="I977" s="6">
        <v>3</v>
      </c>
      <c r="J977" s="6" t="s">
        <v>9</v>
      </c>
      <c r="K977" s="5" t="s">
        <v>9</v>
      </c>
      <c r="L977" s="3" t="str">
        <f>IF(Table1[[#This Row],[Monthly Income]]&lt;3000,"Low",IF(Table1[[#This Row],[Monthly Income]]&lt;7000,"Medium","High"))</f>
        <v>High</v>
      </c>
      <c r="AK977" s="6"/>
      <c r="AL977" s="6"/>
      <c r="AM977" s="6"/>
      <c r="AN977" s="6"/>
      <c r="AO977" s="6"/>
      <c r="AP977" s="6"/>
      <c r="AQ977" s="6"/>
      <c r="AR977" s="6"/>
      <c r="AS977" s="6"/>
      <c r="AU977" s="6"/>
      <c r="AV977" s="6"/>
      <c r="AW977" s="6"/>
      <c r="AX977" s="6"/>
      <c r="AY977" s="6"/>
      <c r="AZ977" s="6"/>
      <c r="BA977" s="6"/>
      <c r="BB977" s="6"/>
      <c r="BC977" s="6"/>
      <c r="BD977" s="6"/>
      <c r="BE977" s="6"/>
    </row>
    <row r="978" spans="2:57" x14ac:dyDescent="0.3">
      <c r="B978" s="4" t="s">
        <v>1001</v>
      </c>
      <c r="C978" s="4">
        <v>56</v>
      </c>
      <c r="D978" s="4" t="s">
        <v>17</v>
      </c>
      <c r="E978" s="4" t="s">
        <v>15</v>
      </c>
      <c r="F978" s="4" t="s">
        <v>27</v>
      </c>
      <c r="G978" s="18">
        <v>13402</v>
      </c>
      <c r="H978" s="10">
        <v>19</v>
      </c>
      <c r="I978" s="4">
        <v>2</v>
      </c>
      <c r="J978" s="4" t="s">
        <v>9</v>
      </c>
      <c r="K978" s="3" t="s">
        <v>14</v>
      </c>
      <c r="L978" s="3" t="str">
        <f>IF(Table1[[#This Row],[Monthly Income]]&lt;3000,"Low",IF(Table1[[#This Row],[Monthly Income]]&lt;7000,"Medium","High"))</f>
        <v>High</v>
      </c>
      <c r="AK978" s="4"/>
      <c r="AL978" s="4"/>
      <c r="AM978" s="4"/>
      <c r="AN978" s="4"/>
      <c r="AO978" s="4"/>
      <c r="AP978" s="4"/>
      <c r="AQ978" s="4"/>
      <c r="AR978" s="4"/>
      <c r="AS978" s="4"/>
      <c r="AU978" s="4"/>
      <c r="AV978" s="4"/>
      <c r="AW978" s="4"/>
      <c r="AX978" s="4"/>
      <c r="AY978" s="4"/>
      <c r="AZ978" s="4"/>
      <c r="BA978" s="4"/>
      <c r="BB978" s="4"/>
      <c r="BC978" s="4"/>
      <c r="BD978" s="4"/>
      <c r="BE978" s="4"/>
    </row>
    <row r="979" spans="2:57" x14ac:dyDescent="0.3">
      <c r="B979" s="6" t="s">
        <v>1002</v>
      </c>
      <c r="C979" s="6">
        <v>34</v>
      </c>
      <c r="D979" s="6" t="s">
        <v>12</v>
      </c>
      <c r="E979" s="6" t="s">
        <v>15</v>
      </c>
      <c r="F979" s="6" t="s">
        <v>18</v>
      </c>
      <c r="G979" s="19">
        <v>2029</v>
      </c>
      <c r="H979" s="11">
        <v>5</v>
      </c>
      <c r="I979" s="6">
        <v>3</v>
      </c>
      <c r="J979" s="6" t="s">
        <v>14</v>
      </c>
      <c r="K979" s="5" t="s">
        <v>14</v>
      </c>
      <c r="L979" s="3" t="str">
        <f>IF(Table1[[#This Row],[Monthly Income]]&lt;3000,"Low",IF(Table1[[#This Row],[Monthly Income]]&lt;7000,"Medium","High"))</f>
        <v>Low</v>
      </c>
      <c r="AK979" s="6"/>
      <c r="AL979" s="6"/>
      <c r="AM979" s="6"/>
      <c r="AN979" s="6"/>
      <c r="AO979" s="6"/>
      <c r="AP979" s="6"/>
      <c r="AQ979" s="6"/>
      <c r="AR979" s="6"/>
      <c r="AS979" s="6"/>
      <c r="AU979" s="6"/>
      <c r="AV979" s="6"/>
      <c r="AW979" s="6"/>
      <c r="AX979" s="6"/>
      <c r="AY979" s="6"/>
      <c r="AZ979" s="6"/>
      <c r="BA979" s="6"/>
      <c r="BB979" s="6"/>
      <c r="BC979" s="6"/>
      <c r="BD979" s="6"/>
      <c r="BE979" s="6"/>
    </row>
    <row r="980" spans="2:57" x14ac:dyDescent="0.3">
      <c r="B980" s="4" t="s">
        <v>1003</v>
      </c>
      <c r="C980" s="4">
        <v>40</v>
      </c>
      <c r="D980" s="4" t="s">
        <v>12</v>
      </c>
      <c r="E980" s="4" t="s">
        <v>15</v>
      </c>
      <c r="F980" s="4" t="s">
        <v>29</v>
      </c>
      <c r="G980" s="18">
        <v>6377</v>
      </c>
      <c r="H980" s="10">
        <v>12</v>
      </c>
      <c r="I980" s="4">
        <v>3</v>
      </c>
      <c r="J980" s="4" t="s">
        <v>14</v>
      </c>
      <c r="K980" s="3" t="s">
        <v>14</v>
      </c>
      <c r="L980" s="3" t="str">
        <f>IF(Table1[[#This Row],[Monthly Income]]&lt;3000,"Low",IF(Table1[[#This Row],[Monthly Income]]&lt;7000,"Medium","High"))</f>
        <v>Medium</v>
      </c>
      <c r="AK980" s="4"/>
      <c r="AL980" s="4"/>
      <c r="AM980" s="4"/>
      <c r="AN980" s="4"/>
      <c r="AO980" s="4"/>
      <c r="AP980" s="4"/>
      <c r="AQ980" s="4"/>
      <c r="AR980" s="4"/>
      <c r="AS980" s="4"/>
      <c r="AU980" s="4"/>
      <c r="AV980" s="4"/>
      <c r="AW980" s="4"/>
      <c r="AX980" s="4"/>
      <c r="AY980" s="4"/>
      <c r="AZ980" s="4"/>
      <c r="BA980" s="4"/>
      <c r="BB980" s="4"/>
      <c r="BC980" s="4"/>
      <c r="BD980" s="4"/>
      <c r="BE980" s="4"/>
    </row>
    <row r="981" spans="2:57" x14ac:dyDescent="0.3">
      <c r="B981" s="6" t="s">
        <v>1004</v>
      </c>
      <c r="C981" s="6">
        <v>34</v>
      </c>
      <c r="D981" s="6" t="s">
        <v>17</v>
      </c>
      <c r="E981" s="6" t="s">
        <v>15</v>
      </c>
      <c r="F981" s="6" t="s">
        <v>20</v>
      </c>
      <c r="G981" s="19">
        <v>5429</v>
      </c>
      <c r="H981" s="11">
        <v>8</v>
      </c>
      <c r="I981" s="6">
        <v>3</v>
      </c>
      <c r="J981" s="6" t="s">
        <v>14</v>
      </c>
      <c r="K981" s="5" t="s">
        <v>14</v>
      </c>
      <c r="L981" s="3" t="str">
        <f>IF(Table1[[#This Row],[Monthly Income]]&lt;3000,"Low",IF(Table1[[#This Row],[Monthly Income]]&lt;7000,"Medium","High"))</f>
        <v>Medium</v>
      </c>
      <c r="AK981" s="6"/>
      <c r="AL981" s="6"/>
      <c r="AM981" s="6"/>
      <c r="AN981" s="6"/>
      <c r="AO981" s="6"/>
      <c r="AP981" s="6"/>
      <c r="AQ981" s="6"/>
      <c r="AR981" s="6"/>
      <c r="AS981" s="6"/>
      <c r="AU981" s="6"/>
      <c r="AV981" s="6"/>
      <c r="AW981" s="6"/>
      <c r="AX981" s="6"/>
      <c r="AY981" s="6"/>
      <c r="AZ981" s="6"/>
      <c r="BA981" s="6"/>
      <c r="BB981" s="6"/>
      <c r="BC981" s="6"/>
      <c r="BD981" s="6"/>
      <c r="BE981" s="6"/>
    </row>
    <row r="982" spans="2:57" x14ac:dyDescent="0.3">
      <c r="B982" s="4" t="s">
        <v>1005</v>
      </c>
      <c r="C982" s="4">
        <v>31</v>
      </c>
      <c r="D982" s="4" t="s">
        <v>12</v>
      </c>
      <c r="E982" s="4" t="s">
        <v>10</v>
      </c>
      <c r="F982" s="4" t="s">
        <v>43</v>
      </c>
      <c r="G982" s="18">
        <v>2785</v>
      </c>
      <c r="H982" s="10">
        <v>1</v>
      </c>
      <c r="I982" s="4">
        <v>4</v>
      </c>
      <c r="J982" s="4" t="s">
        <v>14</v>
      </c>
      <c r="K982" s="3" t="s">
        <v>9</v>
      </c>
      <c r="L982" s="3" t="str">
        <f>IF(Table1[[#This Row],[Monthly Income]]&lt;3000,"Low",IF(Table1[[#This Row],[Monthly Income]]&lt;7000,"Medium","High"))</f>
        <v>Low</v>
      </c>
      <c r="AK982" s="4"/>
      <c r="AL982" s="4"/>
      <c r="AM982" s="4"/>
      <c r="AN982" s="4"/>
      <c r="AO982" s="4"/>
      <c r="AP982" s="4"/>
      <c r="AQ982" s="4"/>
      <c r="AR982" s="4"/>
      <c r="AS982" s="4"/>
      <c r="AU982" s="4"/>
      <c r="AV982" s="4"/>
      <c r="AW982" s="4"/>
      <c r="AX982" s="4"/>
      <c r="AY982" s="4"/>
      <c r="AZ982" s="4"/>
      <c r="BA982" s="4"/>
      <c r="BB982" s="4"/>
      <c r="BC982" s="4"/>
      <c r="BD982" s="4"/>
      <c r="BE982" s="4"/>
    </row>
    <row r="983" spans="2:57" x14ac:dyDescent="0.3">
      <c r="B983" s="6" t="s">
        <v>1006</v>
      </c>
      <c r="C983" s="6">
        <v>35</v>
      </c>
      <c r="D983" s="6" t="s">
        <v>12</v>
      </c>
      <c r="E983" s="6" t="s">
        <v>10</v>
      </c>
      <c r="F983" s="6" t="s">
        <v>13</v>
      </c>
      <c r="G983" s="19">
        <v>4614</v>
      </c>
      <c r="H983" s="11">
        <v>4</v>
      </c>
      <c r="I983" s="6">
        <v>3</v>
      </c>
      <c r="J983" s="6" t="s">
        <v>9</v>
      </c>
      <c r="K983" s="5" t="s">
        <v>9</v>
      </c>
      <c r="L983" s="3" t="str">
        <f>IF(Table1[[#This Row],[Monthly Income]]&lt;3000,"Low",IF(Table1[[#This Row],[Monthly Income]]&lt;7000,"Medium","High"))</f>
        <v>Medium</v>
      </c>
      <c r="AK983" s="6"/>
      <c r="AL983" s="6"/>
      <c r="AM983" s="6"/>
      <c r="AN983" s="6"/>
      <c r="AO983" s="6"/>
      <c r="AP983" s="6"/>
      <c r="AQ983" s="6"/>
      <c r="AR983" s="6"/>
      <c r="AS983" s="6"/>
      <c r="AU983" s="6"/>
      <c r="AV983" s="6"/>
      <c r="AW983" s="6"/>
      <c r="AX983" s="6"/>
      <c r="AY983" s="6"/>
      <c r="AZ983" s="6"/>
      <c r="BA983" s="6"/>
      <c r="BB983" s="6"/>
      <c r="BC983" s="6"/>
      <c r="BD983" s="6"/>
      <c r="BE983" s="6"/>
    </row>
    <row r="984" spans="2:57" x14ac:dyDescent="0.3">
      <c r="B984" s="4" t="s">
        <v>1007</v>
      </c>
      <c r="C984" s="4">
        <v>38</v>
      </c>
      <c r="D984" s="4" t="s">
        <v>17</v>
      </c>
      <c r="E984" s="4" t="s">
        <v>15</v>
      </c>
      <c r="F984" s="4" t="s">
        <v>18</v>
      </c>
      <c r="G984" s="18">
        <v>2610</v>
      </c>
      <c r="H984" s="10">
        <v>4</v>
      </c>
      <c r="I984" s="4">
        <v>3</v>
      </c>
      <c r="J984" s="4" t="s">
        <v>14</v>
      </c>
      <c r="K984" s="3" t="s">
        <v>14</v>
      </c>
      <c r="L984" s="3" t="str">
        <f>IF(Table1[[#This Row],[Monthly Income]]&lt;3000,"Low",IF(Table1[[#This Row],[Monthly Income]]&lt;7000,"Medium","High"))</f>
        <v>Low</v>
      </c>
      <c r="AK984" s="4"/>
      <c r="AL984" s="4"/>
      <c r="AM984" s="4"/>
      <c r="AN984" s="4"/>
      <c r="AO984" s="4"/>
      <c r="AP984" s="4"/>
      <c r="AQ984" s="4"/>
      <c r="AR984" s="4"/>
      <c r="AS984" s="4"/>
      <c r="AU984" s="4"/>
      <c r="AV984" s="4"/>
      <c r="AW984" s="4"/>
      <c r="AX984" s="4"/>
      <c r="AY984" s="4"/>
      <c r="AZ984" s="4"/>
      <c r="BA984" s="4"/>
      <c r="BB984" s="4"/>
      <c r="BC984" s="4"/>
      <c r="BD984" s="4"/>
      <c r="BE984" s="4"/>
    </row>
    <row r="985" spans="2:57" x14ac:dyDescent="0.3">
      <c r="B985" s="6" t="s">
        <v>1008</v>
      </c>
      <c r="C985" s="6">
        <v>34</v>
      </c>
      <c r="D985" s="6" t="s">
        <v>12</v>
      </c>
      <c r="E985" s="6" t="s">
        <v>15</v>
      </c>
      <c r="F985" s="6" t="s">
        <v>29</v>
      </c>
      <c r="G985" s="19">
        <v>6687</v>
      </c>
      <c r="H985" s="11">
        <v>14</v>
      </c>
      <c r="I985" s="6">
        <v>4</v>
      </c>
      <c r="J985" s="6" t="s">
        <v>14</v>
      </c>
      <c r="K985" s="5" t="s">
        <v>14</v>
      </c>
      <c r="L985" s="3" t="str">
        <f>IF(Table1[[#This Row],[Monthly Income]]&lt;3000,"Low",IF(Table1[[#This Row],[Monthly Income]]&lt;7000,"Medium","High"))</f>
        <v>Medium</v>
      </c>
      <c r="AK985" s="6"/>
      <c r="AL985" s="6"/>
      <c r="AM985" s="6"/>
      <c r="AN985" s="6"/>
      <c r="AO985" s="6"/>
      <c r="AP985" s="6"/>
      <c r="AQ985" s="6"/>
      <c r="AR985" s="6"/>
      <c r="AS985" s="6"/>
      <c r="AU985" s="6"/>
      <c r="AV985" s="6"/>
      <c r="AW985" s="6"/>
      <c r="AX985" s="6"/>
      <c r="AY985" s="6"/>
      <c r="AZ985" s="6"/>
      <c r="BA985" s="6"/>
      <c r="BB985" s="6"/>
      <c r="BC985" s="6"/>
      <c r="BD985" s="6"/>
      <c r="BE985" s="6"/>
    </row>
    <row r="986" spans="2:57" x14ac:dyDescent="0.3">
      <c r="B986" s="4" t="s">
        <v>1009</v>
      </c>
      <c r="C986" s="4">
        <v>28</v>
      </c>
      <c r="D986" s="4" t="s">
        <v>17</v>
      </c>
      <c r="E986" s="4" t="s">
        <v>10</v>
      </c>
      <c r="F986" s="4" t="s">
        <v>13</v>
      </c>
      <c r="G986" s="18">
        <v>4724</v>
      </c>
      <c r="H986" s="10">
        <v>5</v>
      </c>
      <c r="I986" s="4">
        <v>1</v>
      </c>
      <c r="J986" s="4" t="s">
        <v>14</v>
      </c>
      <c r="K986" s="3" t="s">
        <v>14</v>
      </c>
      <c r="L986" s="3" t="str">
        <f>IF(Table1[[#This Row],[Monthly Income]]&lt;3000,"Low",IF(Table1[[#This Row],[Monthly Income]]&lt;7000,"Medium","High"))</f>
        <v>Medium</v>
      </c>
      <c r="AK986" s="4"/>
      <c r="AL986" s="4"/>
      <c r="AM986" s="4"/>
      <c r="AN986" s="4"/>
      <c r="AO986" s="4"/>
      <c r="AP986" s="4"/>
      <c r="AQ986" s="4"/>
      <c r="AR986" s="4"/>
      <c r="AS986" s="4"/>
      <c r="AU986" s="4"/>
      <c r="AV986" s="4"/>
      <c r="AW986" s="4"/>
      <c r="AX986" s="4"/>
      <c r="AY986" s="4"/>
      <c r="AZ986" s="4"/>
      <c r="BA986" s="4"/>
      <c r="BB986" s="4"/>
      <c r="BC986" s="4"/>
      <c r="BD986" s="4"/>
      <c r="BE986" s="4"/>
    </row>
    <row r="987" spans="2:57" x14ac:dyDescent="0.3">
      <c r="B987" s="6" t="s">
        <v>1010</v>
      </c>
      <c r="C987" s="6">
        <v>31</v>
      </c>
      <c r="D987" s="6" t="s">
        <v>17</v>
      </c>
      <c r="E987" s="6" t="s">
        <v>15</v>
      </c>
      <c r="F987" s="6" t="s">
        <v>27</v>
      </c>
      <c r="G987" s="19">
        <v>6179</v>
      </c>
      <c r="H987" s="11">
        <v>10</v>
      </c>
      <c r="I987" s="6">
        <v>3</v>
      </c>
      <c r="J987" s="6" t="s">
        <v>9</v>
      </c>
      <c r="K987" s="5" t="s">
        <v>9</v>
      </c>
      <c r="L987" s="3" t="str">
        <f>IF(Table1[[#This Row],[Monthly Income]]&lt;3000,"Low",IF(Table1[[#This Row],[Monthly Income]]&lt;7000,"Medium","High"))</f>
        <v>Medium</v>
      </c>
      <c r="AK987" s="6"/>
      <c r="AL987" s="6"/>
      <c r="AM987" s="6"/>
      <c r="AN987" s="6"/>
      <c r="AO987" s="6"/>
      <c r="AP987" s="6"/>
      <c r="AQ987" s="6"/>
      <c r="AR987" s="6"/>
      <c r="AS987" s="6"/>
      <c r="AU987" s="6"/>
      <c r="AV987" s="6"/>
      <c r="AW987" s="6"/>
      <c r="AX987" s="6"/>
      <c r="AY987" s="6"/>
      <c r="AZ987" s="6"/>
      <c r="BA987" s="6"/>
      <c r="BB987" s="6"/>
      <c r="BC987" s="6"/>
      <c r="BD987" s="6"/>
      <c r="BE987" s="6"/>
    </row>
    <row r="988" spans="2:57" x14ac:dyDescent="0.3">
      <c r="B988" s="4" t="s">
        <v>1011</v>
      </c>
      <c r="C988" s="4">
        <v>39</v>
      </c>
      <c r="D988" s="4" t="s">
        <v>17</v>
      </c>
      <c r="E988" s="4" t="s">
        <v>10</v>
      </c>
      <c r="F988" s="4" t="s">
        <v>13</v>
      </c>
      <c r="G988" s="18">
        <v>6120</v>
      </c>
      <c r="H988" s="10">
        <v>5</v>
      </c>
      <c r="I988" s="4">
        <v>4</v>
      </c>
      <c r="J988" s="4" t="s">
        <v>9</v>
      </c>
      <c r="K988" s="3" t="s">
        <v>14</v>
      </c>
      <c r="L988" s="3" t="str">
        <f>IF(Table1[[#This Row],[Monthly Income]]&lt;3000,"Low",IF(Table1[[#This Row],[Monthly Income]]&lt;7000,"Medium","High"))</f>
        <v>Medium</v>
      </c>
      <c r="AK988" s="4"/>
      <c r="AL988" s="4"/>
      <c r="AM988" s="4"/>
      <c r="AN988" s="4"/>
      <c r="AO988" s="4"/>
      <c r="AP988" s="4"/>
      <c r="AQ988" s="4"/>
      <c r="AR988" s="4"/>
      <c r="AS988" s="4"/>
      <c r="AU988" s="4"/>
      <c r="AV988" s="4"/>
      <c r="AW988" s="4"/>
      <c r="AX988" s="4"/>
      <c r="AY988" s="4"/>
      <c r="AZ988" s="4"/>
      <c r="BA988" s="4"/>
      <c r="BB988" s="4"/>
      <c r="BC988" s="4"/>
      <c r="BD988" s="4"/>
      <c r="BE988" s="4"/>
    </row>
    <row r="989" spans="2:57" x14ac:dyDescent="0.3">
      <c r="B989" s="6" t="s">
        <v>1012</v>
      </c>
      <c r="C989" s="6">
        <v>51</v>
      </c>
      <c r="D989" s="6" t="s">
        <v>17</v>
      </c>
      <c r="E989" s="6" t="s">
        <v>10</v>
      </c>
      <c r="F989" s="6" t="s">
        <v>13</v>
      </c>
      <c r="G989" s="19">
        <v>10596</v>
      </c>
      <c r="H989" s="11">
        <v>4</v>
      </c>
      <c r="I989" s="6">
        <v>2</v>
      </c>
      <c r="J989" s="6" t="s">
        <v>14</v>
      </c>
      <c r="K989" s="5" t="s">
        <v>14</v>
      </c>
      <c r="L989" s="3" t="str">
        <f>IF(Table1[[#This Row],[Monthly Income]]&lt;3000,"Low",IF(Table1[[#This Row],[Monthly Income]]&lt;7000,"Medium","High"))</f>
        <v>High</v>
      </c>
      <c r="AK989" s="6"/>
      <c r="AL989" s="6"/>
      <c r="AM989" s="6"/>
      <c r="AN989" s="6"/>
      <c r="AO989" s="6"/>
      <c r="AP989" s="6"/>
      <c r="AQ989" s="6"/>
      <c r="AR989" s="6"/>
      <c r="AS989" s="6"/>
      <c r="AU989" s="6"/>
      <c r="AV989" s="6"/>
      <c r="AW989" s="6"/>
      <c r="AX989" s="6"/>
      <c r="AY989" s="6"/>
      <c r="AZ989" s="6"/>
      <c r="BA989" s="6"/>
      <c r="BB989" s="6"/>
      <c r="BC989" s="6"/>
      <c r="BD989" s="6"/>
      <c r="BE989" s="6"/>
    </row>
    <row r="990" spans="2:57" x14ac:dyDescent="0.3">
      <c r="B990" s="4" t="s">
        <v>1013</v>
      </c>
      <c r="C990" s="4">
        <v>41</v>
      </c>
      <c r="D990" s="4" t="s">
        <v>12</v>
      </c>
      <c r="E990" s="4" t="s">
        <v>15</v>
      </c>
      <c r="F990" s="4" t="s">
        <v>18</v>
      </c>
      <c r="G990" s="18">
        <v>5467</v>
      </c>
      <c r="H990" s="10">
        <v>6</v>
      </c>
      <c r="I990" s="4">
        <v>4</v>
      </c>
      <c r="J990" s="4" t="s">
        <v>9</v>
      </c>
      <c r="K990" s="3" t="s">
        <v>14</v>
      </c>
      <c r="L990" s="3" t="str">
        <f>IF(Table1[[#This Row],[Monthly Income]]&lt;3000,"Low",IF(Table1[[#This Row],[Monthly Income]]&lt;7000,"Medium","High"))</f>
        <v>Medium</v>
      </c>
      <c r="AK990" s="4"/>
      <c r="AL990" s="4"/>
      <c r="AM990" s="4"/>
      <c r="AN990" s="4"/>
      <c r="AO990" s="4"/>
      <c r="AP990" s="4"/>
      <c r="AQ990" s="4"/>
      <c r="AR990" s="4"/>
      <c r="AS990" s="4"/>
      <c r="AU990" s="4"/>
      <c r="AV990" s="4"/>
      <c r="AW990" s="4"/>
      <c r="AX990" s="4"/>
      <c r="AY990" s="4"/>
      <c r="AZ990" s="4"/>
      <c r="BA990" s="4"/>
      <c r="BB990" s="4"/>
      <c r="BC990" s="4"/>
      <c r="BD990" s="4"/>
      <c r="BE990" s="4"/>
    </row>
    <row r="991" spans="2:57" x14ac:dyDescent="0.3">
      <c r="B991" s="6" t="s">
        <v>1014</v>
      </c>
      <c r="C991" s="6">
        <v>37</v>
      </c>
      <c r="D991" s="6" t="s">
        <v>17</v>
      </c>
      <c r="E991" s="6" t="s">
        <v>15</v>
      </c>
      <c r="F991" s="6" t="s">
        <v>18</v>
      </c>
      <c r="G991" s="19">
        <v>2996</v>
      </c>
      <c r="H991" s="11">
        <v>6</v>
      </c>
      <c r="I991" s="6">
        <v>3</v>
      </c>
      <c r="J991" s="6" t="s">
        <v>9</v>
      </c>
      <c r="K991" s="5" t="s">
        <v>14</v>
      </c>
      <c r="L991" s="3" t="str">
        <f>IF(Table1[[#This Row],[Monthly Income]]&lt;3000,"Low",IF(Table1[[#This Row],[Monthly Income]]&lt;7000,"Medium","High"))</f>
        <v>Low</v>
      </c>
      <c r="AK991" s="6"/>
      <c r="AL991" s="6"/>
      <c r="AM991" s="6"/>
      <c r="AN991" s="6"/>
      <c r="AO991" s="6"/>
      <c r="AP991" s="6"/>
      <c r="AQ991" s="6"/>
      <c r="AR991" s="6"/>
      <c r="AS991" s="6"/>
      <c r="AU991" s="6"/>
      <c r="AV991" s="6"/>
      <c r="AW991" s="6"/>
      <c r="AX991" s="6"/>
      <c r="AY991" s="6"/>
      <c r="AZ991" s="6"/>
      <c r="BA991" s="6"/>
      <c r="BB991" s="6"/>
      <c r="BC991" s="6"/>
      <c r="BD991" s="6"/>
      <c r="BE991" s="6"/>
    </row>
    <row r="992" spans="2:57" x14ac:dyDescent="0.3">
      <c r="B992" s="4" t="s">
        <v>1015</v>
      </c>
      <c r="C992" s="4">
        <v>33</v>
      </c>
      <c r="D992" s="4" t="s">
        <v>17</v>
      </c>
      <c r="E992" s="4" t="s">
        <v>10</v>
      </c>
      <c r="F992" s="4" t="s">
        <v>13</v>
      </c>
      <c r="G992" s="18">
        <v>9998</v>
      </c>
      <c r="H992" s="10">
        <v>5</v>
      </c>
      <c r="I992" s="4">
        <v>4</v>
      </c>
      <c r="J992" s="4" t="s">
        <v>14</v>
      </c>
      <c r="K992" s="3" t="s">
        <v>14</v>
      </c>
      <c r="L992" s="3" t="str">
        <f>IF(Table1[[#This Row],[Monthly Income]]&lt;3000,"Low",IF(Table1[[#This Row],[Monthly Income]]&lt;7000,"Medium","High"))</f>
        <v>High</v>
      </c>
      <c r="AK992" s="4"/>
      <c r="AL992" s="4"/>
      <c r="AM992" s="4"/>
      <c r="AN992" s="4"/>
      <c r="AO992" s="4"/>
      <c r="AP992" s="4"/>
      <c r="AQ992" s="4"/>
      <c r="AR992" s="4"/>
      <c r="AS992" s="4"/>
      <c r="AU992" s="4"/>
      <c r="AV992" s="4"/>
      <c r="AW992" s="4"/>
      <c r="AX992" s="4"/>
      <c r="AY992" s="4"/>
      <c r="AZ992" s="4"/>
      <c r="BA992" s="4"/>
      <c r="BB992" s="4"/>
      <c r="BC992" s="4"/>
      <c r="BD992" s="4"/>
      <c r="BE992" s="4"/>
    </row>
    <row r="993" spans="2:57" x14ac:dyDescent="0.3">
      <c r="B993" s="6" t="s">
        <v>1016</v>
      </c>
      <c r="C993" s="6">
        <v>32</v>
      </c>
      <c r="D993" s="6" t="s">
        <v>17</v>
      </c>
      <c r="E993" s="6" t="s">
        <v>10</v>
      </c>
      <c r="F993" s="6" t="s">
        <v>13</v>
      </c>
      <c r="G993" s="19">
        <v>4078</v>
      </c>
      <c r="H993" s="11">
        <v>3</v>
      </c>
      <c r="I993" s="6">
        <v>2</v>
      </c>
      <c r="J993" s="6" t="s">
        <v>9</v>
      </c>
      <c r="K993" s="5" t="s">
        <v>14</v>
      </c>
      <c r="L993" s="3" t="str">
        <f>IF(Table1[[#This Row],[Monthly Income]]&lt;3000,"Low",IF(Table1[[#This Row],[Monthly Income]]&lt;7000,"Medium","High"))</f>
        <v>Medium</v>
      </c>
      <c r="AK993" s="6"/>
      <c r="AL993" s="6"/>
      <c r="AM993" s="6"/>
      <c r="AN993" s="6"/>
      <c r="AO993" s="6"/>
      <c r="AP993" s="6"/>
      <c r="AQ993" s="6"/>
      <c r="AR993" s="6"/>
      <c r="AS993" s="6"/>
      <c r="AU993" s="6"/>
      <c r="AV993" s="6"/>
      <c r="AW993" s="6"/>
      <c r="AX993" s="6"/>
      <c r="AY993" s="6"/>
      <c r="AZ993" s="6"/>
      <c r="BA993" s="6"/>
      <c r="BB993" s="6"/>
      <c r="BC993" s="6"/>
      <c r="BD993" s="6"/>
      <c r="BE993" s="6"/>
    </row>
    <row r="994" spans="2:57" x14ac:dyDescent="0.3">
      <c r="B994" s="4" t="s">
        <v>1017</v>
      </c>
      <c r="C994" s="4">
        <v>39</v>
      </c>
      <c r="D994" s="4" t="s">
        <v>17</v>
      </c>
      <c r="E994" s="4" t="s">
        <v>15</v>
      </c>
      <c r="F994" s="4" t="s">
        <v>29</v>
      </c>
      <c r="G994" s="18">
        <v>10920</v>
      </c>
      <c r="H994" s="10">
        <v>6</v>
      </c>
      <c r="I994" s="4">
        <v>3</v>
      </c>
      <c r="J994" s="4" t="s">
        <v>14</v>
      </c>
      <c r="K994" s="3" t="s">
        <v>14</v>
      </c>
      <c r="L994" s="3" t="str">
        <f>IF(Table1[[#This Row],[Monthly Income]]&lt;3000,"Low",IF(Table1[[#This Row],[Monthly Income]]&lt;7000,"Medium","High"))</f>
        <v>High</v>
      </c>
      <c r="AK994" s="4"/>
      <c r="AL994" s="4"/>
      <c r="AM994" s="4"/>
      <c r="AN994" s="4"/>
      <c r="AO994" s="4"/>
      <c r="AP994" s="4"/>
      <c r="AQ994" s="4"/>
      <c r="AR994" s="4"/>
      <c r="AS994" s="4"/>
      <c r="AU994" s="4"/>
      <c r="AV994" s="4"/>
      <c r="AW994" s="4"/>
      <c r="AX994" s="4"/>
      <c r="AY994" s="4"/>
      <c r="AZ994" s="4"/>
      <c r="BA994" s="4"/>
      <c r="BB994" s="4"/>
      <c r="BC994" s="4"/>
      <c r="BD994" s="4"/>
      <c r="BE994" s="4"/>
    </row>
    <row r="995" spans="2:57" x14ac:dyDescent="0.3">
      <c r="B995" s="6" t="s">
        <v>1018</v>
      </c>
      <c r="C995" s="6">
        <v>25</v>
      </c>
      <c r="D995" s="6" t="s">
        <v>17</v>
      </c>
      <c r="E995" s="6" t="s">
        <v>10</v>
      </c>
      <c r="F995" s="6" t="s">
        <v>13</v>
      </c>
      <c r="G995" s="19">
        <v>6232</v>
      </c>
      <c r="H995" s="11">
        <v>3</v>
      </c>
      <c r="I995" s="6">
        <v>3</v>
      </c>
      <c r="J995" s="6" t="s">
        <v>14</v>
      </c>
      <c r="K995" s="5" t="s">
        <v>14</v>
      </c>
      <c r="L995" s="3" t="str">
        <f>IF(Table1[[#This Row],[Monthly Income]]&lt;3000,"Low",IF(Table1[[#This Row],[Monthly Income]]&lt;7000,"Medium","High"))</f>
        <v>Medium</v>
      </c>
      <c r="AK995" s="6"/>
      <c r="AL995" s="6"/>
      <c r="AM995" s="6"/>
      <c r="AN995" s="6"/>
      <c r="AO995" s="6"/>
      <c r="AP995" s="6"/>
      <c r="AQ995" s="6"/>
      <c r="AR995" s="6"/>
      <c r="AS995" s="6"/>
      <c r="AU995" s="6"/>
      <c r="AV995" s="6"/>
      <c r="AW995" s="6"/>
      <c r="AX995" s="6"/>
      <c r="AY995" s="6"/>
      <c r="AZ995" s="6"/>
      <c r="BA995" s="6"/>
      <c r="BB995" s="6"/>
      <c r="BC995" s="6"/>
      <c r="BD995" s="6"/>
      <c r="BE995" s="6"/>
    </row>
    <row r="996" spans="2:57" x14ac:dyDescent="0.3">
      <c r="B996" s="4" t="s">
        <v>1019</v>
      </c>
      <c r="C996" s="4">
        <v>52</v>
      </c>
      <c r="D996" s="4" t="s">
        <v>12</v>
      </c>
      <c r="E996" s="4" t="s">
        <v>15</v>
      </c>
      <c r="F996" s="4" t="s">
        <v>27</v>
      </c>
      <c r="G996" s="18">
        <v>13247</v>
      </c>
      <c r="H996" s="10">
        <v>5</v>
      </c>
      <c r="I996" s="4">
        <v>3</v>
      </c>
      <c r="J996" s="4" t="s">
        <v>9</v>
      </c>
      <c r="K996" s="3" t="s">
        <v>14</v>
      </c>
      <c r="L996" s="3" t="str">
        <f>IF(Table1[[#This Row],[Monthly Income]]&lt;3000,"Low",IF(Table1[[#This Row],[Monthly Income]]&lt;7000,"Medium","High"))</f>
        <v>High</v>
      </c>
      <c r="AK996" s="4"/>
      <c r="AL996" s="4"/>
      <c r="AM996" s="4"/>
      <c r="AN996" s="4"/>
      <c r="AO996" s="4"/>
      <c r="AP996" s="4"/>
      <c r="AQ996" s="4"/>
      <c r="AR996" s="4"/>
      <c r="AS996" s="4"/>
      <c r="AU996" s="4"/>
      <c r="AV996" s="4"/>
      <c r="AW996" s="4"/>
      <c r="AX996" s="4"/>
      <c r="AY996" s="4"/>
      <c r="AZ996" s="4"/>
      <c r="BA996" s="4"/>
      <c r="BB996" s="4"/>
      <c r="BC996" s="4"/>
      <c r="BD996" s="4"/>
      <c r="BE996" s="4"/>
    </row>
    <row r="997" spans="2:57" x14ac:dyDescent="0.3">
      <c r="B997" s="6" t="s">
        <v>1020</v>
      </c>
      <c r="C997" s="6">
        <v>43</v>
      </c>
      <c r="D997" s="6" t="s">
        <v>12</v>
      </c>
      <c r="E997" s="6" t="s">
        <v>15</v>
      </c>
      <c r="F997" s="6" t="s">
        <v>18</v>
      </c>
      <c r="G997" s="19">
        <v>4081</v>
      </c>
      <c r="H997" s="11">
        <v>20</v>
      </c>
      <c r="I997" s="6">
        <v>3</v>
      </c>
      <c r="J997" s="6" t="s">
        <v>9</v>
      </c>
      <c r="K997" s="5" t="s">
        <v>14</v>
      </c>
      <c r="L997" s="3" t="str">
        <f>IF(Table1[[#This Row],[Monthly Income]]&lt;3000,"Low",IF(Table1[[#This Row],[Monthly Income]]&lt;7000,"Medium","High"))</f>
        <v>Medium</v>
      </c>
      <c r="AK997" s="6"/>
      <c r="AL997" s="6"/>
      <c r="AM997" s="6"/>
      <c r="AN997" s="6"/>
      <c r="AO997" s="6"/>
      <c r="AP997" s="6"/>
      <c r="AQ997" s="6"/>
      <c r="AR997" s="6"/>
      <c r="AS997" s="6"/>
      <c r="AU997" s="6"/>
      <c r="AV997" s="6"/>
      <c r="AW997" s="6"/>
      <c r="AX997" s="6"/>
      <c r="AY997" s="6"/>
      <c r="AZ997" s="6"/>
      <c r="BA997" s="6"/>
      <c r="BB997" s="6"/>
      <c r="BC997" s="6"/>
      <c r="BD997" s="6"/>
      <c r="BE997" s="6"/>
    </row>
    <row r="998" spans="2:57" x14ac:dyDescent="0.3">
      <c r="B998" s="4" t="s">
        <v>1021</v>
      </c>
      <c r="C998" s="4">
        <v>27</v>
      </c>
      <c r="D998" s="4" t="s">
        <v>12</v>
      </c>
      <c r="E998" s="4" t="s">
        <v>10</v>
      </c>
      <c r="F998" s="4" t="s">
        <v>13</v>
      </c>
      <c r="G998" s="18">
        <v>5769</v>
      </c>
      <c r="H998" s="10">
        <v>6</v>
      </c>
      <c r="I998" s="4">
        <v>4</v>
      </c>
      <c r="J998" s="4" t="s">
        <v>9</v>
      </c>
      <c r="K998" s="3" t="s">
        <v>14</v>
      </c>
      <c r="L998" s="3" t="str">
        <f>IF(Table1[[#This Row],[Monthly Income]]&lt;3000,"Low",IF(Table1[[#This Row],[Monthly Income]]&lt;7000,"Medium","High"))</f>
        <v>Medium</v>
      </c>
      <c r="AK998" s="4"/>
      <c r="AL998" s="4"/>
      <c r="AM998" s="4"/>
      <c r="AN998" s="4"/>
      <c r="AO998" s="4"/>
      <c r="AP998" s="4"/>
      <c r="AQ998" s="4"/>
      <c r="AR998" s="4"/>
      <c r="AS998" s="4"/>
      <c r="AU998" s="4"/>
      <c r="AV998" s="4"/>
      <c r="AW998" s="4"/>
      <c r="AX998" s="4"/>
      <c r="AY998" s="4"/>
      <c r="AZ998" s="4"/>
      <c r="BA998" s="4"/>
      <c r="BB998" s="4"/>
      <c r="BC998" s="4"/>
      <c r="BD998" s="4"/>
      <c r="BE998" s="4"/>
    </row>
    <row r="999" spans="2:57" x14ac:dyDescent="0.3">
      <c r="B999" s="6" t="s">
        <v>1022</v>
      </c>
      <c r="C999" s="6">
        <v>27</v>
      </c>
      <c r="D999" s="6" t="s">
        <v>12</v>
      </c>
      <c r="E999" s="6" t="s">
        <v>15</v>
      </c>
      <c r="F999" s="6" t="s">
        <v>18</v>
      </c>
      <c r="G999" s="19">
        <v>2394</v>
      </c>
      <c r="H999" s="11">
        <v>8</v>
      </c>
      <c r="I999" s="6">
        <v>3</v>
      </c>
      <c r="J999" s="6" t="s">
        <v>9</v>
      </c>
      <c r="K999" s="5" t="s">
        <v>9</v>
      </c>
      <c r="L999" s="3" t="str">
        <f>IF(Table1[[#This Row],[Monthly Income]]&lt;3000,"Low",IF(Table1[[#This Row],[Monthly Income]]&lt;7000,"Medium","High"))</f>
        <v>Low</v>
      </c>
      <c r="AK999" s="6"/>
      <c r="AL999" s="6"/>
      <c r="AM999" s="6"/>
      <c r="AN999" s="6"/>
      <c r="AO999" s="6"/>
      <c r="AP999" s="6"/>
      <c r="AQ999" s="6"/>
      <c r="AR999" s="6"/>
      <c r="AS999" s="6"/>
      <c r="AU999" s="6"/>
      <c r="AV999" s="6"/>
      <c r="AW999" s="6"/>
      <c r="AX999" s="6"/>
      <c r="AY999" s="6"/>
      <c r="AZ999" s="6"/>
      <c r="BA999" s="6"/>
      <c r="BB999" s="6"/>
      <c r="BC999" s="6"/>
      <c r="BD999" s="6"/>
      <c r="BE999" s="6"/>
    </row>
    <row r="1000" spans="2:57" x14ac:dyDescent="0.3">
      <c r="B1000" s="4" t="s">
        <v>1023</v>
      </c>
      <c r="C1000" s="4">
        <v>26</v>
      </c>
      <c r="D1000" s="4" t="s">
        <v>17</v>
      </c>
      <c r="E1000" s="4" t="s">
        <v>15</v>
      </c>
      <c r="F1000" s="4" t="s">
        <v>18</v>
      </c>
      <c r="G1000" s="18">
        <v>3904</v>
      </c>
      <c r="H1000" s="10">
        <v>4</v>
      </c>
      <c r="I1000" s="4">
        <v>4</v>
      </c>
      <c r="J1000" s="4" t="s">
        <v>14</v>
      </c>
      <c r="K1000" s="3" t="s">
        <v>14</v>
      </c>
      <c r="L1000" s="3" t="str">
        <f>IF(Table1[[#This Row],[Monthly Income]]&lt;3000,"Low",IF(Table1[[#This Row],[Monthly Income]]&lt;7000,"Medium","High"))</f>
        <v>Medium</v>
      </c>
      <c r="AK1000" s="4"/>
      <c r="AL1000" s="4"/>
      <c r="AM1000" s="4"/>
      <c r="AN1000" s="4"/>
      <c r="AO1000" s="4"/>
      <c r="AP1000" s="4"/>
      <c r="AQ1000" s="4"/>
      <c r="AR1000" s="4"/>
      <c r="AS1000" s="4"/>
      <c r="AU1000" s="4"/>
      <c r="AV1000" s="4"/>
      <c r="AW1000" s="4"/>
      <c r="AX1000" s="4"/>
      <c r="AY1000" s="4"/>
      <c r="AZ1000" s="4"/>
      <c r="BA1000" s="4"/>
      <c r="BB1000" s="4"/>
      <c r="BC1000" s="4"/>
      <c r="BD1000" s="4"/>
      <c r="BE1000" s="4"/>
    </row>
    <row r="1001" spans="2:57" x14ac:dyDescent="0.3">
      <c r="B1001" s="6" t="s">
        <v>1024</v>
      </c>
      <c r="C1001" s="6">
        <v>42</v>
      </c>
      <c r="D1001" s="6" t="s">
        <v>12</v>
      </c>
      <c r="E1001" s="6" t="s">
        <v>102</v>
      </c>
      <c r="F1001" s="6" t="s">
        <v>39</v>
      </c>
      <c r="G1001" s="19">
        <v>16799</v>
      </c>
      <c r="H1001" s="11">
        <v>20</v>
      </c>
      <c r="I1001" s="6">
        <v>1</v>
      </c>
      <c r="J1001" s="6" t="s">
        <v>14</v>
      </c>
      <c r="K1001" s="5" t="s">
        <v>14</v>
      </c>
      <c r="L1001" s="3" t="str">
        <f>IF(Table1[[#This Row],[Monthly Income]]&lt;3000,"Low",IF(Table1[[#This Row],[Monthly Income]]&lt;7000,"Medium","High"))</f>
        <v>High</v>
      </c>
      <c r="AK1001" s="6"/>
      <c r="AL1001" s="6"/>
      <c r="AM1001" s="6"/>
      <c r="AN1001" s="6"/>
      <c r="AO1001" s="6"/>
      <c r="AP1001" s="6"/>
      <c r="AQ1001" s="6"/>
      <c r="AR1001" s="6"/>
      <c r="AS1001" s="6"/>
      <c r="AU1001" s="6"/>
      <c r="AV1001" s="6"/>
      <c r="AW1001" s="6"/>
      <c r="AX1001" s="6"/>
      <c r="AY1001" s="6"/>
      <c r="AZ1001" s="6"/>
      <c r="BA1001" s="6"/>
      <c r="BB1001" s="6"/>
      <c r="BC1001" s="6"/>
      <c r="BD1001" s="6"/>
      <c r="BE1001" s="6"/>
    </row>
    <row r="1002" spans="2:57" x14ac:dyDescent="0.3">
      <c r="B1002" s="4" t="s">
        <v>1025</v>
      </c>
      <c r="C1002" s="4">
        <v>32</v>
      </c>
      <c r="D1002" s="4" t="s">
        <v>12</v>
      </c>
      <c r="E1002" s="4" t="s">
        <v>15</v>
      </c>
      <c r="F1002" s="4" t="s">
        <v>29</v>
      </c>
      <c r="G1002" s="18">
        <v>6667</v>
      </c>
      <c r="H1002" s="10">
        <v>5</v>
      </c>
      <c r="I1002" s="4">
        <v>4</v>
      </c>
      <c r="J1002" s="4" t="s">
        <v>14</v>
      </c>
      <c r="K1002" s="3" t="s">
        <v>14</v>
      </c>
      <c r="L1002" s="3" t="str">
        <f>IF(Table1[[#This Row],[Monthly Income]]&lt;3000,"Low",IF(Table1[[#This Row],[Monthly Income]]&lt;7000,"Medium","High"))</f>
        <v>Medium</v>
      </c>
      <c r="AK1002" s="4"/>
      <c r="AL1002" s="4"/>
      <c r="AM1002" s="4"/>
      <c r="AN1002" s="4"/>
      <c r="AO1002" s="4"/>
      <c r="AP1002" s="4"/>
      <c r="AQ1002" s="4"/>
      <c r="AR1002" s="4"/>
      <c r="AS1002" s="4"/>
      <c r="AU1002" s="4"/>
      <c r="AV1002" s="4"/>
      <c r="AW1002" s="4"/>
      <c r="AX1002" s="4"/>
      <c r="AY1002" s="4"/>
      <c r="AZ1002" s="4"/>
      <c r="BA1002" s="4"/>
      <c r="BB1002" s="4"/>
      <c r="BC1002" s="4"/>
      <c r="BD1002" s="4"/>
      <c r="BE1002" s="4"/>
    </row>
    <row r="1003" spans="2:57" x14ac:dyDescent="0.3">
      <c r="B1003" s="6" t="s">
        <v>1026</v>
      </c>
      <c r="C1003" s="6">
        <v>36</v>
      </c>
      <c r="D1003" s="6" t="s">
        <v>12</v>
      </c>
      <c r="E1003" s="6" t="s">
        <v>15</v>
      </c>
      <c r="F1003" s="6" t="s">
        <v>27</v>
      </c>
      <c r="G1003" s="19">
        <v>4374</v>
      </c>
      <c r="H1003" s="11">
        <v>3</v>
      </c>
      <c r="I1003" s="6">
        <v>3</v>
      </c>
      <c r="J1003" s="6" t="s">
        <v>14</v>
      </c>
      <c r="K1003" s="5" t="s">
        <v>14</v>
      </c>
      <c r="L1003" s="3" t="str">
        <f>IF(Table1[[#This Row],[Monthly Income]]&lt;3000,"Low",IF(Table1[[#This Row],[Monthly Income]]&lt;7000,"Medium","High"))</f>
        <v>Medium</v>
      </c>
      <c r="AK1003" s="6"/>
      <c r="AL1003" s="6"/>
      <c r="AM1003" s="6"/>
      <c r="AN1003" s="6"/>
      <c r="AO1003" s="6"/>
      <c r="AP1003" s="6"/>
      <c r="AQ1003" s="6"/>
      <c r="AR1003" s="6"/>
      <c r="AS1003" s="6"/>
      <c r="AU1003" s="6"/>
      <c r="AV1003" s="6"/>
      <c r="AW1003" s="6"/>
      <c r="AX1003" s="6"/>
      <c r="AY1003" s="6"/>
      <c r="AZ1003" s="6"/>
      <c r="BA1003" s="6"/>
      <c r="BB1003" s="6"/>
      <c r="BC1003" s="6"/>
      <c r="BD1003" s="6"/>
      <c r="BE1003" s="6"/>
    </row>
    <row r="1004" spans="2:57" x14ac:dyDescent="0.3">
      <c r="B1004" s="4" t="s">
        <v>1027</v>
      </c>
      <c r="C1004" s="4">
        <v>35</v>
      </c>
      <c r="D1004" s="4" t="s">
        <v>12</v>
      </c>
      <c r="E1004" s="4" t="s">
        <v>15</v>
      </c>
      <c r="F1004" s="4" t="s">
        <v>29</v>
      </c>
      <c r="G1004" s="18">
        <v>4148</v>
      </c>
      <c r="H1004" s="10">
        <v>14</v>
      </c>
      <c r="I1004" s="4">
        <v>3</v>
      </c>
      <c r="J1004" s="4" t="s">
        <v>14</v>
      </c>
      <c r="K1004" s="3" t="s">
        <v>14</v>
      </c>
      <c r="L1004" s="3" t="str">
        <f>IF(Table1[[#This Row],[Monthly Income]]&lt;3000,"Low",IF(Table1[[#This Row],[Monthly Income]]&lt;7000,"Medium","High"))</f>
        <v>Medium</v>
      </c>
      <c r="AK1004" s="4"/>
      <c r="AL1004" s="4"/>
      <c r="AM1004" s="4"/>
      <c r="AN1004" s="4"/>
      <c r="AO1004" s="4"/>
      <c r="AP1004" s="4"/>
      <c r="AQ1004" s="4"/>
      <c r="AR1004" s="4"/>
      <c r="AS1004" s="4"/>
      <c r="AU1004" s="4"/>
      <c r="AV1004" s="4"/>
      <c r="AW1004" s="4"/>
      <c r="AX1004" s="4"/>
      <c r="AY1004" s="4"/>
      <c r="AZ1004" s="4"/>
      <c r="BA1004" s="4"/>
      <c r="BB1004" s="4"/>
      <c r="BC1004" s="4"/>
      <c r="BD1004" s="4"/>
      <c r="BE1004" s="4"/>
    </row>
    <row r="1005" spans="2:57" x14ac:dyDescent="0.3">
      <c r="B1005" s="6" t="s">
        <v>1028</v>
      </c>
      <c r="C1005" s="6">
        <v>47</v>
      </c>
      <c r="D1005" s="6" t="s">
        <v>12</v>
      </c>
      <c r="E1005" s="6" t="s">
        <v>15</v>
      </c>
      <c r="F1005" s="6" t="s">
        <v>45</v>
      </c>
      <c r="G1005" s="19">
        <v>11957</v>
      </c>
      <c r="H1005" s="11">
        <v>13</v>
      </c>
      <c r="I1005" s="6">
        <v>2</v>
      </c>
      <c r="J1005" s="6" t="s">
        <v>14</v>
      </c>
      <c r="K1005" s="5" t="s">
        <v>14</v>
      </c>
      <c r="L1005" s="3" t="str">
        <f>IF(Table1[[#This Row],[Monthly Income]]&lt;3000,"Low",IF(Table1[[#This Row],[Monthly Income]]&lt;7000,"Medium","High"))</f>
        <v>High</v>
      </c>
      <c r="AK1005" s="6"/>
      <c r="AL1005" s="6"/>
      <c r="AM1005" s="6"/>
      <c r="AN1005" s="6"/>
      <c r="AO1005" s="6"/>
      <c r="AP1005" s="6"/>
      <c r="AQ1005" s="6"/>
      <c r="AR1005" s="6"/>
      <c r="AS1005" s="6"/>
      <c r="AU1005" s="6"/>
      <c r="AV1005" s="6"/>
      <c r="AW1005" s="6"/>
      <c r="AX1005" s="6"/>
      <c r="AY1005" s="6"/>
      <c r="AZ1005" s="6"/>
      <c r="BA1005" s="6"/>
      <c r="BB1005" s="6"/>
      <c r="BC1005" s="6"/>
      <c r="BD1005" s="6"/>
      <c r="BE1005" s="6"/>
    </row>
    <row r="1006" spans="2:57" x14ac:dyDescent="0.3">
      <c r="B1006" s="4" t="s">
        <v>1029</v>
      </c>
      <c r="C1006" s="4">
        <v>18</v>
      </c>
      <c r="D1006" s="4" t="s">
        <v>12</v>
      </c>
      <c r="E1006" s="4" t="s">
        <v>15</v>
      </c>
      <c r="F1006" s="4" t="s">
        <v>18</v>
      </c>
      <c r="G1006" s="18">
        <v>1514</v>
      </c>
      <c r="H1006" s="10">
        <v>0</v>
      </c>
      <c r="I1006" s="4">
        <v>3</v>
      </c>
      <c r="J1006" s="4" t="s">
        <v>14</v>
      </c>
      <c r="K1006" s="3" t="s">
        <v>14</v>
      </c>
      <c r="L1006" s="3" t="str">
        <f>IF(Table1[[#This Row],[Monthly Income]]&lt;3000,"Low",IF(Table1[[#This Row],[Monthly Income]]&lt;7000,"Medium","High"))</f>
        <v>Low</v>
      </c>
      <c r="AK1006" s="4"/>
      <c r="AL1006" s="4"/>
      <c r="AM1006" s="4"/>
      <c r="AN1006" s="4"/>
      <c r="AO1006" s="4"/>
      <c r="AP1006" s="4"/>
      <c r="AQ1006" s="4"/>
      <c r="AR1006" s="4"/>
      <c r="AS1006" s="4"/>
      <c r="AU1006" s="4"/>
      <c r="AV1006" s="4"/>
      <c r="AW1006" s="4"/>
      <c r="AX1006" s="4"/>
      <c r="AY1006" s="4"/>
      <c r="AZ1006" s="4"/>
      <c r="BA1006" s="4"/>
      <c r="BB1006" s="4"/>
      <c r="BC1006" s="4"/>
      <c r="BD1006" s="4"/>
      <c r="BE1006" s="4"/>
    </row>
    <row r="1007" spans="2:57" x14ac:dyDescent="0.3">
      <c r="B1007" s="6" t="s">
        <v>1030</v>
      </c>
      <c r="C1007" s="6">
        <v>39</v>
      </c>
      <c r="D1007" s="6" t="s">
        <v>12</v>
      </c>
      <c r="E1007" s="6" t="s">
        <v>10</v>
      </c>
      <c r="F1007" s="6" t="s">
        <v>13</v>
      </c>
      <c r="G1007" s="19">
        <v>5736</v>
      </c>
      <c r="H1007" s="11">
        <v>3</v>
      </c>
      <c r="I1007" s="6">
        <v>3</v>
      </c>
      <c r="J1007" s="6" t="s">
        <v>14</v>
      </c>
      <c r="K1007" s="5" t="s">
        <v>14</v>
      </c>
      <c r="L1007" s="3" t="str">
        <f>IF(Table1[[#This Row],[Monthly Income]]&lt;3000,"Low",IF(Table1[[#This Row],[Monthly Income]]&lt;7000,"Medium","High"))</f>
        <v>Medium</v>
      </c>
      <c r="AK1007" s="6"/>
      <c r="AL1007" s="6"/>
      <c r="AM1007" s="6"/>
      <c r="AN1007" s="6"/>
      <c r="AO1007" s="6"/>
      <c r="AP1007" s="6"/>
      <c r="AQ1007" s="6"/>
      <c r="AR1007" s="6"/>
      <c r="AS1007" s="6"/>
      <c r="AU1007" s="6"/>
      <c r="AV1007" s="6"/>
      <c r="AW1007" s="6"/>
      <c r="AX1007" s="6"/>
      <c r="AY1007" s="6"/>
      <c r="AZ1007" s="6"/>
      <c r="BA1007" s="6"/>
      <c r="BB1007" s="6"/>
      <c r="BC1007" s="6"/>
      <c r="BD1007" s="6"/>
      <c r="BE1007" s="6"/>
    </row>
    <row r="1008" spans="2:57" x14ac:dyDescent="0.3">
      <c r="B1008" s="4" t="s">
        <v>1031</v>
      </c>
      <c r="C1008" s="4">
        <v>24</v>
      </c>
      <c r="D1008" s="4" t="s">
        <v>12</v>
      </c>
      <c r="E1008" s="4" t="s">
        <v>10</v>
      </c>
      <c r="F1008" s="4" t="s">
        <v>43</v>
      </c>
      <c r="G1008" s="18">
        <v>2033</v>
      </c>
      <c r="H1008" s="10">
        <v>1</v>
      </c>
      <c r="I1008" s="4">
        <v>2</v>
      </c>
      <c r="J1008" s="4" t="s">
        <v>14</v>
      </c>
      <c r="K1008" s="3" t="s">
        <v>14</v>
      </c>
      <c r="L1008" s="3" t="str">
        <f>IF(Table1[[#This Row],[Monthly Income]]&lt;3000,"Low",IF(Table1[[#This Row],[Monthly Income]]&lt;7000,"Medium","High"))</f>
        <v>Low</v>
      </c>
      <c r="AK1008" s="4"/>
      <c r="AL1008" s="4"/>
      <c r="AM1008" s="4"/>
      <c r="AN1008" s="4"/>
      <c r="AO1008" s="4"/>
      <c r="AP1008" s="4"/>
      <c r="AQ1008" s="4"/>
      <c r="AR1008" s="4"/>
      <c r="AS1008" s="4"/>
      <c r="AU1008" s="4"/>
      <c r="AV1008" s="4"/>
      <c r="AW1008" s="4"/>
      <c r="AX1008" s="4"/>
      <c r="AY1008" s="4"/>
      <c r="AZ1008" s="4"/>
      <c r="BA1008" s="4"/>
      <c r="BB1008" s="4"/>
      <c r="BC1008" s="4"/>
      <c r="BD1008" s="4"/>
      <c r="BE1008" s="4"/>
    </row>
    <row r="1009" spans="2:57" x14ac:dyDescent="0.3">
      <c r="B1009" s="6" t="s">
        <v>1032</v>
      </c>
      <c r="C1009" s="6">
        <v>33</v>
      </c>
      <c r="D1009" s="6" t="s">
        <v>12</v>
      </c>
      <c r="E1009" s="6" t="s">
        <v>10</v>
      </c>
      <c r="F1009" s="6" t="s">
        <v>13</v>
      </c>
      <c r="G1009" s="19">
        <v>5147</v>
      </c>
      <c r="H1009" s="11">
        <v>11</v>
      </c>
      <c r="I1009" s="6">
        <v>2</v>
      </c>
      <c r="J1009" s="6" t="s">
        <v>14</v>
      </c>
      <c r="K1009" s="5" t="s">
        <v>14</v>
      </c>
      <c r="L1009" s="3" t="str">
        <f>IF(Table1[[#This Row],[Monthly Income]]&lt;3000,"Low",IF(Table1[[#This Row],[Monthly Income]]&lt;7000,"Medium","High"))</f>
        <v>Medium</v>
      </c>
      <c r="AK1009" s="6"/>
      <c r="AL1009" s="6"/>
      <c r="AM1009" s="6"/>
      <c r="AN1009" s="6"/>
      <c r="AO1009" s="6"/>
      <c r="AP1009" s="6"/>
      <c r="AQ1009" s="6"/>
      <c r="AR1009" s="6"/>
      <c r="AS1009" s="6"/>
      <c r="AU1009" s="6"/>
      <c r="AV1009" s="6"/>
      <c r="AW1009" s="6"/>
      <c r="AX1009" s="6"/>
      <c r="AY1009" s="6"/>
      <c r="AZ1009" s="6"/>
      <c r="BA1009" s="6"/>
      <c r="BB1009" s="6"/>
      <c r="BC1009" s="6"/>
      <c r="BD1009" s="6"/>
      <c r="BE1009" s="6"/>
    </row>
    <row r="1010" spans="2:57" x14ac:dyDescent="0.3">
      <c r="B1010" s="4" t="s">
        <v>1033</v>
      </c>
      <c r="C1010" s="4">
        <v>48</v>
      </c>
      <c r="D1010" s="4" t="s">
        <v>12</v>
      </c>
      <c r="E1010" s="4" t="s">
        <v>15</v>
      </c>
      <c r="F1010" s="4" t="s">
        <v>39</v>
      </c>
      <c r="G1010" s="18">
        <v>17174</v>
      </c>
      <c r="H1010" s="10">
        <v>22</v>
      </c>
      <c r="I1010" s="4">
        <v>4</v>
      </c>
      <c r="J1010" s="4" t="s">
        <v>14</v>
      </c>
      <c r="K1010" s="3" t="s">
        <v>14</v>
      </c>
      <c r="L1010" s="3" t="str">
        <f>IF(Table1[[#This Row],[Monthly Income]]&lt;3000,"Low",IF(Table1[[#This Row],[Monthly Income]]&lt;7000,"Medium","High"))</f>
        <v>High</v>
      </c>
      <c r="AK1010" s="4"/>
      <c r="AL1010" s="4"/>
      <c r="AM1010" s="4"/>
      <c r="AN1010" s="4"/>
      <c r="AO1010" s="4"/>
      <c r="AP1010" s="4"/>
      <c r="AQ1010" s="4"/>
      <c r="AR1010" s="4"/>
      <c r="AS1010" s="4"/>
      <c r="AU1010" s="4"/>
      <c r="AV1010" s="4"/>
      <c r="AW1010" s="4"/>
      <c r="AX1010" s="4"/>
      <c r="AY1010" s="4"/>
      <c r="AZ1010" s="4"/>
      <c r="BA1010" s="4"/>
      <c r="BB1010" s="4"/>
      <c r="BC1010" s="4"/>
      <c r="BD1010" s="4"/>
      <c r="BE1010" s="4"/>
    </row>
    <row r="1011" spans="2:57" x14ac:dyDescent="0.3">
      <c r="B1011" s="6" t="s">
        <v>1034</v>
      </c>
      <c r="C1011" s="6">
        <v>36</v>
      </c>
      <c r="D1011" s="6" t="s">
        <v>12</v>
      </c>
      <c r="E1011" s="6" t="s">
        <v>15</v>
      </c>
      <c r="F1011" s="6" t="s">
        <v>27</v>
      </c>
      <c r="G1011" s="19">
        <v>5131</v>
      </c>
      <c r="H1011" s="11">
        <v>4</v>
      </c>
      <c r="I1011" s="6">
        <v>2</v>
      </c>
      <c r="J1011" s="6" t="s">
        <v>14</v>
      </c>
      <c r="K1011" s="5" t="s">
        <v>14</v>
      </c>
      <c r="L1011" s="3" t="str">
        <f>IF(Table1[[#This Row],[Monthly Income]]&lt;3000,"Low",IF(Table1[[#This Row],[Monthly Income]]&lt;7000,"Medium","High"))</f>
        <v>Medium</v>
      </c>
      <c r="AK1011" s="6"/>
      <c r="AL1011" s="6"/>
      <c r="AM1011" s="6"/>
      <c r="AN1011" s="6"/>
      <c r="AO1011" s="6"/>
      <c r="AP1011" s="6"/>
      <c r="AQ1011" s="6"/>
      <c r="AR1011" s="6"/>
      <c r="AS1011" s="6"/>
      <c r="AU1011" s="6"/>
      <c r="AV1011" s="6"/>
      <c r="AW1011" s="6"/>
      <c r="AX1011" s="6"/>
      <c r="AY1011" s="6"/>
      <c r="AZ1011" s="6"/>
      <c r="BA1011" s="6"/>
      <c r="BB1011" s="6"/>
      <c r="BC1011" s="6"/>
      <c r="BD1011" s="6"/>
      <c r="BE1011" s="6"/>
    </row>
    <row r="1012" spans="2:57" x14ac:dyDescent="0.3">
      <c r="B1012" s="4" t="s">
        <v>1035</v>
      </c>
      <c r="C1012" s="4">
        <v>38</v>
      </c>
      <c r="D1012" s="4" t="s">
        <v>12</v>
      </c>
      <c r="E1012" s="4" t="s">
        <v>15</v>
      </c>
      <c r="F1012" s="4" t="s">
        <v>20</v>
      </c>
      <c r="G1012" s="18">
        <v>2468</v>
      </c>
      <c r="H1012" s="10">
        <v>6</v>
      </c>
      <c r="I1012" s="4">
        <v>2</v>
      </c>
      <c r="J1012" s="4" t="s">
        <v>14</v>
      </c>
      <c r="K1012" s="3" t="s">
        <v>14</v>
      </c>
      <c r="L1012" s="3" t="str">
        <f>IF(Table1[[#This Row],[Monthly Income]]&lt;3000,"Low",IF(Table1[[#This Row],[Monthly Income]]&lt;7000,"Medium","High"))</f>
        <v>Low</v>
      </c>
      <c r="AK1012" s="4"/>
      <c r="AL1012" s="4"/>
      <c r="AM1012" s="4"/>
      <c r="AN1012" s="4"/>
      <c r="AO1012" s="4"/>
      <c r="AP1012" s="4"/>
      <c r="AQ1012" s="4"/>
      <c r="AR1012" s="4"/>
      <c r="AS1012" s="4"/>
      <c r="AU1012" s="4"/>
      <c r="AV1012" s="4"/>
      <c r="AW1012" s="4"/>
      <c r="AX1012" s="4"/>
      <c r="AY1012" s="4"/>
      <c r="AZ1012" s="4"/>
      <c r="BA1012" s="4"/>
      <c r="BB1012" s="4"/>
      <c r="BC1012" s="4"/>
      <c r="BD1012" s="4"/>
      <c r="BE1012" s="4"/>
    </row>
    <row r="1013" spans="2:57" x14ac:dyDescent="0.3">
      <c r="B1013" s="6" t="s">
        <v>1036</v>
      </c>
      <c r="C1013" s="6">
        <v>27</v>
      </c>
      <c r="D1013" s="6" t="s">
        <v>12</v>
      </c>
      <c r="E1013" s="6" t="s">
        <v>15</v>
      </c>
      <c r="F1013" s="6" t="s">
        <v>18</v>
      </c>
      <c r="G1013" s="19">
        <v>4774</v>
      </c>
      <c r="H1013" s="11">
        <v>7</v>
      </c>
      <c r="I1013" s="6">
        <v>1</v>
      </c>
      <c r="J1013" s="6" t="s">
        <v>14</v>
      </c>
      <c r="K1013" s="5" t="s">
        <v>14</v>
      </c>
      <c r="L1013" s="3" t="str">
        <f>IF(Table1[[#This Row],[Monthly Income]]&lt;3000,"Low",IF(Table1[[#This Row],[Monthly Income]]&lt;7000,"Medium","High"))</f>
        <v>Medium</v>
      </c>
      <c r="AK1013" s="6"/>
      <c r="AL1013" s="6"/>
      <c r="AM1013" s="6"/>
      <c r="AN1013" s="6"/>
      <c r="AO1013" s="6"/>
      <c r="AP1013" s="6"/>
      <c r="AQ1013" s="6"/>
      <c r="AR1013" s="6"/>
      <c r="AS1013" s="6"/>
      <c r="AU1013" s="6"/>
      <c r="AV1013" s="6"/>
      <c r="AW1013" s="6"/>
      <c r="AX1013" s="6"/>
      <c r="AY1013" s="6"/>
      <c r="AZ1013" s="6"/>
      <c r="BA1013" s="6"/>
      <c r="BB1013" s="6"/>
      <c r="BC1013" s="6"/>
      <c r="BD1013" s="6"/>
      <c r="BE1013" s="6"/>
    </row>
    <row r="1014" spans="2:57" x14ac:dyDescent="0.3">
      <c r="B1014" s="4" t="s">
        <v>1037</v>
      </c>
      <c r="C1014" s="4">
        <v>40</v>
      </c>
      <c r="D1014" s="4" t="s">
        <v>12</v>
      </c>
      <c r="E1014" s="4" t="s">
        <v>15</v>
      </c>
      <c r="F1014" s="4" t="s">
        <v>20</v>
      </c>
      <c r="G1014" s="18">
        <v>6323</v>
      </c>
      <c r="H1014" s="10">
        <v>10</v>
      </c>
      <c r="I1014" s="4">
        <v>3</v>
      </c>
      <c r="J1014" s="4" t="s">
        <v>14</v>
      </c>
      <c r="K1014" s="3" t="s">
        <v>14</v>
      </c>
      <c r="L1014" s="3" t="str">
        <f>IF(Table1[[#This Row],[Monthly Income]]&lt;3000,"Low",IF(Table1[[#This Row],[Monthly Income]]&lt;7000,"Medium","High"))</f>
        <v>Medium</v>
      </c>
      <c r="AK1014" s="4"/>
      <c r="AL1014" s="4"/>
      <c r="AM1014" s="4"/>
      <c r="AN1014" s="4"/>
      <c r="AO1014" s="4"/>
      <c r="AP1014" s="4"/>
      <c r="AQ1014" s="4"/>
      <c r="AR1014" s="4"/>
      <c r="AS1014" s="4"/>
      <c r="AU1014" s="4"/>
      <c r="AV1014" s="4"/>
      <c r="AW1014" s="4"/>
      <c r="AX1014" s="4"/>
      <c r="AY1014" s="4"/>
      <c r="AZ1014" s="4"/>
      <c r="BA1014" s="4"/>
      <c r="BB1014" s="4"/>
      <c r="BC1014" s="4"/>
      <c r="BD1014" s="4"/>
      <c r="BE1014" s="4"/>
    </row>
    <row r="1015" spans="2:57" x14ac:dyDescent="0.3">
      <c r="B1015" s="6" t="s">
        <v>1038</v>
      </c>
      <c r="C1015" s="6">
        <v>29</v>
      </c>
      <c r="D1015" s="6" t="s">
        <v>12</v>
      </c>
      <c r="E1015" s="6" t="s">
        <v>15</v>
      </c>
      <c r="F1015" s="6" t="s">
        <v>20</v>
      </c>
      <c r="G1015" s="19">
        <v>3180</v>
      </c>
      <c r="H1015" s="11">
        <v>3</v>
      </c>
      <c r="I1015" s="6">
        <v>2</v>
      </c>
      <c r="J1015" s="6" t="s">
        <v>14</v>
      </c>
      <c r="K1015" s="5" t="s">
        <v>14</v>
      </c>
      <c r="L1015" s="3" t="str">
        <f>IF(Table1[[#This Row],[Monthly Income]]&lt;3000,"Low",IF(Table1[[#This Row],[Monthly Income]]&lt;7000,"Medium","High"))</f>
        <v>Medium</v>
      </c>
      <c r="AK1015" s="6"/>
      <c r="AL1015" s="6"/>
      <c r="AM1015" s="6"/>
      <c r="AN1015" s="6"/>
      <c r="AO1015" s="6"/>
      <c r="AP1015" s="6"/>
      <c r="AQ1015" s="6"/>
      <c r="AR1015" s="6"/>
      <c r="AS1015" s="6"/>
      <c r="AU1015" s="6"/>
      <c r="AV1015" s="6"/>
      <c r="AW1015" s="6"/>
      <c r="AX1015" s="6"/>
      <c r="AY1015" s="6"/>
      <c r="AZ1015" s="6"/>
      <c r="BA1015" s="6"/>
      <c r="BB1015" s="6"/>
      <c r="BC1015" s="6"/>
      <c r="BD1015" s="6"/>
      <c r="BE1015" s="6"/>
    </row>
    <row r="1016" spans="2:57" x14ac:dyDescent="0.3">
      <c r="B1016" s="4" t="s">
        <v>1039</v>
      </c>
      <c r="C1016" s="4">
        <v>39</v>
      </c>
      <c r="D1016" s="4" t="s">
        <v>12</v>
      </c>
      <c r="E1016" s="4" t="s">
        <v>15</v>
      </c>
      <c r="F1016" s="4" t="s">
        <v>27</v>
      </c>
      <c r="G1016" s="18">
        <v>5042</v>
      </c>
      <c r="H1016" s="10">
        <v>9</v>
      </c>
      <c r="I1016" s="4">
        <v>3</v>
      </c>
      <c r="J1016" s="4" t="s">
        <v>14</v>
      </c>
      <c r="K1016" s="3" t="s">
        <v>14</v>
      </c>
      <c r="L1016" s="3" t="str">
        <f>IF(Table1[[#This Row],[Monthly Income]]&lt;3000,"Low",IF(Table1[[#This Row],[Monthly Income]]&lt;7000,"Medium","High"))</f>
        <v>Medium</v>
      </c>
      <c r="AK1016" s="4"/>
      <c r="AL1016" s="4"/>
      <c r="AM1016" s="4"/>
      <c r="AN1016" s="4"/>
      <c r="AO1016" s="4"/>
      <c r="AP1016" s="4"/>
      <c r="AQ1016" s="4"/>
      <c r="AR1016" s="4"/>
      <c r="AS1016" s="4"/>
      <c r="AU1016" s="4"/>
      <c r="AV1016" s="4"/>
      <c r="AW1016" s="4"/>
      <c r="AX1016" s="4"/>
      <c r="AY1016" s="4"/>
      <c r="AZ1016" s="4"/>
      <c r="BA1016" s="4"/>
      <c r="BB1016" s="4"/>
      <c r="BC1016" s="4"/>
      <c r="BD1016" s="4"/>
      <c r="BE1016" s="4"/>
    </row>
    <row r="1017" spans="2:57" x14ac:dyDescent="0.3">
      <c r="B1017" s="6" t="s">
        <v>1040</v>
      </c>
      <c r="C1017" s="6">
        <v>42</v>
      </c>
      <c r="D1017" s="6" t="s">
        <v>12</v>
      </c>
      <c r="E1017" s="6" t="s">
        <v>15</v>
      </c>
      <c r="F1017" s="6" t="s">
        <v>20</v>
      </c>
      <c r="G1017" s="19">
        <v>3673</v>
      </c>
      <c r="H1017" s="11">
        <v>12</v>
      </c>
      <c r="I1017" s="6">
        <v>4</v>
      </c>
      <c r="J1017" s="6" t="s">
        <v>14</v>
      </c>
      <c r="K1017" s="5" t="s">
        <v>14</v>
      </c>
      <c r="L1017" s="3" t="str">
        <f>IF(Table1[[#This Row],[Monthly Income]]&lt;3000,"Low",IF(Table1[[#This Row],[Monthly Income]]&lt;7000,"Medium","High"))</f>
        <v>Medium</v>
      </c>
      <c r="AK1017" s="6"/>
      <c r="AL1017" s="6"/>
      <c r="AM1017" s="6"/>
      <c r="AN1017" s="6"/>
      <c r="AO1017" s="6"/>
      <c r="AP1017" s="6"/>
      <c r="AQ1017" s="6"/>
      <c r="AR1017" s="6"/>
      <c r="AS1017" s="6"/>
      <c r="AU1017" s="6"/>
      <c r="AV1017" s="6"/>
      <c r="AW1017" s="6"/>
      <c r="AX1017" s="6"/>
      <c r="AY1017" s="6"/>
      <c r="AZ1017" s="6"/>
      <c r="BA1017" s="6"/>
      <c r="BB1017" s="6"/>
      <c r="BC1017" s="6"/>
      <c r="BD1017" s="6"/>
      <c r="BE1017" s="6"/>
    </row>
    <row r="1018" spans="2:57" x14ac:dyDescent="0.3">
      <c r="B1018" s="4" t="s">
        <v>1041</v>
      </c>
      <c r="C1018" s="4">
        <v>30</v>
      </c>
      <c r="D1018" s="4" t="s">
        <v>12</v>
      </c>
      <c r="E1018" s="4" t="s">
        <v>15</v>
      </c>
      <c r="F1018" s="4" t="s">
        <v>18</v>
      </c>
      <c r="G1018" s="18">
        <v>4968</v>
      </c>
      <c r="H1018" s="10">
        <v>9</v>
      </c>
      <c r="I1018" s="4">
        <v>1</v>
      </c>
      <c r="J1018" s="4" t="s">
        <v>14</v>
      </c>
      <c r="K1018" s="3" t="s">
        <v>14</v>
      </c>
      <c r="L1018" s="3" t="str">
        <f>IF(Table1[[#This Row],[Monthly Income]]&lt;3000,"Low",IF(Table1[[#This Row],[Monthly Income]]&lt;7000,"Medium","High"))</f>
        <v>Medium</v>
      </c>
      <c r="AK1018" s="4"/>
      <c r="AL1018" s="4"/>
      <c r="AM1018" s="4"/>
      <c r="AN1018" s="4"/>
      <c r="AO1018" s="4"/>
      <c r="AP1018" s="4"/>
      <c r="AQ1018" s="4"/>
      <c r="AR1018" s="4"/>
      <c r="AS1018" s="4"/>
      <c r="AU1018" s="4"/>
      <c r="AV1018" s="4"/>
      <c r="AW1018" s="4"/>
      <c r="AX1018" s="4"/>
      <c r="AY1018" s="4"/>
      <c r="AZ1018" s="4"/>
      <c r="BA1018" s="4"/>
      <c r="BB1018" s="4"/>
      <c r="BC1018" s="4"/>
      <c r="BD1018" s="4"/>
      <c r="BE1018" s="4"/>
    </row>
    <row r="1019" spans="2:57" x14ac:dyDescent="0.3">
      <c r="B1019" s="6" t="s">
        <v>1042</v>
      </c>
      <c r="C1019" s="6">
        <v>44</v>
      </c>
      <c r="D1019" s="6" t="s">
        <v>12</v>
      </c>
      <c r="E1019" s="6" t="s">
        <v>10</v>
      </c>
      <c r="F1019" s="6" t="s">
        <v>13</v>
      </c>
      <c r="G1019" s="19">
        <v>4768</v>
      </c>
      <c r="H1019" s="11">
        <v>1</v>
      </c>
      <c r="I1019" s="6">
        <v>3</v>
      </c>
      <c r="J1019" s="6" t="s">
        <v>14</v>
      </c>
      <c r="K1019" s="5" t="s">
        <v>14</v>
      </c>
      <c r="L1019" s="3" t="str">
        <f>IF(Table1[[#This Row],[Monthly Income]]&lt;3000,"Low",IF(Table1[[#This Row],[Monthly Income]]&lt;7000,"Medium","High"))</f>
        <v>Medium</v>
      </c>
      <c r="AK1019" s="6"/>
      <c r="AL1019" s="6"/>
      <c r="AM1019" s="6"/>
      <c r="AN1019" s="6"/>
      <c r="AO1019" s="6"/>
      <c r="AP1019" s="6"/>
      <c r="AQ1019" s="6"/>
      <c r="AR1019" s="6"/>
      <c r="AS1019" s="6"/>
      <c r="AU1019" s="6"/>
      <c r="AV1019" s="6"/>
      <c r="AW1019" s="6"/>
      <c r="AX1019" s="6"/>
      <c r="AY1019" s="6"/>
      <c r="AZ1019" s="6"/>
      <c r="BA1019" s="6"/>
      <c r="BB1019" s="6"/>
      <c r="BC1019" s="6"/>
      <c r="BD1019" s="6"/>
      <c r="BE1019" s="6"/>
    </row>
    <row r="1020" spans="2:57" x14ac:dyDescent="0.3">
      <c r="B1020" s="4" t="s">
        <v>1043</v>
      </c>
      <c r="C1020" s="4">
        <v>31</v>
      </c>
      <c r="D1020" s="4" t="s">
        <v>12</v>
      </c>
      <c r="E1020" s="4" t="s">
        <v>10</v>
      </c>
      <c r="F1020" s="4" t="s">
        <v>13</v>
      </c>
      <c r="G1020" s="18">
        <v>9637</v>
      </c>
      <c r="H1020" s="10">
        <v>3</v>
      </c>
      <c r="I1020" s="4">
        <v>1</v>
      </c>
      <c r="J1020" s="4" t="s">
        <v>14</v>
      </c>
      <c r="K1020" s="3" t="s">
        <v>14</v>
      </c>
      <c r="L1020" s="3" t="str">
        <f>IF(Table1[[#This Row],[Monthly Income]]&lt;3000,"Low",IF(Table1[[#This Row],[Monthly Income]]&lt;7000,"Medium","High"))</f>
        <v>High</v>
      </c>
      <c r="AK1020" s="4"/>
      <c r="AL1020" s="4"/>
      <c r="AM1020" s="4"/>
      <c r="AN1020" s="4"/>
      <c r="AO1020" s="4"/>
      <c r="AP1020" s="4"/>
      <c r="AQ1020" s="4"/>
      <c r="AR1020" s="4"/>
      <c r="AS1020" s="4"/>
      <c r="AU1020" s="4"/>
      <c r="AV1020" s="4"/>
      <c r="AW1020" s="4"/>
      <c r="AX1020" s="4"/>
      <c r="AY1020" s="4"/>
      <c r="AZ1020" s="4"/>
      <c r="BA1020" s="4"/>
      <c r="BB1020" s="4"/>
      <c r="BC1020" s="4"/>
      <c r="BD1020" s="4"/>
      <c r="BE1020" s="4"/>
    </row>
    <row r="1021" spans="2:57" x14ac:dyDescent="0.3">
      <c r="B1021" s="6" t="s">
        <v>1044</v>
      </c>
      <c r="C1021" s="6">
        <v>25</v>
      </c>
      <c r="D1021" s="6" t="s">
        <v>12</v>
      </c>
      <c r="E1021" s="6" t="s">
        <v>102</v>
      </c>
      <c r="F1021" s="6" t="s">
        <v>104</v>
      </c>
      <c r="G1021" s="19">
        <v>2187</v>
      </c>
      <c r="H1021" s="11">
        <v>2</v>
      </c>
      <c r="I1021" s="6">
        <v>2</v>
      </c>
      <c r="J1021" s="6" t="s">
        <v>14</v>
      </c>
      <c r="K1021" s="5" t="s">
        <v>14</v>
      </c>
      <c r="L1021" s="3" t="str">
        <f>IF(Table1[[#This Row],[Monthly Income]]&lt;3000,"Low",IF(Table1[[#This Row],[Monthly Income]]&lt;7000,"Medium","High"))</f>
        <v>Low</v>
      </c>
      <c r="AK1021" s="6"/>
      <c r="AL1021" s="6"/>
      <c r="AM1021" s="6"/>
      <c r="AN1021" s="6"/>
      <c r="AO1021" s="6"/>
      <c r="AP1021" s="6"/>
      <c r="AQ1021" s="6"/>
      <c r="AR1021" s="6"/>
      <c r="AS1021" s="6"/>
      <c r="AU1021" s="6"/>
      <c r="AV1021" s="6"/>
      <c r="AW1021" s="6"/>
      <c r="AX1021" s="6"/>
      <c r="AY1021" s="6"/>
      <c r="AZ1021" s="6"/>
      <c r="BA1021" s="6"/>
      <c r="BB1021" s="6"/>
      <c r="BC1021" s="6"/>
      <c r="BD1021" s="6"/>
      <c r="BE1021" s="6"/>
    </row>
    <row r="1022" spans="2:57" x14ac:dyDescent="0.3">
      <c r="B1022" s="4" t="s">
        <v>1045</v>
      </c>
      <c r="C1022" s="4">
        <v>47</v>
      </c>
      <c r="D1022" s="4" t="s">
        <v>12</v>
      </c>
      <c r="E1022" s="4" t="s">
        <v>102</v>
      </c>
      <c r="F1022" s="4" t="s">
        <v>39</v>
      </c>
      <c r="G1022" s="18">
        <v>19658</v>
      </c>
      <c r="H1022" s="10">
        <v>5</v>
      </c>
      <c r="I1022" s="4">
        <v>3</v>
      </c>
      <c r="J1022" s="4" t="s">
        <v>14</v>
      </c>
      <c r="K1022" s="3" t="s">
        <v>14</v>
      </c>
      <c r="L1022" s="3" t="str">
        <f>IF(Table1[[#This Row],[Monthly Income]]&lt;3000,"Low",IF(Table1[[#This Row],[Monthly Income]]&lt;7000,"Medium","High"))</f>
        <v>High</v>
      </c>
      <c r="AK1022" s="4"/>
      <c r="AL1022" s="4"/>
      <c r="AM1022" s="4"/>
      <c r="AN1022" s="4"/>
      <c r="AO1022" s="4"/>
      <c r="AP1022" s="4"/>
      <c r="AQ1022" s="4"/>
      <c r="AR1022" s="4"/>
      <c r="AS1022" s="4"/>
      <c r="AU1022" s="4"/>
      <c r="AV1022" s="4"/>
      <c r="AW1022" s="4"/>
      <c r="AX1022" s="4"/>
      <c r="AY1022" s="4"/>
      <c r="AZ1022" s="4"/>
      <c r="BA1022" s="4"/>
      <c r="BB1022" s="4"/>
      <c r="BC1022" s="4"/>
      <c r="BD1022" s="4"/>
      <c r="BE1022" s="4"/>
    </row>
    <row r="1023" spans="2:57" x14ac:dyDescent="0.3">
      <c r="B1023" s="6" t="s">
        <v>1046</v>
      </c>
      <c r="C1023" s="6">
        <v>31</v>
      </c>
      <c r="D1023" s="6" t="s">
        <v>12</v>
      </c>
      <c r="E1023" s="6" t="s">
        <v>102</v>
      </c>
      <c r="F1023" s="6" t="s">
        <v>104</v>
      </c>
      <c r="G1023" s="19">
        <v>2109</v>
      </c>
      <c r="H1023" s="11">
        <v>3</v>
      </c>
      <c r="I1023" s="6">
        <v>2</v>
      </c>
      <c r="J1023" s="6" t="s">
        <v>14</v>
      </c>
      <c r="K1023" s="5" t="s">
        <v>14</v>
      </c>
      <c r="L1023" s="3" t="str">
        <f>IF(Table1[[#This Row],[Monthly Income]]&lt;3000,"Low",IF(Table1[[#This Row],[Monthly Income]]&lt;7000,"Medium","High"))</f>
        <v>Low</v>
      </c>
      <c r="AK1023" s="6"/>
      <c r="AL1023" s="6"/>
      <c r="AM1023" s="6"/>
      <c r="AN1023" s="6"/>
      <c r="AO1023" s="6"/>
      <c r="AP1023" s="6"/>
      <c r="AQ1023" s="6"/>
      <c r="AR1023" s="6"/>
      <c r="AS1023" s="6"/>
      <c r="AU1023" s="6"/>
      <c r="AV1023" s="6"/>
      <c r="AW1023" s="6"/>
      <c r="AX1023" s="6"/>
      <c r="AY1023" s="6"/>
      <c r="AZ1023" s="6"/>
      <c r="BA1023" s="6"/>
      <c r="BB1023" s="6"/>
      <c r="BC1023" s="6"/>
      <c r="BD1023" s="6"/>
      <c r="BE1023" s="6"/>
    </row>
    <row r="1024" spans="2:57" x14ac:dyDescent="0.3">
      <c r="B1024" s="4" t="s">
        <v>1047</v>
      </c>
      <c r="C1024" s="4">
        <v>31</v>
      </c>
      <c r="D1024" s="4" t="s">
        <v>12</v>
      </c>
      <c r="E1024" s="4" t="s">
        <v>15</v>
      </c>
      <c r="F1024" s="4" t="s">
        <v>20</v>
      </c>
      <c r="G1024" s="18">
        <v>3978</v>
      </c>
      <c r="H1024" s="10">
        <v>2</v>
      </c>
      <c r="I1024" s="4">
        <v>3</v>
      </c>
      <c r="J1024" s="4" t="s">
        <v>14</v>
      </c>
      <c r="K1024" s="3" t="s">
        <v>14</v>
      </c>
      <c r="L1024" s="3" t="str">
        <f>IF(Table1[[#This Row],[Monthly Income]]&lt;3000,"Low",IF(Table1[[#This Row],[Monthly Income]]&lt;7000,"Medium","High"))</f>
        <v>Medium</v>
      </c>
      <c r="AK1024" s="4"/>
      <c r="AL1024" s="4"/>
      <c r="AM1024" s="4"/>
      <c r="AN1024" s="4"/>
      <c r="AO1024" s="4"/>
      <c r="AP1024" s="4"/>
      <c r="AQ1024" s="4"/>
      <c r="AR1024" s="4"/>
      <c r="AS1024" s="4"/>
      <c r="AU1024" s="4"/>
      <c r="AV1024" s="4"/>
      <c r="AW1024" s="4"/>
      <c r="AX1024" s="4"/>
      <c r="AY1024" s="4"/>
      <c r="AZ1024" s="4"/>
      <c r="BA1024" s="4"/>
      <c r="BB1024" s="4"/>
      <c r="BC1024" s="4"/>
      <c r="BD1024" s="4"/>
      <c r="BE1024" s="4"/>
    </row>
    <row r="1025" spans="2:57" x14ac:dyDescent="0.3">
      <c r="B1025" s="6" t="s">
        <v>1048</v>
      </c>
      <c r="C1025" s="6">
        <v>40</v>
      </c>
      <c r="D1025" s="6" t="s">
        <v>12</v>
      </c>
      <c r="E1025" s="6" t="s">
        <v>15</v>
      </c>
      <c r="F1025" s="6" t="s">
        <v>29</v>
      </c>
      <c r="G1025" s="19">
        <v>4448</v>
      </c>
      <c r="H1025" s="11">
        <v>7</v>
      </c>
      <c r="I1025" s="6">
        <v>1</v>
      </c>
      <c r="J1025" s="6" t="s">
        <v>14</v>
      </c>
      <c r="K1025" s="5" t="s">
        <v>14</v>
      </c>
      <c r="L1025" s="3" t="str">
        <f>IF(Table1[[#This Row],[Monthly Income]]&lt;3000,"Low",IF(Table1[[#This Row],[Monthly Income]]&lt;7000,"Medium","High"))</f>
        <v>Medium</v>
      </c>
      <c r="AK1025" s="6"/>
      <c r="AL1025" s="6"/>
      <c r="AM1025" s="6"/>
      <c r="AN1025" s="6"/>
      <c r="AO1025" s="6"/>
      <c r="AP1025" s="6"/>
      <c r="AQ1025" s="6"/>
      <c r="AR1025" s="6"/>
      <c r="AS1025" s="6"/>
      <c r="AU1025" s="6"/>
      <c r="AV1025" s="6"/>
      <c r="AW1025" s="6"/>
      <c r="AX1025" s="6"/>
      <c r="AY1025" s="6"/>
      <c r="AZ1025" s="6"/>
      <c r="BA1025" s="6"/>
      <c r="BB1025" s="6"/>
      <c r="BC1025" s="6"/>
      <c r="BD1025" s="6"/>
      <c r="BE1025" s="6"/>
    </row>
    <row r="1026" spans="2:57" x14ac:dyDescent="0.3">
      <c r="B1026" s="4" t="s">
        <v>1049</v>
      </c>
      <c r="C1026" s="4">
        <v>40</v>
      </c>
      <c r="D1026" s="4" t="s">
        <v>12</v>
      </c>
      <c r="E1026" s="4" t="s">
        <v>15</v>
      </c>
      <c r="F1026" s="4" t="s">
        <v>29</v>
      </c>
      <c r="G1026" s="18">
        <v>6513</v>
      </c>
      <c r="H1026" s="10">
        <v>5</v>
      </c>
      <c r="I1026" s="4">
        <v>4</v>
      </c>
      <c r="J1026" s="4" t="s">
        <v>14</v>
      </c>
      <c r="K1026" s="3" t="s">
        <v>14</v>
      </c>
      <c r="L1026" s="3" t="str">
        <f>IF(Table1[[#This Row],[Monthly Income]]&lt;3000,"Low",IF(Table1[[#This Row],[Monthly Income]]&lt;7000,"Medium","High"))</f>
        <v>Medium</v>
      </c>
      <c r="AK1026" s="4"/>
      <c r="AL1026" s="4"/>
      <c r="AM1026" s="4"/>
      <c r="AN1026" s="4"/>
      <c r="AO1026" s="4"/>
      <c r="AP1026" s="4"/>
      <c r="AQ1026" s="4"/>
      <c r="AR1026" s="4"/>
      <c r="AS1026" s="4"/>
      <c r="AU1026" s="4"/>
      <c r="AV1026" s="4"/>
      <c r="AW1026" s="4"/>
      <c r="AX1026" s="4"/>
      <c r="AY1026" s="4"/>
      <c r="AZ1026" s="4"/>
      <c r="BA1026" s="4"/>
      <c r="BB1026" s="4"/>
      <c r="BC1026" s="4"/>
      <c r="BD1026" s="4"/>
      <c r="BE1026" s="4"/>
    </row>
    <row r="1027" spans="2:57" x14ac:dyDescent="0.3">
      <c r="B1027" s="6" t="s">
        <v>1050</v>
      </c>
      <c r="C1027" s="6">
        <v>29</v>
      </c>
      <c r="D1027" s="6" t="s">
        <v>12</v>
      </c>
      <c r="E1027" s="6" t="s">
        <v>15</v>
      </c>
      <c r="F1027" s="6" t="s">
        <v>18</v>
      </c>
      <c r="G1027" s="19">
        <v>2109</v>
      </c>
      <c r="H1027" s="11">
        <v>1</v>
      </c>
      <c r="I1027" s="6">
        <v>1</v>
      </c>
      <c r="J1027" s="6" t="s">
        <v>14</v>
      </c>
      <c r="K1027" s="5" t="s">
        <v>14</v>
      </c>
      <c r="L1027" s="3" t="str">
        <f>IF(Table1[[#This Row],[Monthly Income]]&lt;3000,"Low",IF(Table1[[#This Row],[Monthly Income]]&lt;7000,"Medium","High"))</f>
        <v>Low</v>
      </c>
      <c r="AK1027" s="6"/>
      <c r="AL1027" s="6"/>
      <c r="AM1027" s="6"/>
      <c r="AN1027" s="6"/>
      <c r="AO1027" s="6"/>
      <c r="AP1027" s="6"/>
      <c r="AQ1027" s="6"/>
      <c r="AR1027" s="6"/>
      <c r="AS1027" s="6"/>
      <c r="AU1027" s="6"/>
      <c r="AV1027" s="6"/>
      <c r="AW1027" s="6"/>
      <c r="AX1027" s="6"/>
      <c r="AY1027" s="6"/>
      <c r="AZ1027" s="6"/>
      <c r="BA1027" s="6"/>
      <c r="BB1027" s="6"/>
      <c r="BC1027" s="6"/>
      <c r="BD1027" s="6"/>
      <c r="BE1027" s="6"/>
    </row>
    <row r="1028" spans="2:57" x14ac:dyDescent="0.3">
      <c r="B1028" s="4" t="s">
        <v>1051</v>
      </c>
      <c r="C1028" s="4">
        <v>34</v>
      </c>
      <c r="D1028" s="4" t="s">
        <v>12</v>
      </c>
      <c r="E1028" s="4" t="s">
        <v>15</v>
      </c>
      <c r="F1028" s="4" t="s">
        <v>18</v>
      </c>
      <c r="G1028" s="18">
        <v>5433</v>
      </c>
      <c r="H1028" s="10">
        <v>11</v>
      </c>
      <c r="I1028" s="4">
        <v>2</v>
      </c>
      <c r="J1028" s="4" t="s">
        <v>14</v>
      </c>
      <c r="K1028" s="3" t="s">
        <v>14</v>
      </c>
      <c r="L1028" s="3" t="str">
        <f>IF(Table1[[#This Row],[Monthly Income]]&lt;3000,"Low",IF(Table1[[#This Row],[Monthly Income]]&lt;7000,"Medium","High"))</f>
        <v>Medium</v>
      </c>
      <c r="AK1028" s="4"/>
      <c r="AL1028" s="4"/>
      <c r="AM1028" s="4"/>
      <c r="AN1028" s="4"/>
      <c r="AO1028" s="4"/>
      <c r="AP1028" s="4"/>
      <c r="AQ1028" s="4"/>
      <c r="AR1028" s="4"/>
      <c r="AS1028" s="4"/>
      <c r="AU1028" s="4"/>
      <c r="AV1028" s="4"/>
      <c r="AW1028" s="4"/>
      <c r="AX1028" s="4"/>
      <c r="AY1028" s="4"/>
      <c r="AZ1028" s="4"/>
      <c r="BA1028" s="4"/>
      <c r="BB1028" s="4"/>
      <c r="BC1028" s="4"/>
      <c r="BD1028" s="4"/>
      <c r="BE1028" s="4"/>
    </row>
    <row r="1029" spans="2:57" x14ac:dyDescent="0.3">
      <c r="B1029" s="6" t="s">
        <v>1052</v>
      </c>
      <c r="C1029" s="6">
        <v>45</v>
      </c>
      <c r="D1029" s="6" t="s">
        <v>12</v>
      </c>
      <c r="E1029" s="6" t="s">
        <v>15</v>
      </c>
      <c r="F1029" s="6" t="s">
        <v>27</v>
      </c>
      <c r="G1029" s="19">
        <v>5770</v>
      </c>
      <c r="H1029" s="11">
        <v>10</v>
      </c>
      <c r="I1029" s="6">
        <v>4</v>
      </c>
      <c r="J1029" s="6" t="s">
        <v>14</v>
      </c>
      <c r="K1029" s="5" t="s">
        <v>14</v>
      </c>
      <c r="L1029" s="3" t="str">
        <f>IF(Table1[[#This Row],[Monthly Income]]&lt;3000,"Low",IF(Table1[[#This Row],[Monthly Income]]&lt;7000,"Medium","High"))</f>
        <v>Medium</v>
      </c>
      <c r="AK1029" s="6"/>
      <c r="AL1029" s="6"/>
      <c r="AM1029" s="6"/>
      <c r="AN1029" s="6"/>
      <c r="AO1029" s="6"/>
      <c r="AP1029" s="6"/>
      <c r="AQ1029" s="6"/>
      <c r="AR1029" s="6"/>
      <c r="AS1029" s="6"/>
      <c r="AU1029" s="6"/>
      <c r="AV1029" s="6"/>
      <c r="AW1029" s="6"/>
      <c r="AX1029" s="6"/>
      <c r="AY1029" s="6"/>
      <c r="AZ1029" s="6"/>
      <c r="BA1029" s="6"/>
      <c r="BB1029" s="6"/>
      <c r="BC1029" s="6"/>
      <c r="BD1029" s="6"/>
      <c r="BE1029" s="6"/>
    </row>
    <row r="1030" spans="2:57" x14ac:dyDescent="0.3">
      <c r="B1030" s="4" t="s">
        <v>1053</v>
      </c>
      <c r="C1030" s="4">
        <v>50</v>
      </c>
      <c r="D1030" s="4" t="s">
        <v>12</v>
      </c>
      <c r="E1030" s="4" t="s">
        <v>15</v>
      </c>
      <c r="F1030" s="4" t="s">
        <v>45</v>
      </c>
      <c r="G1030" s="18">
        <v>13269</v>
      </c>
      <c r="H1030" s="10">
        <v>14</v>
      </c>
      <c r="I1030" s="4">
        <v>1</v>
      </c>
      <c r="J1030" s="4" t="s">
        <v>14</v>
      </c>
      <c r="K1030" s="3" t="s">
        <v>14</v>
      </c>
      <c r="L1030" s="3" t="str">
        <f>IF(Table1[[#This Row],[Monthly Income]]&lt;3000,"Low",IF(Table1[[#This Row],[Monthly Income]]&lt;7000,"Medium","High"))</f>
        <v>High</v>
      </c>
      <c r="AK1030" s="4"/>
      <c r="AL1030" s="4"/>
      <c r="AM1030" s="4"/>
      <c r="AN1030" s="4"/>
      <c r="AO1030" s="4"/>
      <c r="AP1030" s="4"/>
      <c r="AQ1030" s="4"/>
      <c r="AR1030" s="4"/>
      <c r="AS1030" s="4"/>
      <c r="AU1030" s="4"/>
      <c r="AV1030" s="4"/>
      <c r="AW1030" s="4"/>
      <c r="AX1030" s="4"/>
      <c r="AY1030" s="4"/>
      <c r="AZ1030" s="4"/>
      <c r="BA1030" s="4"/>
      <c r="BB1030" s="4"/>
      <c r="BC1030" s="4"/>
      <c r="BD1030" s="4"/>
      <c r="BE1030" s="4"/>
    </row>
    <row r="1031" spans="2:57" x14ac:dyDescent="0.3">
      <c r="B1031" s="6" t="s">
        <v>1054</v>
      </c>
      <c r="C1031" s="6">
        <v>33</v>
      </c>
      <c r="D1031" s="6" t="s">
        <v>12</v>
      </c>
      <c r="E1031" s="6" t="s">
        <v>15</v>
      </c>
      <c r="F1031" s="6" t="s">
        <v>20</v>
      </c>
      <c r="G1031" s="19">
        <v>3838</v>
      </c>
      <c r="H1031" s="11">
        <v>5</v>
      </c>
      <c r="I1031" s="6">
        <v>2</v>
      </c>
      <c r="J1031" s="6" t="s">
        <v>14</v>
      </c>
      <c r="K1031" s="5" t="s">
        <v>14</v>
      </c>
      <c r="L1031" s="3" t="str">
        <f>IF(Table1[[#This Row],[Monthly Income]]&lt;3000,"Low",IF(Table1[[#This Row],[Monthly Income]]&lt;7000,"Medium","High"))</f>
        <v>Medium</v>
      </c>
      <c r="AK1031" s="6"/>
      <c r="AL1031" s="6"/>
      <c r="AM1031" s="6"/>
      <c r="AN1031" s="6"/>
      <c r="AO1031" s="6"/>
      <c r="AP1031" s="6"/>
      <c r="AQ1031" s="6"/>
      <c r="AR1031" s="6"/>
      <c r="AS1031" s="6"/>
      <c r="AU1031" s="6"/>
      <c r="AV1031" s="6"/>
      <c r="AW1031" s="6"/>
      <c r="AX1031" s="6"/>
      <c r="AY1031" s="6"/>
      <c r="AZ1031" s="6"/>
      <c r="BA1031" s="6"/>
      <c r="BB1031" s="6"/>
      <c r="BC1031" s="6"/>
      <c r="BD1031" s="6"/>
      <c r="BE1031" s="6"/>
    </row>
    <row r="1032" spans="2:57" x14ac:dyDescent="0.3">
      <c r="B1032" s="4" t="s">
        <v>1055</v>
      </c>
      <c r="C1032" s="4">
        <v>43</v>
      </c>
      <c r="D1032" s="4" t="s">
        <v>12</v>
      </c>
      <c r="E1032" s="4" t="s">
        <v>15</v>
      </c>
      <c r="F1032" s="4" t="s">
        <v>39</v>
      </c>
      <c r="G1032" s="18">
        <v>19392</v>
      </c>
      <c r="H1032" s="10">
        <v>16</v>
      </c>
      <c r="I1032" s="4">
        <v>3</v>
      </c>
      <c r="J1032" s="4" t="s">
        <v>14</v>
      </c>
      <c r="K1032" s="3" t="s">
        <v>14</v>
      </c>
      <c r="L1032" s="3" t="str">
        <f>IF(Table1[[#This Row],[Monthly Income]]&lt;3000,"Low",IF(Table1[[#This Row],[Monthly Income]]&lt;7000,"Medium","High"))</f>
        <v>High</v>
      </c>
      <c r="AK1032" s="4"/>
      <c r="AL1032" s="4"/>
      <c r="AM1032" s="4"/>
      <c r="AN1032" s="4"/>
      <c r="AO1032" s="4"/>
      <c r="AP1032" s="4"/>
      <c r="AQ1032" s="4"/>
      <c r="AR1032" s="4"/>
      <c r="AS1032" s="4"/>
      <c r="AU1032" s="4"/>
      <c r="AV1032" s="4"/>
      <c r="AW1032" s="4"/>
      <c r="AX1032" s="4"/>
      <c r="AY1032" s="4"/>
      <c r="AZ1032" s="4"/>
      <c r="BA1032" s="4"/>
      <c r="BB1032" s="4"/>
      <c r="BC1032" s="4"/>
      <c r="BD1032" s="4"/>
      <c r="BE1032" s="4"/>
    </row>
    <row r="1033" spans="2:57" x14ac:dyDescent="0.3">
      <c r="B1033" s="6" t="s">
        <v>1056</v>
      </c>
      <c r="C1033" s="6">
        <v>51</v>
      </c>
      <c r="D1033" s="6" t="s">
        <v>12</v>
      </c>
      <c r="E1033" s="6" t="s">
        <v>15</v>
      </c>
      <c r="F1033" s="6" t="s">
        <v>39</v>
      </c>
      <c r="G1033" s="19">
        <v>13116</v>
      </c>
      <c r="H1033" s="11">
        <v>2</v>
      </c>
      <c r="I1033" s="6">
        <v>3</v>
      </c>
      <c r="J1033" s="6" t="s">
        <v>14</v>
      </c>
      <c r="K1033" s="5" t="s">
        <v>14</v>
      </c>
      <c r="L1033" s="3" t="str">
        <f>IF(Table1[[#This Row],[Monthly Income]]&lt;3000,"Low",IF(Table1[[#This Row],[Monthly Income]]&lt;7000,"Medium","High"))</f>
        <v>High</v>
      </c>
      <c r="AK1033" s="6"/>
      <c r="AL1033" s="6"/>
      <c r="AM1033" s="6"/>
      <c r="AN1033" s="6"/>
      <c r="AO1033" s="6"/>
      <c r="AP1033" s="6"/>
      <c r="AQ1033" s="6"/>
      <c r="AR1033" s="6"/>
      <c r="AS1033" s="6"/>
      <c r="AU1033" s="6"/>
      <c r="AV1033" s="6"/>
      <c r="AW1033" s="6"/>
      <c r="AX1033" s="6"/>
      <c r="AY1033" s="6"/>
      <c r="AZ1033" s="6"/>
      <c r="BA1033" s="6"/>
      <c r="BB1033" s="6"/>
      <c r="BC1033" s="6"/>
      <c r="BD1033" s="6"/>
      <c r="BE1033" s="6"/>
    </row>
    <row r="1034" spans="2:57" x14ac:dyDescent="0.3">
      <c r="B1034" s="4" t="s">
        <v>1057</v>
      </c>
      <c r="C1034" s="4">
        <v>34</v>
      </c>
      <c r="D1034" s="4" t="s">
        <v>12</v>
      </c>
      <c r="E1034" s="4" t="s">
        <v>15</v>
      </c>
      <c r="F1034" s="4" t="s">
        <v>18</v>
      </c>
      <c r="G1034" s="18">
        <v>2929</v>
      </c>
      <c r="H1034" s="10">
        <v>10</v>
      </c>
      <c r="I1034" s="4">
        <v>4</v>
      </c>
      <c r="J1034" s="4" t="s">
        <v>14</v>
      </c>
      <c r="K1034" s="3" t="s">
        <v>14</v>
      </c>
      <c r="L1034" s="3" t="str">
        <f>IF(Table1[[#This Row],[Monthly Income]]&lt;3000,"Low",IF(Table1[[#This Row],[Monthly Income]]&lt;7000,"Medium","High"))</f>
        <v>Low</v>
      </c>
      <c r="AK1034" s="4"/>
      <c r="AL1034" s="4"/>
      <c r="AM1034" s="4"/>
      <c r="AN1034" s="4"/>
      <c r="AO1034" s="4"/>
      <c r="AP1034" s="4"/>
      <c r="AQ1034" s="4"/>
      <c r="AR1034" s="4"/>
      <c r="AS1034" s="4"/>
      <c r="AU1034" s="4"/>
      <c r="AV1034" s="4"/>
      <c r="AW1034" s="4"/>
      <c r="AX1034" s="4"/>
      <c r="AY1034" s="4"/>
      <c r="AZ1034" s="4"/>
      <c r="BA1034" s="4"/>
      <c r="BB1034" s="4"/>
      <c r="BC1034" s="4"/>
      <c r="BD1034" s="4"/>
      <c r="BE1034" s="4"/>
    </row>
    <row r="1035" spans="2:57" x14ac:dyDescent="0.3">
      <c r="B1035" s="6" t="s">
        <v>1058</v>
      </c>
      <c r="C1035" s="6">
        <v>27</v>
      </c>
      <c r="D1035" s="6" t="s">
        <v>12</v>
      </c>
      <c r="E1035" s="6" t="s">
        <v>15</v>
      </c>
      <c r="F1035" s="6" t="s">
        <v>18</v>
      </c>
      <c r="G1035" s="19">
        <v>3517</v>
      </c>
      <c r="H1035" s="11">
        <v>3</v>
      </c>
      <c r="I1035" s="6">
        <v>3</v>
      </c>
      <c r="J1035" s="6" t="s">
        <v>14</v>
      </c>
      <c r="K1035" s="5" t="s">
        <v>14</v>
      </c>
      <c r="L1035" s="3" t="str">
        <f>IF(Table1[[#This Row],[Monthly Income]]&lt;3000,"Low",IF(Table1[[#This Row],[Monthly Income]]&lt;7000,"Medium","High"))</f>
        <v>Medium</v>
      </c>
      <c r="AK1035" s="6"/>
      <c r="AL1035" s="6"/>
      <c r="AM1035" s="6"/>
      <c r="AN1035" s="6"/>
      <c r="AO1035" s="6"/>
      <c r="AP1035" s="6"/>
      <c r="AQ1035" s="6"/>
      <c r="AR1035" s="6"/>
      <c r="AS1035" s="6"/>
      <c r="AU1035" s="6"/>
      <c r="AV1035" s="6"/>
      <c r="AW1035" s="6"/>
      <c r="AX1035" s="6"/>
      <c r="AY1035" s="6"/>
      <c r="AZ1035" s="6"/>
      <c r="BA1035" s="6"/>
      <c r="BB1035" s="6"/>
      <c r="BC1035" s="6"/>
      <c r="BD1035" s="6"/>
      <c r="BE1035" s="6"/>
    </row>
    <row r="1036" spans="2:57" x14ac:dyDescent="0.3">
      <c r="B1036" s="4" t="s">
        <v>1059</v>
      </c>
      <c r="C1036" s="4">
        <v>52</v>
      </c>
      <c r="D1036" s="4" t="s">
        <v>12</v>
      </c>
      <c r="E1036" s="4" t="s">
        <v>15</v>
      </c>
      <c r="F1036" s="4" t="s">
        <v>20</v>
      </c>
      <c r="G1036" s="18">
        <v>2950</v>
      </c>
      <c r="H1036" s="10">
        <v>5</v>
      </c>
      <c r="I1036" s="4">
        <v>1</v>
      </c>
      <c r="J1036" s="4" t="s">
        <v>14</v>
      </c>
      <c r="K1036" s="3" t="s">
        <v>14</v>
      </c>
      <c r="L1036" s="3" t="str">
        <f>IF(Table1[[#This Row],[Monthly Income]]&lt;3000,"Low",IF(Table1[[#This Row],[Monthly Income]]&lt;7000,"Medium","High"))</f>
        <v>Low</v>
      </c>
      <c r="AK1036" s="4"/>
      <c r="AL1036" s="4"/>
      <c r="AM1036" s="4"/>
      <c r="AN1036" s="4"/>
      <c r="AO1036" s="4"/>
      <c r="AP1036" s="4"/>
      <c r="AQ1036" s="4"/>
      <c r="AR1036" s="4"/>
      <c r="AS1036" s="4"/>
      <c r="AU1036" s="4"/>
      <c r="AV1036" s="4"/>
      <c r="AW1036" s="4"/>
      <c r="AX1036" s="4"/>
      <c r="AY1036" s="4"/>
      <c r="AZ1036" s="4"/>
      <c r="BA1036" s="4"/>
      <c r="BB1036" s="4"/>
      <c r="BC1036" s="4"/>
      <c r="BD1036" s="4"/>
      <c r="BE1036" s="4"/>
    </row>
    <row r="1037" spans="2:57" x14ac:dyDescent="0.3">
      <c r="B1037" s="6" t="s">
        <v>1060</v>
      </c>
      <c r="C1037" s="6">
        <v>38</v>
      </c>
      <c r="D1037" s="6" t="s">
        <v>12</v>
      </c>
      <c r="E1037" s="6" t="s">
        <v>15</v>
      </c>
      <c r="F1037" s="6" t="s">
        <v>45</v>
      </c>
      <c r="G1037" s="19">
        <v>13206</v>
      </c>
      <c r="H1037" s="11">
        <v>18</v>
      </c>
      <c r="I1037" s="6">
        <v>3</v>
      </c>
      <c r="J1037" s="6" t="s">
        <v>14</v>
      </c>
      <c r="K1037" s="5" t="s">
        <v>14</v>
      </c>
      <c r="L1037" s="3" t="str">
        <f>IF(Table1[[#This Row],[Monthly Income]]&lt;3000,"Low",IF(Table1[[#This Row],[Monthly Income]]&lt;7000,"Medium","High"))</f>
        <v>High</v>
      </c>
      <c r="AK1037" s="6"/>
      <c r="AL1037" s="6"/>
      <c r="AM1037" s="6"/>
      <c r="AN1037" s="6"/>
      <c r="AO1037" s="6"/>
      <c r="AP1037" s="6"/>
      <c r="AQ1037" s="6"/>
      <c r="AR1037" s="6"/>
      <c r="AS1037" s="6"/>
      <c r="AU1037" s="6"/>
      <c r="AV1037" s="6"/>
      <c r="AW1037" s="6"/>
      <c r="AX1037" s="6"/>
      <c r="AY1037" s="6"/>
      <c r="AZ1037" s="6"/>
      <c r="BA1037" s="6"/>
      <c r="BB1037" s="6"/>
      <c r="BC1037" s="6"/>
      <c r="BD1037" s="6"/>
      <c r="BE1037" s="6"/>
    </row>
    <row r="1038" spans="2:57" x14ac:dyDescent="0.3">
      <c r="B1038" s="4" t="s">
        <v>1061</v>
      </c>
      <c r="C1038" s="4">
        <v>37</v>
      </c>
      <c r="D1038" s="4" t="s">
        <v>12</v>
      </c>
      <c r="E1038" s="4" t="s">
        <v>15</v>
      </c>
      <c r="F1038" s="4" t="s">
        <v>18</v>
      </c>
      <c r="G1038" s="18">
        <v>3936</v>
      </c>
      <c r="H1038" s="10">
        <v>8</v>
      </c>
      <c r="I1038" s="4">
        <v>2</v>
      </c>
      <c r="J1038" s="4" t="s">
        <v>14</v>
      </c>
      <c r="K1038" s="3" t="s">
        <v>14</v>
      </c>
      <c r="L1038" s="3" t="str">
        <f>IF(Table1[[#This Row],[Monthly Income]]&lt;3000,"Low",IF(Table1[[#This Row],[Monthly Income]]&lt;7000,"Medium","High"))</f>
        <v>Medium</v>
      </c>
      <c r="AK1038" s="4"/>
      <c r="AL1038" s="4"/>
      <c r="AM1038" s="4"/>
      <c r="AN1038" s="4"/>
      <c r="AO1038" s="4"/>
      <c r="AP1038" s="4"/>
      <c r="AQ1038" s="4"/>
      <c r="AR1038" s="4"/>
      <c r="AS1038" s="4"/>
      <c r="AU1038" s="4"/>
      <c r="AV1038" s="4"/>
      <c r="AW1038" s="4"/>
      <c r="AX1038" s="4"/>
      <c r="AY1038" s="4"/>
      <c r="AZ1038" s="4"/>
      <c r="BA1038" s="4"/>
      <c r="BB1038" s="4"/>
      <c r="BC1038" s="4"/>
      <c r="BD1038" s="4"/>
      <c r="BE1038" s="4"/>
    </row>
    <row r="1039" spans="2:57" x14ac:dyDescent="0.3">
      <c r="B1039" s="6" t="s">
        <v>1062</v>
      </c>
      <c r="C1039" s="6">
        <v>29</v>
      </c>
      <c r="D1039" s="6" t="s">
        <v>12</v>
      </c>
      <c r="E1039" s="6" t="s">
        <v>15</v>
      </c>
      <c r="F1039" s="6" t="s">
        <v>29</v>
      </c>
      <c r="G1039" s="19">
        <v>9715</v>
      </c>
      <c r="H1039" s="11">
        <v>7</v>
      </c>
      <c r="I1039" s="6">
        <v>1</v>
      </c>
      <c r="J1039" s="6" t="s">
        <v>14</v>
      </c>
      <c r="K1039" s="5" t="s">
        <v>14</v>
      </c>
      <c r="L1039" s="3" t="str">
        <f>IF(Table1[[#This Row],[Monthly Income]]&lt;3000,"Low",IF(Table1[[#This Row],[Monthly Income]]&lt;7000,"Medium","High"))</f>
        <v>High</v>
      </c>
      <c r="AK1039" s="6"/>
      <c r="AL1039" s="6"/>
      <c r="AM1039" s="6"/>
      <c r="AN1039" s="6"/>
      <c r="AO1039" s="6"/>
      <c r="AP1039" s="6"/>
      <c r="AQ1039" s="6"/>
      <c r="AR1039" s="6"/>
      <c r="AS1039" s="6"/>
      <c r="AU1039" s="6"/>
      <c r="AV1039" s="6"/>
      <c r="AW1039" s="6"/>
      <c r="AX1039" s="6"/>
      <c r="AY1039" s="6"/>
      <c r="AZ1039" s="6"/>
      <c r="BA1039" s="6"/>
      <c r="BB1039" s="6"/>
      <c r="BC1039" s="6"/>
      <c r="BD1039" s="6"/>
      <c r="BE1039" s="6"/>
    </row>
    <row r="1040" spans="2:57" x14ac:dyDescent="0.3">
      <c r="B1040" s="4" t="s">
        <v>1063</v>
      </c>
      <c r="C1040" s="4">
        <v>35</v>
      </c>
      <c r="D1040" s="4" t="s">
        <v>12</v>
      </c>
      <c r="E1040" s="4" t="s">
        <v>15</v>
      </c>
      <c r="F1040" s="4" t="s">
        <v>18</v>
      </c>
      <c r="G1040" s="18">
        <v>2977</v>
      </c>
      <c r="H1040" s="10">
        <v>4</v>
      </c>
      <c r="I1040" s="4">
        <v>4</v>
      </c>
      <c r="J1040" s="4" t="s">
        <v>14</v>
      </c>
      <c r="K1040" s="3" t="s">
        <v>14</v>
      </c>
      <c r="L1040" s="3" t="str">
        <f>IF(Table1[[#This Row],[Monthly Income]]&lt;3000,"Low",IF(Table1[[#This Row],[Monthly Income]]&lt;7000,"Medium","High"))</f>
        <v>Low</v>
      </c>
      <c r="AK1040" s="4"/>
      <c r="AL1040" s="4"/>
      <c r="AM1040" s="4"/>
      <c r="AN1040" s="4"/>
      <c r="AO1040" s="4"/>
      <c r="AP1040" s="4"/>
      <c r="AQ1040" s="4"/>
      <c r="AR1040" s="4"/>
      <c r="AS1040" s="4"/>
      <c r="AU1040" s="4"/>
      <c r="AV1040" s="4"/>
      <c r="AW1040" s="4"/>
      <c r="AX1040" s="4"/>
      <c r="AY1040" s="4"/>
      <c r="AZ1040" s="4"/>
      <c r="BA1040" s="4"/>
      <c r="BB1040" s="4"/>
      <c r="BC1040" s="4"/>
      <c r="BD1040" s="4"/>
      <c r="BE1040" s="4"/>
    </row>
    <row r="1041" spans="2:57" x14ac:dyDescent="0.3">
      <c r="B1041" s="6" t="s">
        <v>1064</v>
      </c>
      <c r="C1041" s="6">
        <v>40</v>
      </c>
      <c r="D1041" s="6" t="s">
        <v>12</v>
      </c>
      <c r="E1041" s="6" t="s">
        <v>15</v>
      </c>
      <c r="F1041" s="6" t="s">
        <v>20</v>
      </c>
      <c r="G1041" s="19">
        <v>3377</v>
      </c>
      <c r="H1041" s="11">
        <v>4</v>
      </c>
      <c r="I1041" s="6">
        <v>1</v>
      </c>
      <c r="J1041" s="6" t="s">
        <v>14</v>
      </c>
      <c r="K1041" s="5" t="s">
        <v>14</v>
      </c>
      <c r="L1041" s="3" t="str">
        <f>IF(Table1[[#This Row],[Monthly Income]]&lt;3000,"Low",IF(Table1[[#This Row],[Monthly Income]]&lt;7000,"Medium","High"))</f>
        <v>Medium</v>
      </c>
      <c r="AK1041" s="6"/>
      <c r="AL1041" s="6"/>
      <c r="AM1041" s="6"/>
      <c r="AN1041" s="6"/>
      <c r="AO1041" s="6"/>
      <c r="AP1041" s="6"/>
      <c r="AQ1041" s="6"/>
      <c r="AR1041" s="6"/>
      <c r="AS1041" s="6"/>
      <c r="AU1041" s="6"/>
      <c r="AV1041" s="6"/>
      <c r="AW1041" s="6"/>
      <c r="AX1041" s="6"/>
      <c r="AY1041" s="6"/>
      <c r="AZ1041" s="6"/>
      <c r="BA1041" s="6"/>
      <c r="BB1041" s="6"/>
      <c r="BC1041" s="6"/>
      <c r="BD1041" s="6"/>
      <c r="BE1041" s="6"/>
    </row>
    <row r="1042" spans="2:57" x14ac:dyDescent="0.3">
      <c r="B1042" s="4" t="s">
        <v>1065</v>
      </c>
      <c r="C1042" s="4">
        <v>49</v>
      </c>
      <c r="D1042" s="4" t="s">
        <v>12</v>
      </c>
      <c r="E1042" s="4" t="s">
        <v>15</v>
      </c>
      <c r="F1042" s="4" t="s">
        <v>20</v>
      </c>
      <c r="G1042" s="18">
        <v>3211</v>
      </c>
      <c r="H1042" s="10">
        <v>9</v>
      </c>
      <c r="I1042" s="4">
        <v>1</v>
      </c>
      <c r="J1042" s="4" t="s">
        <v>14</v>
      </c>
      <c r="K1042" s="3" t="s">
        <v>14</v>
      </c>
      <c r="L1042" s="3" t="str">
        <f>IF(Table1[[#This Row],[Monthly Income]]&lt;3000,"Low",IF(Table1[[#This Row],[Monthly Income]]&lt;7000,"Medium","High"))</f>
        <v>Medium</v>
      </c>
      <c r="AK1042" s="4"/>
      <c r="AL1042" s="4"/>
      <c r="AM1042" s="4"/>
      <c r="AN1042" s="4"/>
      <c r="AO1042" s="4"/>
      <c r="AP1042" s="4"/>
      <c r="AQ1042" s="4"/>
      <c r="AR1042" s="4"/>
      <c r="AS1042" s="4"/>
      <c r="AU1042" s="4"/>
      <c r="AV1042" s="4"/>
      <c r="AW1042" s="4"/>
      <c r="AX1042" s="4"/>
      <c r="AY1042" s="4"/>
      <c r="AZ1042" s="4"/>
      <c r="BA1042" s="4"/>
      <c r="BB1042" s="4"/>
      <c r="BC1042" s="4"/>
      <c r="BD1042" s="4"/>
      <c r="BE1042" s="4"/>
    </row>
    <row r="1043" spans="2:57" x14ac:dyDescent="0.3">
      <c r="B1043" s="6" t="s">
        <v>1066</v>
      </c>
      <c r="C1043" s="6">
        <v>48</v>
      </c>
      <c r="D1043" s="6" t="s">
        <v>12</v>
      </c>
      <c r="E1043" s="6" t="s">
        <v>15</v>
      </c>
      <c r="F1043" s="6" t="s">
        <v>18</v>
      </c>
      <c r="G1043" s="19">
        <v>2367</v>
      </c>
      <c r="H1043" s="11">
        <v>8</v>
      </c>
      <c r="I1043" s="6">
        <v>1</v>
      </c>
      <c r="J1043" s="6" t="s">
        <v>14</v>
      </c>
      <c r="K1043" s="5" t="s">
        <v>14</v>
      </c>
      <c r="L1043" s="3" t="str">
        <f>IF(Table1[[#This Row],[Monthly Income]]&lt;3000,"Low",IF(Table1[[#This Row],[Monthly Income]]&lt;7000,"Medium","High"))</f>
        <v>Low</v>
      </c>
      <c r="AK1043" s="6"/>
      <c r="AL1043" s="6"/>
      <c r="AM1043" s="6"/>
      <c r="AN1043" s="6"/>
      <c r="AO1043" s="6"/>
      <c r="AP1043" s="6"/>
      <c r="AQ1043" s="6"/>
      <c r="AR1043" s="6"/>
      <c r="AS1043" s="6"/>
      <c r="AU1043" s="6"/>
      <c r="AV1043" s="6"/>
      <c r="AW1043" s="6"/>
      <c r="AX1043" s="6"/>
      <c r="AY1043" s="6"/>
      <c r="AZ1043" s="6"/>
      <c r="BA1043" s="6"/>
      <c r="BB1043" s="6"/>
      <c r="BC1043" s="6"/>
      <c r="BD1043" s="6"/>
      <c r="BE1043" s="6"/>
    </row>
    <row r="1044" spans="2:57" x14ac:dyDescent="0.3">
      <c r="B1044" s="4" t="s">
        <v>1067</v>
      </c>
      <c r="C1044" s="4">
        <v>34</v>
      </c>
      <c r="D1044" s="4" t="s">
        <v>12</v>
      </c>
      <c r="E1044" s="4" t="s">
        <v>15</v>
      </c>
      <c r="F1044" s="4" t="s">
        <v>20</v>
      </c>
      <c r="G1044" s="18">
        <v>3294</v>
      </c>
      <c r="H1044" s="10">
        <v>5</v>
      </c>
      <c r="I1044" s="4">
        <v>2</v>
      </c>
      <c r="J1044" s="4" t="s">
        <v>14</v>
      </c>
      <c r="K1044" s="3" t="s">
        <v>14</v>
      </c>
      <c r="L1044" s="3" t="str">
        <f>IF(Table1[[#This Row],[Monthly Income]]&lt;3000,"Low",IF(Table1[[#This Row],[Monthly Income]]&lt;7000,"Medium","High"))</f>
        <v>Medium</v>
      </c>
      <c r="AK1044" s="4"/>
      <c r="AL1044" s="4"/>
      <c r="AM1044" s="4"/>
      <c r="AN1044" s="4"/>
      <c r="AO1044" s="4"/>
      <c r="AP1044" s="4"/>
      <c r="AQ1044" s="4"/>
      <c r="AR1044" s="4"/>
      <c r="AS1044" s="4"/>
      <c r="AU1044" s="4"/>
      <c r="AV1044" s="4"/>
      <c r="AW1044" s="4"/>
      <c r="AX1044" s="4"/>
      <c r="AY1044" s="4"/>
      <c r="AZ1044" s="4"/>
      <c r="BA1044" s="4"/>
      <c r="BB1044" s="4"/>
      <c r="BC1044" s="4"/>
      <c r="BD1044" s="4"/>
      <c r="BE1044" s="4"/>
    </row>
    <row r="1045" spans="2:57" x14ac:dyDescent="0.3">
      <c r="B1045" s="6" t="s">
        <v>1068</v>
      </c>
      <c r="C1045" s="6">
        <v>32</v>
      </c>
      <c r="D1045" s="6" t="s">
        <v>12</v>
      </c>
      <c r="E1045" s="6" t="s">
        <v>15</v>
      </c>
      <c r="F1045" s="6" t="s">
        <v>18</v>
      </c>
      <c r="G1045" s="19">
        <v>5878</v>
      </c>
      <c r="H1045" s="11">
        <v>7</v>
      </c>
      <c r="I1045" s="6">
        <v>2</v>
      </c>
      <c r="J1045" s="6" t="s">
        <v>14</v>
      </c>
      <c r="K1045" s="5" t="s">
        <v>14</v>
      </c>
      <c r="L1045" s="3" t="str">
        <f>IF(Table1[[#This Row],[Monthly Income]]&lt;3000,"Low",IF(Table1[[#This Row],[Monthly Income]]&lt;7000,"Medium","High"))</f>
        <v>Medium</v>
      </c>
      <c r="AK1045" s="6"/>
      <c r="AL1045" s="6"/>
      <c r="AM1045" s="6"/>
      <c r="AN1045" s="6"/>
      <c r="AO1045" s="6"/>
      <c r="AP1045" s="6"/>
      <c r="AQ1045" s="6"/>
      <c r="AR1045" s="6"/>
      <c r="AS1045" s="6"/>
      <c r="AU1045" s="6"/>
      <c r="AV1045" s="6"/>
      <c r="AW1045" s="6"/>
      <c r="AX1045" s="6"/>
      <c r="AY1045" s="6"/>
      <c r="AZ1045" s="6"/>
      <c r="BA1045" s="6"/>
      <c r="BB1045" s="6"/>
      <c r="BC1045" s="6"/>
      <c r="BD1045" s="6"/>
      <c r="BE1045" s="6"/>
    </row>
    <row r="1046" spans="2:57" x14ac:dyDescent="0.3">
      <c r="B1046" s="4" t="s">
        <v>1069</v>
      </c>
      <c r="C1046" s="4">
        <v>38</v>
      </c>
      <c r="D1046" s="4" t="s">
        <v>12</v>
      </c>
      <c r="E1046" s="4" t="s">
        <v>15</v>
      </c>
      <c r="F1046" s="4" t="s">
        <v>20</v>
      </c>
      <c r="G1046" s="18">
        <v>3702</v>
      </c>
      <c r="H1046" s="10">
        <v>5</v>
      </c>
      <c r="I1046" s="4">
        <v>3</v>
      </c>
      <c r="J1046" s="4" t="s">
        <v>14</v>
      </c>
      <c r="K1046" s="3" t="s">
        <v>14</v>
      </c>
      <c r="L1046" s="3" t="str">
        <f>IF(Table1[[#This Row],[Monthly Income]]&lt;3000,"Low",IF(Table1[[#This Row],[Monthly Income]]&lt;7000,"Medium","High"))</f>
        <v>Medium</v>
      </c>
      <c r="AK1046" s="4"/>
      <c r="AL1046" s="4"/>
      <c r="AM1046" s="4"/>
      <c r="AN1046" s="4"/>
      <c r="AO1046" s="4"/>
      <c r="AP1046" s="4"/>
      <c r="AQ1046" s="4"/>
      <c r="AR1046" s="4"/>
      <c r="AS1046" s="4"/>
      <c r="AU1046" s="4"/>
      <c r="AV1046" s="4"/>
      <c r="AW1046" s="4"/>
      <c r="AX1046" s="4"/>
      <c r="AY1046" s="4"/>
      <c r="AZ1046" s="4"/>
      <c r="BA1046" s="4"/>
      <c r="BB1046" s="4"/>
      <c r="BC1046" s="4"/>
      <c r="BD1046" s="4"/>
      <c r="BE1046" s="4"/>
    </row>
    <row r="1047" spans="2:57" x14ac:dyDescent="0.3">
      <c r="B1047" s="6" t="s">
        <v>1070</v>
      </c>
      <c r="C1047" s="6">
        <v>38</v>
      </c>
      <c r="D1047" s="6" t="s">
        <v>12</v>
      </c>
      <c r="E1047" s="6" t="s">
        <v>15</v>
      </c>
      <c r="F1047" s="6" t="s">
        <v>20</v>
      </c>
      <c r="G1047" s="19">
        <v>3306</v>
      </c>
      <c r="H1047" s="11">
        <v>0</v>
      </c>
      <c r="I1047" s="6">
        <v>3</v>
      </c>
      <c r="J1047" s="6" t="s">
        <v>14</v>
      </c>
      <c r="K1047" s="5" t="s">
        <v>14</v>
      </c>
      <c r="L1047" s="3" t="str">
        <f>IF(Table1[[#This Row],[Monthly Income]]&lt;3000,"Low",IF(Table1[[#This Row],[Monthly Income]]&lt;7000,"Medium","High"))</f>
        <v>Medium</v>
      </c>
      <c r="AK1047" s="6"/>
      <c r="AL1047" s="6"/>
      <c r="AM1047" s="6"/>
      <c r="AN1047" s="6"/>
      <c r="AO1047" s="6"/>
      <c r="AP1047" s="6"/>
      <c r="AQ1047" s="6"/>
      <c r="AR1047" s="6"/>
      <c r="AS1047" s="6"/>
      <c r="AU1047" s="6"/>
      <c r="AV1047" s="6"/>
      <c r="AW1047" s="6"/>
      <c r="AX1047" s="6"/>
      <c r="AY1047" s="6"/>
      <c r="AZ1047" s="6"/>
      <c r="BA1047" s="6"/>
      <c r="BB1047" s="6"/>
      <c r="BC1047" s="6"/>
      <c r="BD1047" s="6"/>
      <c r="BE1047" s="6"/>
    </row>
    <row r="1048" spans="2:57" x14ac:dyDescent="0.3">
      <c r="B1048" s="4" t="s">
        <v>1071</v>
      </c>
      <c r="C1048" s="4">
        <v>29</v>
      </c>
      <c r="D1048" s="4" t="s">
        <v>12</v>
      </c>
      <c r="E1048" s="4" t="s">
        <v>15</v>
      </c>
      <c r="F1048" s="4" t="s">
        <v>20</v>
      </c>
      <c r="G1048" s="18">
        <v>2974</v>
      </c>
      <c r="H1048" s="10">
        <v>5</v>
      </c>
      <c r="I1048" s="4">
        <v>3</v>
      </c>
      <c r="J1048" s="4" t="s">
        <v>14</v>
      </c>
      <c r="K1048" s="3" t="s">
        <v>14</v>
      </c>
      <c r="L1048" s="3" t="str">
        <f>IF(Table1[[#This Row],[Monthly Income]]&lt;3000,"Low",IF(Table1[[#This Row],[Monthly Income]]&lt;7000,"Medium","High"))</f>
        <v>Low</v>
      </c>
      <c r="AK1048" s="4"/>
      <c r="AL1048" s="4"/>
      <c r="AM1048" s="4"/>
      <c r="AN1048" s="4"/>
      <c r="AO1048" s="4"/>
      <c r="AP1048" s="4"/>
      <c r="AQ1048" s="4"/>
      <c r="AR1048" s="4"/>
      <c r="AS1048" s="4"/>
      <c r="AU1048" s="4"/>
      <c r="AV1048" s="4"/>
      <c r="AW1048" s="4"/>
      <c r="AX1048" s="4"/>
      <c r="AY1048" s="4"/>
      <c r="AZ1048" s="4"/>
      <c r="BA1048" s="4"/>
      <c r="BB1048" s="4"/>
      <c r="BC1048" s="4"/>
      <c r="BD1048" s="4"/>
      <c r="BE1048" s="4"/>
    </row>
    <row r="1049" spans="2:57" x14ac:dyDescent="0.3">
      <c r="B1049" s="6" t="s">
        <v>1072</v>
      </c>
      <c r="C1049" s="6">
        <v>54</v>
      </c>
      <c r="D1049" s="6" t="s">
        <v>12</v>
      </c>
      <c r="E1049" s="6" t="s">
        <v>15</v>
      </c>
      <c r="F1049" s="6" t="s">
        <v>18</v>
      </c>
      <c r="G1049" s="19">
        <v>6854</v>
      </c>
      <c r="H1049" s="11">
        <v>7</v>
      </c>
      <c r="I1049" s="6">
        <v>4</v>
      </c>
      <c r="J1049" s="6" t="s">
        <v>14</v>
      </c>
      <c r="K1049" s="5" t="s">
        <v>14</v>
      </c>
      <c r="L1049" s="3" t="str">
        <f>IF(Table1[[#This Row],[Monthly Income]]&lt;3000,"Low",IF(Table1[[#This Row],[Monthly Income]]&lt;7000,"Medium","High"))</f>
        <v>Medium</v>
      </c>
      <c r="AK1049" s="6"/>
      <c r="AL1049" s="6"/>
      <c r="AM1049" s="6"/>
      <c r="AN1049" s="6"/>
      <c r="AO1049" s="6"/>
      <c r="AP1049" s="6"/>
      <c r="AQ1049" s="6"/>
      <c r="AR1049" s="6"/>
      <c r="AS1049" s="6"/>
      <c r="AU1049" s="6"/>
      <c r="AV1049" s="6"/>
      <c r="AW1049" s="6"/>
      <c r="AX1049" s="6"/>
      <c r="AY1049" s="6"/>
      <c r="AZ1049" s="6"/>
      <c r="BA1049" s="6"/>
      <c r="BB1049" s="6"/>
      <c r="BC1049" s="6"/>
      <c r="BD1049" s="6"/>
      <c r="BE1049" s="6"/>
    </row>
    <row r="1050" spans="2:57" x14ac:dyDescent="0.3">
      <c r="B1050" s="4" t="s">
        <v>1073</v>
      </c>
      <c r="C1050" s="4">
        <v>40</v>
      </c>
      <c r="D1050" s="4" t="s">
        <v>12</v>
      </c>
      <c r="E1050" s="4" t="s">
        <v>15</v>
      </c>
      <c r="F1050" s="4" t="s">
        <v>27</v>
      </c>
      <c r="G1050" s="18">
        <v>10435</v>
      </c>
      <c r="H1050" s="10">
        <v>18</v>
      </c>
      <c r="I1050" s="4">
        <v>3</v>
      </c>
      <c r="J1050" s="4" t="s">
        <v>14</v>
      </c>
      <c r="K1050" s="3" t="s">
        <v>14</v>
      </c>
      <c r="L1050" s="3" t="str">
        <f>IF(Table1[[#This Row],[Monthly Income]]&lt;3000,"Low",IF(Table1[[#This Row],[Monthly Income]]&lt;7000,"Medium","High"))</f>
        <v>High</v>
      </c>
      <c r="AK1050" s="4"/>
      <c r="AL1050" s="4"/>
      <c r="AM1050" s="4"/>
      <c r="AN1050" s="4"/>
      <c r="AO1050" s="4"/>
      <c r="AP1050" s="4"/>
      <c r="AQ1050" s="4"/>
      <c r="AR1050" s="4"/>
      <c r="AS1050" s="4"/>
      <c r="AU1050" s="4"/>
      <c r="AV1050" s="4"/>
      <c r="AW1050" s="4"/>
      <c r="AX1050" s="4"/>
      <c r="AY1050" s="4"/>
      <c r="AZ1050" s="4"/>
      <c r="BA1050" s="4"/>
      <c r="BB1050" s="4"/>
      <c r="BC1050" s="4"/>
      <c r="BD1050" s="4"/>
      <c r="BE1050" s="4"/>
    </row>
    <row r="1051" spans="2:57" x14ac:dyDescent="0.3">
      <c r="B1051" s="6" t="s">
        <v>1074</v>
      </c>
      <c r="C1051" s="6">
        <v>49</v>
      </c>
      <c r="D1051" s="6" t="s">
        <v>12</v>
      </c>
      <c r="E1051" s="6" t="s">
        <v>15</v>
      </c>
      <c r="F1051" s="6" t="s">
        <v>45</v>
      </c>
      <c r="G1051" s="19">
        <v>16413</v>
      </c>
      <c r="H1051" s="11">
        <v>4</v>
      </c>
      <c r="I1051" s="6">
        <v>2</v>
      </c>
      <c r="J1051" s="6" t="s">
        <v>14</v>
      </c>
      <c r="K1051" s="5" t="s">
        <v>14</v>
      </c>
      <c r="L1051" s="3" t="str">
        <f>IF(Table1[[#This Row],[Monthly Income]]&lt;3000,"Low",IF(Table1[[#This Row],[Monthly Income]]&lt;7000,"Medium","High"))</f>
        <v>High</v>
      </c>
      <c r="AK1051" s="6"/>
      <c r="AL1051" s="6"/>
      <c r="AM1051" s="6"/>
      <c r="AN1051" s="6"/>
      <c r="AO1051" s="6"/>
      <c r="AP1051" s="6"/>
      <c r="AQ1051" s="6"/>
      <c r="AR1051" s="6"/>
      <c r="AS1051" s="6"/>
      <c r="AU1051" s="6"/>
      <c r="AV1051" s="6"/>
      <c r="AW1051" s="6"/>
      <c r="AX1051" s="6"/>
      <c r="AY1051" s="6"/>
      <c r="AZ1051" s="6"/>
      <c r="BA1051" s="6"/>
      <c r="BB1051" s="6"/>
      <c r="BC1051" s="6"/>
      <c r="BD1051" s="6"/>
      <c r="BE1051" s="6"/>
    </row>
    <row r="1052" spans="2:57" x14ac:dyDescent="0.3">
      <c r="B1052" s="4" t="s">
        <v>1075</v>
      </c>
      <c r="C1052" s="4">
        <v>54</v>
      </c>
      <c r="D1052" s="4" t="s">
        <v>12</v>
      </c>
      <c r="E1052" s="4" t="s">
        <v>15</v>
      </c>
      <c r="F1052" s="4" t="s">
        <v>18</v>
      </c>
      <c r="G1052" s="18">
        <v>2897</v>
      </c>
      <c r="H1052" s="10">
        <v>4</v>
      </c>
      <c r="I1052" s="4">
        <v>3</v>
      </c>
      <c r="J1052" s="4" t="s">
        <v>14</v>
      </c>
      <c r="K1052" s="3" t="s">
        <v>14</v>
      </c>
      <c r="L1052" s="3" t="str">
        <f>IF(Table1[[#This Row],[Monthly Income]]&lt;3000,"Low",IF(Table1[[#This Row],[Monthly Income]]&lt;7000,"Medium","High"))</f>
        <v>Low</v>
      </c>
      <c r="AK1052" s="4"/>
      <c r="AL1052" s="4"/>
      <c r="AM1052" s="4"/>
      <c r="AN1052" s="4"/>
      <c r="AO1052" s="4"/>
      <c r="AP1052" s="4"/>
      <c r="AQ1052" s="4"/>
      <c r="AR1052" s="4"/>
      <c r="AS1052" s="4"/>
      <c r="AU1052" s="4"/>
      <c r="AV1052" s="4"/>
      <c r="AW1052" s="4"/>
      <c r="AX1052" s="4"/>
      <c r="AY1052" s="4"/>
      <c r="AZ1052" s="4"/>
      <c r="BA1052" s="4"/>
      <c r="BB1052" s="4"/>
      <c r="BC1052" s="4"/>
      <c r="BD1052" s="4"/>
      <c r="BE1052" s="4"/>
    </row>
    <row r="1053" spans="2:57" x14ac:dyDescent="0.3">
      <c r="B1053" s="6" t="s">
        <v>1076</v>
      </c>
      <c r="C1053" s="6">
        <v>47</v>
      </c>
      <c r="D1053" s="6" t="s">
        <v>12</v>
      </c>
      <c r="E1053" s="6" t="s">
        <v>15</v>
      </c>
      <c r="F1053" s="6" t="s">
        <v>45</v>
      </c>
      <c r="G1053" s="19">
        <v>17169</v>
      </c>
      <c r="H1053" s="11">
        <v>20</v>
      </c>
      <c r="I1053" s="6">
        <v>3</v>
      </c>
      <c r="J1053" s="6" t="s">
        <v>14</v>
      </c>
      <c r="K1053" s="5" t="s">
        <v>14</v>
      </c>
      <c r="L1053" s="3" t="str">
        <f>IF(Table1[[#This Row],[Monthly Income]]&lt;3000,"Low",IF(Table1[[#This Row],[Monthly Income]]&lt;7000,"Medium","High"))</f>
        <v>High</v>
      </c>
      <c r="AK1053" s="6"/>
      <c r="AL1053" s="6"/>
      <c r="AM1053" s="6"/>
      <c r="AN1053" s="6"/>
      <c r="AO1053" s="6"/>
      <c r="AP1053" s="6"/>
      <c r="AQ1053" s="6"/>
      <c r="AR1053" s="6"/>
      <c r="AS1053" s="6"/>
      <c r="AU1053" s="6"/>
      <c r="AV1053" s="6"/>
      <c r="AW1053" s="6"/>
      <c r="AX1053" s="6"/>
      <c r="AY1053" s="6"/>
      <c r="AZ1053" s="6"/>
      <c r="BA1053" s="6"/>
      <c r="BB1053" s="6"/>
      <c r="BC1053" s="6"/>
      <c r="BD1053" s="6"/>
      <c r="BE1053" s="6"/>
    </row>
    <row r="1054" spans="2:57" x14ac:dyDescent="0.3">
      <c r="B1054" s="4" t="s">
        <v>1077</v>
      </c>
      <c r="C1054" s="4">
        <v>45</v>
      </c>
      <c r="D1054" s="4" t="s">
        <v>12</v>
      </c>
      <c r="E1054" s="4" t="s">
        <v>15</v>
      </c>
      <c r="F1054" s="4" t="s">
        <v>27</v>
      </c>
      <c r="G1054" s="18">
        <v>5906</v>
      </c>
      <c r="H1054" s="10">
        <v>9</v>
      </c>
      <c r="I1054" s="4">
        <v>4</v>
      </c>
      <c r="J1054" s="4" t="s">
        <v>14</v>
      </c>
      <c r="K1054" s="3" t="s">
        <v>14</v>
      </c>
      <c r="L1054" s="3" t="str">
        <f>IF(Table1[[#This Row],[Monthly Income]]&lt;3000,"Low",IF(Table1[[#This Row],[Monthly Income]]&lt;7000,"Medium","High"))</f>
        <v>Medium</v>
      </c>
      <c r="AK1054" s="4"/>
      <c r="AL1054" s="4"/>
      <c r="AM1054" s="4"/>
      <c r="AN1054" s="4"/>
      <c r="AO1054" s="4"/>
      <c r="AP1054" s="4"/>
      <c r="AQ1054" s="4"/>
      <c r="AR1054" s="4"/>
      <c r="AS1054" s="4"/>
      <c r="AU1054" s="4"/>
      <c r="AV1054" s="4"/>
      <c r="AW1054" s="4"/>
      <c r="AX1054" s="4"/>
      <c r="AY1054" s="4"/>
      <c r="AZ1054" s="4"/>
      <c r="BA1054" s="4"/>
      <c r="BB1054" s="4"/>
      <c r="BC1054" s="4"/>
      <c r="BD1054" s="4"/>
      <c r="BE1054" s="4"/>
    </row>
    <row r="1055" spans="2:57" x14ac:dyDescent="0.3">
      <c r="B1055" s="6" t="s">
        <v>1078</v>
      </c>
      <c r="C1055" s="6">
        <v>36</v>
      </c>
      <c r="D1055" s="6" t="s">
        <v>12</v>
      </c>
      <c r="E1055" s="6" t="s">
        <v>15</v>
      </c>
      <c r="F1055" s="6" t="s">
        <v>29</v>
      </c>
      <c r="G1055" s="19">
        <v>8008</v>
      </c>
      <c r="H1055" s="11">
        <v>3</v>
      </c>
      <c r="I1055" s="6">
        <v>1</v>
      </c>
      <c r="J1055" s="6" t="s">
        <v>14</v>
      </c>
      <c r="K1055" s="5" t="s">
        <v>14</v>
      </c>
      <c r="L1055" s="3" t="str">
        <f>IF(Table1[[#This Row],[Monthly Income]]&lt;3000,"Low",IF(Table1[[#This Row],[Monthly Income]]&lt;7000,"Medium","High"))</f>
        <v>High</v>
      </c>
      <c r="AK1055" s="6"/>
      <c r="AL1055" s="6"/>
      <c r="AM1055" s="6"/>
      <c r="AN1055" s="6"/>
      <c r="AO1055" s="6"/>
      <c r="AP1055" s="6"/>
      <c r="AQ1055" s="6"/>
      <c r="AR1055" s="6"/>
      <c r="AS1055" s="6"/>
      <c r="AU1055" s="6"/>
      <c r="AV1055" s="6"/>
      <c r="AW1055" s="6"/>
      <c r="AX1055" s="6"/>
      <c r="AY1055" s="6"/>
      <c r="AZ1055" s="6"/>
      <c r="BA1055" s="6"/>
      <c r="BB1055" s="6"/>
      <c r="BC1055" s="6"/>
      <c r="BD1055" s="6"/>
      <c r="BE1055" s="6"/>
    </row>
    <row r="1056" spans="2:57" x14ac:dyDescent="0.3">
      <c r="B1056" s="4" t="s">
        <v>1079</v>
      </c>
      <c r="C1056" s="4">
        <v>32</v>
      </c>
      <c r="D1056" s="4" t="s">
        <v>12</v>
      </c>
      <c r="E1056" s="4" t="s">
        <v>15</v>
      </c>
      <c r="F1056" s="4" t="s">
        <v>18</v>
      </c>
      <c r="G1056" s="18">
        <v>3312</v>
      </c>
      <c r="H1056" s="10">
        <v>3</v>
      </c>
      <c r="I1056" s="4">
        <v>4</v>
      </c>
      <c r="J1056" s="4" t="s">
        <v>14</v>
      </c>
      <c r="K1056" s="3" t="s">
        <v>14</v>
      </c>
      <c r="L1056" s="3" t="str">
        <f>IF(Table1[[#This Row],[Monthly Income]]&lt;3000,"Low",IF(Table1[[#This Row],[Monthly Income]]&lt;7000,"Medium","High"))</f>
        <v>Medium</v>
      </c>
      <c r="AK1056" s="4"/>
      <c r="AL1056" s="4"/>
      <c r="AM1056" s="4"/>
      <c r="AN1056" s="4"/>
      <c r="AO1056" s="4"/>
      <c r="AP1056" s="4"/>
      <c r="AQ1056" s="4"/>
      <c r="AR1056" s="4"/>
      <c r="AS1056" s="4"/>
      <c r="AU1056" s="4"/>
      <c r="AV1056" s="4"/>
      <c r="AW1056" s="4"/>
      <c r="AX1056" s="4"/>
      <c r="AY1056" s="4"/>
      <c r="AZ1056" s="4"/>
      <c r="BA1056" s="4"/>
      <c r="BB1056" s="4"/>
      <c r="BC1056" s="4"/>
      <c r="BD1056" s="4"/>
      <c r="BE1056" s="4"/>
    </row>
    <row r="1057" spans="2:57" x14ac:dyDescent="0.3">
      <c r="B1057" s="6" t="s">
        <v>1080</v>
      </c>
      <c r="C1057" s="6">
        <v>40</v>
      </c>
      <c r="D1057" s="6" t="s">
        <v>12</v>
      </c>
      <c r="E1057" s="6" t="s">
        <v>15</v>
      </c>
      <c r="F1057" s="6" t="s">
        <v>18</v>
      </c>
      <c r="G1057" s="19">
        <v>2001</v>
      </c>
      <c r="H1057" s="11">
        <v>5</v>
      </c>
      <c r="I1057" s="6">
        <v>3</v>
      </c>
      <c r="J1057" s="6" t="s">
        <v>14</v>
      </c>
      <c r="K1057" s="5" t="s">
        <v>14</v>
      </c>
      <c r="L1057" s="3" t="str">
        <f>IF(Table1[[#This Row],[Monthly Income]]&lt;3000,"Low",IF(Table1[[#This Row],[Monthly Income]]&lt;7000,"Medium","High"))</f>
        <v>Low</v>
      </c>
      <c r="AK1057" s="6"/>
      <c r="AL1057" s="6"/>
      <c r="AM1057" s="6"/>
      <c r="AN1057" s="6"/>
      <c r="AO1057" s="6"/>
      <c r="AP1057" s="6"/>
      <c r="AQ1057" s="6"/>
      <c r="AR1057" s="6"/>
      <c r="AS1057" s="6"/>
      <c r="AU1057" s="6"/>
      <c r="AV1057" s="6"/>
      <c r="AW1057" s="6"/>
      <c r="AX1057" s="6"/>
      <c r="AY1057" s="6"/>
      <c r="AZ1057" s="6"/>
      <c r="BA1057" s="6"/>
      <c r="BB1057" s="6"/>
      <c r="BC1057" s="6"/>
      <c r="BD1057" s="6"/>
      <c r="BE1057" s="6"/>
    </row>
    <row r="1058" spans="2:57" x14ac:dyDescent="0.3">
      <c r="B1058" s="4" t="s">
        <v>1081</v>
      </c>
      <c r="C1058" s="4">
        <v>31</v>
      </c>
      <c r="D1058" s="4" t="s">
        <v>12</v>
      </c>
      <c r="E1058" s="4" t="s">
        <v>15</v>
      </c>
      <c r="F1058" s="4" t="s">
        <v>45</v>
      </c>
      <c r="G1058" s="18">
        <v>16422</v>
      </c>
      <c r="H1058" s="10">
        <v>3</v>
      </c>
      <c r="I1058" s="4">
        <v>2</v>
      </c>
      <c r="J1058" s="4" t="s">
        <v>14</v>
      </c>
      <c r="K1058" s="3" t="s">
        <v>14</v>
      </c>
      <c r="L1058" s="3" t="str">
        <f>IF(Table1[[#This Row],[Monthly Income]]&lt;3000,"Low",IF(Table1[[#This Row],[Monthly Income]]&lt;7000,"Medium","High"))</f>
        <v>High</v>
      </c>
      <c r="AK1058" s="4"/>
      <c r="AL1058" s="4"/>
      <c r="AM1058" s="4"/>
      <c r="AN1058" s="4"/>
      <c r="AO1058" s="4"/>
      <c r="AP1058" s="4"/>
      <c r="AQ1058" s="4"/>
      <c r="AR1058" s="4"/>
      <c r="AS1058" s="4"/>
      <c r="AU1058" s="4"/>
      <c r="AV1058" s="4"/>
      <c r="AW1058" s="4"/>
      <c r="AX1058" s="4"/>
      <c r="AY1058" s="4"/>
      <c r="AZ1058" s="4"/>
      <c r="BA1058" s="4"/>
      <c r="BB1058" s="4"/>
      <c r="BC1058" s="4"/>
      <c r="BD1058" s="4"/>
      <c r="BE1058" s="4"/>
    </row>
    <row r="1059" spans="2:57" x14ac:dyDescent="0.3">
      <c r="B1059" s="6" t="s">
        <v>1082</v>
      </c>
      <c r="C1059" s="6">
        <v>37</v>
      </c>
      <c r="D1059" s="6" t="s">
        <v>12</v>
      </c>
      <c r="E1059" s="6" t="s">
        <v>15</v>
      </c>
      <c r="F1059" s="6" t="s">
        <v>20</v>
      </c>
      <c r="G1059" s="19">
        <v>3629</v>
      </c>
      <c r="H1059" s="11">
        <v>3</v>
      </c>
      <c r="I1059" s="6">
        <v>3</v>
      </c>
      <c r="J1059" s="6" t="s">
        <v>14</v>
      </c>
      <c r="K1059" s="5" t="s">
        <v>14</v>
      </c>
      <c r="L1059" s="3" t="str">
        <f>IF(Table1[[#This Row],[Monthly Income]]&lt;3000,"Low",IF(Table1[[#This Row],[Monthly Income]]&lt;7000,"Medium","High"))</f>
        <v>Medium</v>
      </c>
      <c r="AK1059" s="6"/>
      <c r="AL1059" s="6"/>
      <c r="AM1059" s="6"/>
      <c r="AN1059" s="6"/>
      <c r="AO1059" s="6"/>
      <c r="AP1059" s="6"/>
      <c r="AQ1059" s="6"/>
      <c r="AR1059" s="6"/>
      <c r="AS1059" s="6"/>
      <c r="AU1059" s="6"/>
      <c r="AV1059" s="6"/>
      <c r="AW1059" s="6"/>
      <c r="AX1059" s="6"/>
      <c r="AY1059" s="6"/>
      <c r="AZ1059" s="6"/>
      <c r="BA1059" s="6"/>
      <c r="BB1059" s="6"/>
      <c r="BC1059" s="6"/>
      <c r="BD1059" s="6"/>
      <c r="BE1059" s="6"/>
    </row>
    <row r="1060" spans="2:57" x14ac:dyDescent="0.3">
      <c r="B1060" s="4" t="s">
        <v>1083</v>
      </c>
      <c r="C1060" s="4">
        <v>30</v>
      </c>
      <c r="D1060" s="4" t="s">
        <v>12</v>
      </c>
      <c r="E1060" s="4" t="s">
        <v>15</v>
      </c>
      <c r="F1060" s="4" t="s">
        <v>27</v>
      </c>
      <c r="G1060" s="18">
        <v>9667</v>
      </c>
      <c r="H1060" s="10">
        <v>7</v>
      </c>
      <c r="I1060" s="4">
        <v>3</v>
      </c>
      <c r="J1060" s="4" t="s">
        <v>14</v>
      </c>
      <c r="K1060" s="3" t="s">
        <v>14</v>
      </c>
      <c r="L1060" s="3" t="str">
        <f>IF(Table1[[#This Row],[Monthly Income]]&lt;3000,"Low",IF(Table1[[#This Row],[Monthly Income]]&lt;7000,"Medium","High"))</f>
        <v>High</v>
      </c>
      <c r="AK1060" s="4"/>
      <c r="AL1060" s="4"/>
      <c r="AM1060" s="4"/>
      <c r="AN1060" s="4"/>
      <c r="AO1060" s="4"/>
      <c r="AP1060" s="4"/>
      <c r="AQ1060" s="4"/>
      <c r="AR1060" s="4"/>
      <c r="AS1060" s="4"/>
      <c r="AU1060" s="4"/>
      <c r="AV1060" s="4"/>
      <c r="AW1060" s="4"/>
      <c r="AX1060" s="4"/>
      <c r="AY1060" s="4"/>
      <c r="AZ1060" s="4"/>
      <c r="BA1060" s="4"/>
      <c r="BB1060" s="4"/>
      <c r="BC1060" s="4"/>
      <c r="BD1060" s="4"/>
      <c r="BE1060" s="4"/>
    </row>
    <row r="1061" spans="2:57" x14ac:dyDescent="0.3">
      <c r="B1061" s="6" t="s">
        <v>1084</v>
      </c>
      <c r="C1061" s="6">
        <v>39</v>
      </c>
      <c r="D1061" s="6" t="s">
        <v>12</v>
      </c>
      <c r="E1061" s="6" t="s">
        <v>15</v>
      </c>
      <c r="F1061" s="6" t="s">
        <v>27</v>
      </c>
      <c r="G1061" s="19">
        <v>8376</v>
      </c>
      <c r="H1061" s="11">
        <v>2</v>
      </c>
      <c r="I1061" s="6">
        <v>2</v>
      </c>
      <c r="J1061" s="6" t="s">
        <v>14</v>
      </c>
      <c r="K1061" s="5" t="s">
        <v>14</v>
      </c>
      <c r="L1061" s="3" t="str">
        <f>IF(Table1[[#This Row],[Monthly Income]]&lt;3000,"Low",IF(Table1[[#This Row],[Monthly Income]]&lt;7000,"Medium","High"))</f>
        <v>High</v>
      </c>
      <c r="AK1061" s="6"/>
      <c r="AL1061" s="6"/>
      <c r="AM1061" s="6"/>
      <c r="AN1061" s="6"/>
      <c r="AO1061" s="6"/>
      <c r="AP1061" s="6"/>
      <c r="AQ1061" s="6"/>
      <c r="AR1061" s="6"/>
      <c r="AS1061" s="6"/>
      <c r="AU1061" s="6"/>
      <c r="AV1061" s="6"/>
      <c r="AW1061" s="6"/>
      <c r="AX1061" s="6"/>
      <c r="AY1061" s="6"/>
      <c r="AZ1061" s="6"/>
      <c r="BA1061" s="6"/>
      <c r="BB1061" s="6"/>
      <c r="BC1061" s="6"/>
      <c r="BD1061" s="6"/>
      <c r="BE1061" s="6"/>
    </row>
    <row r="1062" spans="2:57" x14ac:dyDescent="0.3">
      <c r="B1062" s="4" t="s">
        <v>1085</v>
      </c>
      <c r="C1062" s="4">
        <v>47</v>
      </c>
      <c r="D1062" s="4" t="s">
        <v>12</v>
      </c>
      <c r="E1062" s="4" t="s">
        <v>15</v>
      </c>
      <c r="F1062" s="4" t="s">
        <v>20</v>
      </c>
      <c r="G1062" s="18">
        <v>2105</v>
      </c>
      <c r="H1062" s="10">
        <v>2</v>
      </c>
      <c r="I1062" s="4">
        <v>3</v>
      </c>
      <c r="J1062" s="4" t="s">
        <v>14</v>
      </c>
      <c r="K1062" s="3" t="s">
        <v>14</v>
      </c>
      <c r="L1062" s="3" t="str">
        <f>IF(Table1[[#This Row],[Monthly Income]]&lt;3000,"Low",IF(Table1[[#This Row],[Monthly Income]]&lt;7000,"Medium","High"))</f>
        <v>Low</v>
      </c>
      <c r="AK1062" s="4"/>
      <c r="AL1062" s="4"/>
      <c r="AM1062" s="4"/>
      <c r="AN1062" s="4"/>
      <c r="AO1062" s="4"/>
      <c r="AP1062" s="4"/>
      <c r="AQ1062" s="4"/>
      <c r="AR1062" s="4"/>
      <c r="AS1062" s="4"/>
      <c r="AU1062" s="4"/>
      <c r="AV1062" s="4"/>
      <c r="AW1062" s="4"/>
      <c r="AX1062" s="4"/>
      <c r="AY1062" s="4"/>
      <c r="AZ1062" s="4"/>
      <c r="BA1062" s="4"/>
      <c r="BB1062" s="4"/>
      <c r="BC1062" s="4"/>
      <c r="BD1062" s="4"/>
      <c r="BE1062" s="4"/>
    </row>
    <row r="1063" spans="2:57" x14ac:dyDescent="0.3">
      <c r="B1063" s="6" t="s">
        <v>1086</v>
      </c>
      <c r="C1063" s="6">
        <v>32</v>
      </c>
      <c r="D1063" s="6" t="s">
        <v>12</v>
      </c>
      <c r="E1063" s="6" t="s">
        <v>15</v>
      </c>
      <c r="F1063" s="6" t="s">
        <v>20</v>
      </c>
      <c r="G1063" s="19">
        <v>2837</v>
      </c>
      <c r="H1063" s="11">
        <v>6</v>
      </c>
      <c r="I1063" s="6">
        <v>2</v>
      </c>
      <c r="J1063" s="6" t="s">
        <v>14</v>
      </c>
      <c r="K1063" s="5" t="s">
        <v>14</v>
      </c>
      <c r="L1063" s="3" t="str">
        <f>IF(Table1[[#This Row],[Monthly Income]]&lt;3000,"Low",IF(Table1[[#This Row],[Monthly Income]]&lt;7000,"Medium","High"))</f>
        <v>Low</v>
      </c>
      <c r="AK1063" s="6"/>
      <c r="AL1063" s="6"/>
      <c r="AM1063" s="6"/>
      <c r="AN1063" s="6"/>
      <c r="AO1063" s="6"/>
      <c r="AP1063" s="6"/>
      <c r="AQ1063" s="6"/>
      <c r="AR1063" s="6"/>
      <c r="AS1063" s="6"/>
      <c r="AU1063" s="6"/>
      <c r="AV1063" s="6"/>
      <c r="AW1063" s="6"/>
      <c r="AX1063" s="6"/>
      <c r="AY1063" s="6"/>
      <c r="AZ1063" s="6"/>
      <c r="BA1063" s="6"/>
      <c r="BB1063" s="6"/>
      <c r="BC1063" s="6"/>
      <c r="BD1063" s="6"/>
      <c r="BE1063" s="6"/>
    </row>
    <row r="1064" spans="2:57" x14ac:dyDescent="0.3">
      <c r="B1064" s="4" t="s">
        <v>1087</v>
      </c>
      <c r="C1064" s="4">
        <v>23</v>
      </c>
      <c r="D1064" s="4" t="s">
        <v>12</v>
      </c>
      <c r="E1064" s="4" t="s">
        <v>15</v>
      </c>
      <c r="F1064" s="4" t="s">
        <v>20</v>
      </c>
      <c r="G1064" s="18">
        <v>3295</v>
      </c>
      <c r="H1064" s="10">
        <v>3</v>
      </c>
      <c r="I1064" s="4">
        <v>2</v>
      </c>
      <c r="J1064" s="4" t="s">
        <v>14</v>
      </c>
      <c r="K1064" s="3" t="s">
        <v>14</v>
      </c>
      <c r="L1064" s="3" t="str">
        <f>IF(Table1[[#This Row],[Monthly Income]]&lt;3000,"Low",IF(Table1[[#This Row],[Monthly Income]]&lt;7000,"Medium","High"))</f>
        <v>Medium</v>
      </c>
      <c r="AK1064" s="4"/>
      <c r="AL1064" s="4"/>
      <c r="AM1064" s="4"/>
      <c r="AN1064" s="4"/>
      <c r="AO1064" s="4"/>
      <c r="AP1064" s="4"/>
      <c r="AQ1064" s="4"/>
      <c r="AR1064" s="4"/>
      <c r="AS1064" s="4"/>
      <c r="AU1064" s="4"/>
      <c r="AV1064" s="4"/>
      <c r="AW1064" s="4"/>
      <c r="AX1064" s="4"/>
      <c r="AY1064" s="4"/>
      <c r="AZ1064" s="4"/>
      <c r="BA1064" s="4"/>
      <c r="BB1064" s="4"/>
      <c r="BC1064" s="4"/>
      <c r="BD1064" s="4"/>
      <c r="BE1064" s="4"/>
    </row>
    <row r="1065" spans="2:57" x14ac:dyDescent="0.3">
      <c r="B1065" s="6" t="s">
        <v>1088</v>
      </c>
      <c r="C1065" s="6">
        <v>27</v>
      </c>
      <c r="D1065" s="6" t="s">
        <v>12</v>
      </c>
      <c r="E1065" s="6" t="s">
        <v>15</v>
      </c>
      <c r="F1065" s="6" t="s">
        <v>18</v>
      </c>
      <c r="G1065" s="19">
        <v>3445</v>
      </c>
      <c r="H1065" s="11">
        <v>6</v>
      </c>
      <c r="I1065" s="6">
        <v>4</v>
      </c>
      <c r="J1065" s="6" t="s">
        <v>14</v>
      </c>
      <c r="K1065" s="5" t="s">
        <v>14</v>
      </c>
      <c r="L1065" s="3" t="str">
        <f>IF(Table1[[#This Row],[Monthly Income]]&lt;3000,"Low",IF(Table1[[#This Row],[Monthly Income]]&lt;7000,"Medium","High"))</f>
        <v>Medium</v>
      </c>
      <c r="AK1065" s="6"/>
      <c r="AL1065" s="6"/>
      <c r="AM1065" s="6"/>
      <c r="AN1065" s="6"/>
      <c r="AO1065" s="6"/>
      <c r="AP1065" s="6"/>
      <c r="AQ1065" s="6"/>
      <c r="AR1065" s="6"/>
      <c r="AS1065" s="6"/>
      <c r="AU1065" s="6"/>
      <c r="AV1065" s="6"/>
      <c r="AW1065" s="6"/>
      <c r="AX1065" s="6"/>
      <c r="AY1065" s="6"/>
      <c r="AZ1065" s="6"/>
      <c r="BA1065" s="6"/>
      <c r="BB1065" s="6"/>
      <c r="BC1065" s="6"/>
      <c r="BD1065" s="6"/>
      <c r="BE1065" s="6"/>
    </row>
    <row r="1066" spans="2:57" x14ac:dyDescent="0.3">
      <c r="B1066" s="4" t="s">
        <v>1089</v>
      </c>
      <c r="C1066" s="4">
        <v>29</v>
      </c>
      <c r="D1066" s="4" t="s">
        <v>12</v>
      </c>
      <c r="E1066" s="4" t="s">
        <v>15</v>
      </c>
      <c r="F1066" s="4" t="s">
        <v>18</v>
      </c>
      <c r="G1066" s="18">
        <v>3785</v>
      </c>
      <c r="H1066" s="10">
        <v>5</v>
      </c>
      <c r="I1066" s="4">
        <v>1</v>
      </c>
      <c r="J1066" s="4" t="s">
        <v>14</v>
      </c>
      <c r="K1066" s="3" t="s">
        <v>14</v>
      </c>
      <c r="L1066" s="3" t="str">
        <f>IF(Table1[[#This Row],[Monthly Income]]&lt;3000,"Low",IF(Table1[[#This Row],[Monthly Income]]&lt;7000,"Medium","High"))</f>
        <v>Medium</v>
      </c>
      <c r="AK1066" s="4"/>
      <c r="AL1066" s="4"/>
      <c r="AM1066" s="4"/>
      <c r="AN1066" s="4"/>
      <c r="AO1066" s="4"/>
      <c r="AP1066" s="4"/>
      <c r="AQ1066" s="4"/>
      <c r="AR1066" s="4"/>
      <c r="AS1066" s="4"/>
      <c r="AU1066" s="4"/>
      <c r="AV1066" s="4"/>
      <c r="AW1066" s="4"/>
      <c r="AX1066" s="4"/>
      <c r="AY1066" s="4"/>
      <c r="AZ1066" s="4"/>
      <c r="BA1066" s="4"/>
      <c r="BB1066" s="4"/>
      <c r="BC1066" s="4"/>
      <c r="BD1066" s="4"/>
      <c r="BE1066" s="4"/>
    </row>
    <row r="1067" spans="2:57" x14ac:dyDescent="0.3">
      <c r="B1067" s="6" t="s">
        <v>1090</v>
      </c>
      <c r="C1067" s="6">
        <v>35</v>
      </c>
      <c r="D1067" s="6" t="s">
        <v>12</v>
      </c>
      <c r="E1067" s="6" t="s">
        <v>15</v>
      </c>
      <c r="F1067" s="6" t="s">
        <v>29</v>
      </c>
      <c r="G1067" s="19">
        <v>8606</v>
      </c>
      <c r="H1067" s="11">
        <v>11</v>
      </c>
      <c r="I1067" s="6">
        <v>2</v>
      </c>
      <c r="J1067" s="6" t="s">
        <v>14</v>
      </c>
      <c r="K1067" s="5" t="s">
        <v>14</v>
      </c>
      <c r="L1067" s="3" t="str">
        <f>IF(Table1[[#This Row],[Monthly Income]]&lt;3000,"Low",IF(Table1[[#This Row],[Monthly Income]]&lt;7000,"Medium","High"))</f>
        <v>High</v>
      </c>
      <c r="AK1067" s="6"/>
      <c r="AL1067" s="6"/>
      <c r="AM1067" s="6"/>
      <c r="AN1067" s="6"/>
      <c r="AO1067" s="6"/>
      <c r="AP1067" s="6"/>
      <c r="AQ1067" s="6"/>
      <c r="AR1067" s="6"/>
      <c r="AS1067" s="6"/>
      <c r="AU1067" s="6"/>
      <c r="AV1067" s="6"/>
      <c r="AW1067" s="6"/>
      <c r="AX1067" s="6"/>
      <c r="AY1067" s="6"/>
      <c r="AZ1067" s="6"/>
      <c r="BA1067" s="6"/>
      <c r="BB1067" s="6"/>
      <c r="BC1067" s="6"/>
      <c r="BD1067" s="6"/>
      <c r="BE1067" s="6"/>
    </row>
    <row r="1068" spans="2:57" x14ac:dyDescent="0.3">
      <c r="B1068" s="4" t="s">
        <v>1091</v>
      </c>
      <c r="C1068" s="4">
        <v>45</v>
      </c>
      <c r="D1068" s="4" t="s">
        <v>12</v>
      </c>
      <c r="E1068" s="4" t="s">
        <v>15</v>
      </c>
      <c r="F1068" s="4" t="s">
        <v>45</v>
      </c>
      <c r="G1068" s="18">
        <v>16704</v>
      </c>
      <c r="H1068" s="10">
        <v>21</v>
      </c>
      <c r="I1068" s="4">
        <v>2</v>
      </c>
      <c r="J1068" s="4" t="s">
        <v>14</v>
      </c>
      <c r="K1068" s="3" t="s">
        <v>14</v>
      </c>
      <c r="L1068" s="3" t="str">
        <f>IF(Table1[[#This Row],[Monthly Income]]&lt;3000,"Low",IF(Table1[[#This Row],[Monthly Income]]&lt;7000,"Medium","High"))</f>
        <v>High</v>
      </c>
      <c r="AK1068" s="4"/>
      <c r="AL1068" s="4"/>
      <c r="AM1068" s="4"/>
      <c r="AN1068" s="4"/>
      <c r="AO1068" s="4"/>
      <c r="AP1068" s="4"/>
      <c r="AQ1068" s="4"/>
      <c r="AR1068" s="4"/>
      <c r="AS1068" s="4"/>
      <c r="AU1068" s="4"/>
      <c r="AV1068" s="4"/>
      <c r="AW1068" s="4"/>
      <c r="AX1068" s="4"/>
      <c r="AY1068" s="4"/>
      <c r="AZ1068" s="4"/>
      <c r="BA1068" s="4"/>
      <c r="BB1068" s="4"/>
      <c r="BC1068" s="4"/>
      <c r="BD1068" s="4"/>
      <c r="BE1068" s="4"/>
    </row>
    <row r="1069" spans="2:57" x14ac:dyDescent="0.3">
      <c r="B1069" s="6" t="s">
        <v>1092</v>
      </c>
      <c r="C1069" s="6">
        <v>54</v>
      </c>
      <c r="D1069" s="6" t="s">
        <v>12</v>
      </c>
      <c r="E1069" s="6" t="s">
        <v>15</v>
      </c>
      <c r="F1069" s="6" t="s">
        <v>45</v>
      </c>
      <c r="G1069" s="19">
        <v>17328</v>
      </c>
      <c r="H1069" s="11">
        <v>20</v>
      </c>
      <c r="I1069" s="6">
        <v>4</v>
      </c>
      <c r="J1069" s="6" t="s">
        <v>14</v>
      </c>
      <c r="K1069" s="5" t="s">
        <v>14</v>
      </c>
      <c r="L1069" s="3" t="str">
        <f>IF(Table1[[#This Row],[Monthly Income]]&lt;3000,"Low",IF(Table1[[#This Row],[Monthly Income]]&lt;7000,"Medium","High"))</f>
        <v>High</v>
      </c>
      <c r="AK1069" s="6"/>
      <c r="AL1069" s="6"/>
      <c r="AM1069" s="6"/>
      <c r="AN1069" s="6"/>
      <c r="AO1069" s="6"/>
      <c r="AP1069" s="6"/>
      <c r="AQ1069" s="6"/>
      <c r="AR1069" s="6"/>
      <c r="AS1069" s="6"/>
      <c r="AU1069" s="6"/>
      <c r="AV1069" s="6"/>
      <c r="AW1069" s="6"/>
      <c r="AX1069" s="6"/>
      <c r="AY1069" s="6"/>
      <c r="AZ1069" s="6"/>
      <c r="BA1069" s="6"/>
      <c r="BB1069" s="6"/>
      <c r="BC1069" s="6"/>
      <c r="BD1069" s="6"/>
      <c r="BE1069" s="6"/>
    </row>
    <row r="1070" spans="2:57" x14ac:dyDescent="0.3">
      <c r="B1070" s="4" t="s">
        <v>1093</v>
      </c>
      <c r="C1070" s="4">
        <v>46</v>
      </c>
      <c r="D1070" s="4" t="s">
        <v>12</v>
      </c>
      <c r="E1070" s="4" t="s">
        <v>10</v>
      </c>
      <c r="F1070" s="4" t="s">
        <v>13</v>
      </c>
      <c r="G1070" s="18">
        <v>13225</v>
      </c>
      <c r="H1070" s="10">
        <v>19</v>
      </c>
      <c r="I1070" s="4">
        <v>1</v>
      </c>
      <c r="J1070" s="4" t="s">
        <v>14</v>
      </c>
      <c r="K1070" s="3" t="s">
        <v>14</v>
      </c>
      <c r="L1070" s="3" t="str">
        <f>IF(Table1[[#This Row],[Monthly Income]]&lt;3000,"Low",IF(Table1[[#This Row],[Monthly Income]]&lt;7000,"Medium","High"))</f>
        <v>High</v>
      </c>
      <c r="AK1070" s="4"/>
      <c r="AL1070" s="4"/>
      <c r="AM1070" s="4"/>
      <c r="AN1070" s="4"/>
      <c r="AO1070" s="4"/>
      <c r="AP1070" s="4"/>
      <c r="AQ1070" s="4"/>
      <c r="AR1070" s="4"/>
      <c r="AS1070" s="4"/>
      <c r="AU1070" s="4"/>
      <c r="AV1070" s="4"/>
      <c r="AW1070" s="4"/>
      <c r="AX1070" s="4"/>
      <c r="AY1070" s="4"/>
      <c r="AZ1070" s="4"/>
      <c r="BA1070" s="4"/>
      <c r="BB1070" s="4"/>
      <c r="BC1070" s="4"/>
      <c r="BD1070" s="4"/>
      <c r="BE1070" s="4"/>
    </row>
    <row r="1071" spans="2:57" x14ac:dyDescent="0.3">
      <c r="B1071" s="6" t="s">
        <v>1094</v>
      </c>
      <c r="C1071" s="6">
        <v>48</v>
      </c>
      <c r="D1071" s="6" t="s">
        <v>12</v>
      </c>
      <c r="E1071" s="6" t="s">
        <v>10</v>
      </c>
      <c r="F1071" s="6" t="s">
        <v>13</v>
      </c>
      <c r="G1071" s="19">
        <v>6439</v>
      </c>
      <c r="H1071" s="11">
        <v>8</v>
      </c>
      <c r="I1071" s="6">
        <v>3</v>
      </c>
      <c r="J1071" s="6" t="s">
        <v>14</v>
      </c>
      <c r="K1071" s="5" t="s">
        <v>14</v>
      </c>
      <c r="L1071" s="3" t="str">
        <f>IF(Table1[[#This Row],[Monthly Income]]&lt;3000,"Low",IF(Table1[[#This Row],[Monthly Income]]&lt;7000,"Medium","High"))</f>
        <v>Medium</v>
      </c>
      <c r="AK1071" s="6"/>
      <c r="AL1071" s="6"/>
      <c r="AM1071" s="6"/>
      <c r="AN1071" s="6"/>
      <c r="AO1071" s="6"/>
      <c r="AP1071" s="6"/>
      <c r="AQ1071" s="6"/>
      <c r="AR1071" s="6"/>
      <c r="AS1071" s="6"/>
      <c r="AU1071" s="6"/>
      <c r="AV1071" s="6"/>
      <c r="AW1071" s="6"/>
      <c r="AX1071" s="6"/>
      <c r="AY1071" s="6"/>
      <c r="AZ1071" s="6"/>
      <c r="BA1071" s="6"/>
      <c r="BB1071" s="6"/>
      <c r="BC1071" s="6"/>
      <c r="BD1071" s="6"/>
      <c r="BE1071" s="6"/>
    </row>
    <row r="1072" spans="2:57" x14ac:dyDescent="0.3">
      <c r="B1072" s="4" t="s">
        <v>1095</v>
      </c>
      <c r="C1072" s="4">
        <v>30</v>
      </c>
      <c r="D1072" s="4" t="s">
        <v>12</v>
      </c>
      <c r="E1072" s="4" t="s">
        <v>10</v>
      </c>
      <c r="F1072" s="4" t="s">
        <v>13</v>
      </c>
      <c r="G1072" s="18">
        <v>4779</v>
      </c>
      <c r="H1072" s="10">
        <v>3</v>
      </c>
      <c r="I1072" s="4">
        <v>1</v>
      </c>
      <c r="J1072" s="4" t="s">
        <v>14</v>
      </c>
      <c r="K1072" s="3" t="s">
        <v>14</v>
      </c>
      <c r="L1072" s="3" t="str">
        <f>IF(Table1[[#This Row],[Monthly Income]]&lt;3000,"Low",IF(Table1[[#This Row],[Monthly Income]]&lt;7000,"Medium","High"))</f>
        <v>Medium</v>
      </c>
      <c r="AK1072" s="4"/>
      <c r="AL1072" s="4"/>
      <c r="AM1072" s="4"/>
      <c r="AN1072" s="4"/>
      <c r="AO1072" s="4"/>
      <c r="AP1072" s="4"/>
      <c r="AQ1072" s="4"/>
      <c r="AR1072" s="4"/>
      <c r="AS1072" s="4"/>
      <c r="AU1072" s="4"/>
      <c r="AV1072" s="4"/>
      <c r="AW1072" s="4"/>
      <c r="AX1072" s="4"/>
      <c r="AY1072" s="4"/>
      <c r="AZ1072" s="4"/>
      <c r="BA1072" s="4"/>
      <c r="BB1072" s="4"/>
      <c r="BC1072" s="4"/>
      <c r="BD1072" s="4"/>
      <c r="BE1072" s="4"/>
    </row>
    <row r="1073" spans="2:57" x14ac:dyDescent="0.3">
      <c r="B1073" s="6" t="s">
        <v>1096</v>
      </c>
      <c r="C1073" s="6">
        <v>47</v>
      </c>
      <c r="D1073" s="6" t="s">
        <v>12</v>
      </c>
      <c r="E1073" s="6" t="s">
        <v>10</v>
      </c>
      <c r="F1073" s="6" t="s">
        <v>39</v>
      </c>
      <c r="G1073" s="19">
        <v>15972</v>
      </c>
      <c r="H1073" s="11">
        <v>3</v>
      </c>
      <c r="I1073" s="6">
        <v>2</v>
      </c>
      <c r="J1073" s="6" t="s">
        <v>14</v>
      </c>
      <c r="K1073" s="5" t="s">
        <v>14</v>
      </c>
      <c r="L1073" s="3" t="str">
        <f>IF(Table1[[#This Row],[Monthly Income]]&lt;3000,"Low",IF(Table1[[#This Row],[Monthly Income]]&lt;7000,"Medium","High"))</f>
        <v>High</v>
      </c>
      <c r="AK1073" s="6"/>
      <c r="AL1073" s="6"/>
      <c r="AM1073" s="6"/>
      <c r="AN1073" s="6"/>
      <c r="AO1073" s="6"/>
      <c r="AP1073" s="6"/>
      <c r="AQ1073" s="6"/>
      <c r="AR1073" s="6"/>
      <c r="AS1073" s="6"/>
      <c r="AU1073" s="6"/>
      <c r="AV1073" s="6"/>
      <c r="AW1073" s="6"/>
      <c r="AX1073" s="6"/>
      <c r="AY1073" s="6"/>
      <c r="AZ1073" s="6"/>
      <c r="BA1073" s="6"/>
      <c r="BB1073" s="6"/>
      <c r="BC1073" s="6"/>
      <c r="BD1073" s="6"/>
      <c r="BE1073" s="6"/>
    </row>
    <row r="1074" spans="2:57" x14ac:dyDescent="0.3">
      <c r="B1074" s="4" t="s">
        <v>1097</v>
      </c>
      <c r="C1074" s="4">
        <v>38</v>
      </c>
      <c r="D1074" s="4" t="s">
        <v>12</v>
      </c>
      <c r="E1074" s="4" t="s">
        <v>10</v>
      </c>
      <c r="F1074" s="4" t="s">
        <v>13</v>
      </c>
      <c r="G1074" s="18">
        <v>5343</v>
      </c>
      <c r="H1074" s="10">
        <v>10</v>
      </c>
      <c r="I1074" s="4">
        <v>4</v>
      </c>
      <c r="J1074" s="4" t="s">
        <v>14</v>
      </c>
      <c r="K1074" s="3" t="s">
        <v>14</v>
      </c>
      <c r="L1074" s="3" t="str">
        <f>IF(Table1[[#This Row],[Monthly Income]]&lt;3000,"Low",IF(Table1[[#This Row],[Monthly Income]]&lt;7000,"Medium","High"))</f>
        <v>Medium</v>
      </c>
      <c r="AK1074" s="4"/>
      <c r="AL1074" s="4"/>
      <c r="AM1074" s="4"/>
      <c r="AN1074" s="4"/>
      <c r="AO1074" s="4"/>
      <c r="AP1074" s="4"/>
      <c r="AQ1074" s="4"/>
      <c r="AR1074" s="4"/>
      <c r="AS1074" s="4"/>
      <c r="AU1074" s="4"/>
      <c r="AV1074" s="4"/>
      <c r="AW1074" s="4"/>
      <c r="AX1074" s="4"/>
      <c r="AY1074" s="4"/>
      <c r="AZ1074" s="4"/>
      <c r="BA1074" s="4"/>
      <c r="BB1074" s="4"/>
      <c r="BC1074" s="4"/>
      <c r="BD1074" s="4"/>
      <c r="BE1074" s="4"/>
    </row>
    <row r="1075" spans="2:57" x14ac:dyDescent="0.3">
      <c r="B1075" s="6" t="s">
        <v>1098</v>
      </c>
      <c r="C1075" s="6">
        <v>36</v>
      </c>
      <c r="D1075" s="6" t="s">
        <v>12</v>
      </c>
      <c r="E1075" s="6" t="s">
        <v>10</v>
      </c>
      <c r="F1075" s="6" t="s">
        <v>13</v>
      </c>
      <c r="G1075" s="19">
        <v>6652</v>
      </c>
      <c r="H1075" s="11">
        <v>6</v>
      </c>
      <c r="I1075" s="6">
        <v>4</v>
      </c>
      <c r="J1075" s="6" t="s">
        <v>14</v>
      </c>
      <c r="K1075" s="5" t="s">
        <v>14</v>
      </c>
      <c r="L1075" s="3" t="str">
        <f>IF(Table1[[#This Row],[Monthly Income]]&lt;3000,"Low",IF(Table1[[#This Row],[Monthly Income]]&lt;7000,"Medium","High"))</f>
        <v>Medium</v>
      </c>
      <c r="AK1075" s="6"/>
      <c r="AL1075" s="6"/>
      <c r="AM1075" s="6"/>
      <c r="AN1075" s="6"/>
      <c r="AO1075" s="6"/>
      <c r="AP1075" s="6"/>
      <c r="AQ1075" s="6"/>
      <c r="AR1075" s="6"/>
      <c r="AS1075" s="6"/>
      <c r="AU1075" s="6"/>
      <c r="AV1075" s="6"/>
      <c r="AW1075" s="6"/>
      <c r="AX1075" s="6"/>
      <c r="AY1075" s="6"/>
      <c r="AZ1075" s="6"/>
      <c r="BA1075" s="6"/>
      <c r="BB1075" s="6"/>
      <c r="BC1075" s="6"/>
      <c r="BD1075" s="6"/>
      <c r="BE1075" s="6"/>
    </row>
    <row r="1076" spans="2:57" x14ac:dyDescent="0.3">
      <c r="B1076" s="4" t="s">
        <v>1099</v>
      </c>
      <c r="C1076" s="4">
        <v>39</v>
      </c>
      <c r="D1076" s="4" t="s">
        <v>12</v>
      </c>
      <c r="E1076" s="4" t="s">
        <v>10</v>
      </c>
      <c r="F1076" s="4" t="s">
        <v>13</v>
      </c>
      <c r="G1076" s="18">
        <v>12031</v>
      </c>
      <c r="H1076" s="10">
        <v>20</v>
      </c>
      <c r="I1076" s="4">
        <v>4</v>
      </c>
      <c r="J1076" s="4" t="s">
        <v>14</v>
      </c>
      <c r="K1076" s="3" t="s">
        <v>14</v>
      </c>
      <c r="L1076" s="3" t="str">
        <f>IF(Table1[[#This Row],[Monthly Income]]&lt;3000,"Low",IF(Table1[[#This Row],[Monthly Income]]&lt;7000,"Medium","High"))</f>
        <v>High</v>
      </c>
      <c r="AK1076" s="4"/>
      <c r="AL1076" s="4"/>
      <c r="AM1076" s="4"/>
      <c r="AN1076" s="4"/>
      <c r="AO1076" s="4"/>
      <c r="AP1076" s="4"/>
      <c r="AQ1076" s="4"/>
      <c r="AR1076" s="4"/>
      <c r="AS1076" s="4"/>
      <c r="AU1076" s="4"/>
      <c r="AV1076" s="4"/>
      <c r="AW1076" s="4"/>
      <c r="AX1076" s="4"/>
      <c r="AY1076" s="4"/>
      <c r="AZ1076" s="4"/>
      <c r="BA1076" s="4"/>
      <c r="BB1076" s="4"/>
      <c r="BC1076" s="4"/>
      <c r="BD1076" s="4"/>
      <c r="BE1076" s="4"/>
    </row>
    <row r="1077" spans="2:57" x14ac:dyDescent="0.3">
      <c r="B1077" s="6" t="s">
        <v>1100</v>
      </c>
      <c r="C1077" s="6">
        <v>40</v>
      </c>
      <c r="D1077" s="6" t="s">
        <v>12</v>
      </c>
      <c r="E1077" s="6" t="s">
        <v>10</v>
      </c>
      <c r="F1077" s="6" t="s">
        <v>13</v>
      </c>
      <c r="G1077" s="19">
        <v>5677</v>
      </c>
      <c r="H1077" s="11">
        <v>11</v>
      </c>
      <c r="I1077" s="6">
        <v>2</v>
      </c>
      <c r="J1077" s="6" t="s">
        <v>14</v>
      </c>
      <c r="K1077" s="5" t="s">
        <v>14</v>
      </c>
      <c r="L1077" s="3" t="str">
        <f>IF(Table1[[#This Row],[Monthly Income]]&lt;3000,"Low",IF(Table1[[#This Row],[Monthly Income]]&lt;7000,"Medium","High"))</f>
        <v>Medium</v>
      </c>
      <c r="AK1077" s="6"/>
      <c r="AL1077" s="6"/>
      <c r="AM1077" s="6"/>
      <c r="AN1077" s="6"/>
      <c r="AO1077" s="6"/>
      <c r="AP1077" s="6"/>
      <c r="AQ1077" s="6"/>
      <c r="AR1077" s="6"/>
      <c r="AS1077" s="6"/>
      <c r="AU1077" s="6"/>
      <c r="AV1077" s="6"/>
      <c r="AW1077" s="6"/>
      <c r="AX1077" s="6"/>
      <c r="AY1077" s="6"/>
      <c r="AZ1077" s="6"/>
      <c r="BA1077" s="6"/>
      <c r="BB1077" s="6"/>
      <c r="BC1077" s="6"/>
      <c r="BD1077" s="6"/>
      <c r="BE1077" s="6"/>
    </row>
    <row r="1078" spans="2:57" x14ac:dyDescent="0.3">
      <c r="B1078" s="4" t="s">
        <v>1101</v>
      </c>
      <c r="C1078" s="4">
        <v>28</v>
      </c>
      <c r="D1078" s="4" t="s">
        <v>12</v>
      </c>
      <c r="E1078" s="4" t="s">
        <v>10</v>
      </c>
      <c r="F1078" s="4" t="s">
        <v>43</v>
      </c>
      <c r="G1078" s="18">
        <v>2856</v>
      </c>
      <c r="H1078" s="10">
        <v>1</v>
      </c>
      <c r="I1078" s="4">
        <v>2</v>
      </c>
      <c r="J1078" s="4" t="s">
        <v>14</v>
      </c>
      <c r="K1078" s="3" t="s">
        <v>14</v>
      </c>
      <c r="L1078" s="3" t="str">
        <f>IF(Table1[[#This Row],[Monthly Income]]&lt;3000,"Low",IF(Table1[[#This Row],[Monthly Income]]&lt;7000,"Medium","High"))</f>
        <v>Low</v>
      </c>
      <c r="AK1078" s="4"/>
      <c r="AL1078" s="4"/>
      <c r="AM1078" s="4"/>
      <c r="AN1078" s="4"/>
      <c r="AO1078" s="4"/>
      <c r="AP1078" s="4"/>
      <c r="AQ1078" s="4"/>
      <c r="AR1078" s="4"/>
      <c r="AS1078" s="4"/>
      <c r="AU1078" s="4"/>
      <c r="AV1078" s="4"/>
      <c r="AW1078" s="4"/>
      <c r="AX1078" s="4"/>
      <c r="AY1078" s="4"/>
      <c r="AZ1078" s="4"/>
      <c r="BA1078" s="4"/>
      <c r="BB1078" s="4"/>
      <c r="BC1078" s="4"/>
      <c r="BD1078" s="4"/>
      <c r="BE1078" s="4"/>
    </row>
    <row r="1079" spans="2:57" x14ac:dyDescent="0.3">
      <c r="B1079" s="6" t="s">
        <v>1102</v>
      </c>
      <c r="C1079" s="6">
        <v>46</v>
      </c>
      <c r="D1079" s="6" t="s">
        <v>12</v>
      </c>
      <c r="E1079" s="6" t="s">
        <v>10</v>
      </c>
      <c r="F1079" s="6" t="s">
        <v>39</v>
      </c>
      <c r="G1079" s="19">
        <v>16606</v>
      </c>
      <c r="H1079" s="11">
        <v>13</v>
      </c>
      <c r="I1079" s="6">
        <v>2</v>
      </c>
      <c r="J1079" s="6" t="s">
        <v>14</v>
      </c>
      <c r="K1079" s="5" t="s">
        <v>14</v>
      </c>
      <c r="L1079" s="3" t="str">
        <f>IF(Table1[[#This Row],[Monthly Income]]&lt;3000,"Low",IF(Table1[[#This Row],[Monthly Income]]&lt;7000,"Medium","High"))</f>
        <v>High</v>
      </c>
      <c r="AK1079" s="6"/>
      <c r="AL1079" s="6"/>
      <c r="AM1079" s="6"/>
      <c r="AN1079" s="6"/>
      <c r="AO1079" s="6"/>
      <c r="AP1079" s="6"/>
      <c r="AQ1079" s="6"/>
      <c r="AR1079" s="6"/>
      <c r="AS1079" s="6"/>
      <c r="AU1079" s="6"/>
      <c r="AV1079" s="6"/>
      <c r="AW1079" s="6"/>
      <c r="AX1079" s="6"/>
      <c r="AY1079" s="6"/>
      <c r="AZ1079" s="6"/>
      <c r="BA1079" s="6"/>
      <c r="BB1079" s="6"/>
      <c r="BC1079" s="6"/>
      <c r="BD1079" s="6"/>
      <c r="BE1079" s="6"/>
    </row>
    <row r="1080" spans="2:57" x14ac:dyDescent="0.3">
      <c r="B1080" s="4" t="s">
        <v>1103</v>
      </c>
      <c r="C1080" s="4">
        <v>56</v>
      </c>
      <c r="D1080" s="4" t="s">
        <v>12</v>
      </c>
      <c r="E1080" s="4" t="s">
        <v>10</v>
      </c>
      <c r="F1080" s="4" t="s">
        <v>13</v>
      </c>
      <c r="G1080" s="18">
        <v>5380</v>
      </c>
      <c r="H1080" s="10">
        <v>0</v>
      </c>
      <c r="I1080" s="4">
        <v>1</v>
      </c>
      <c r="J1080" s="4" t="s">
        <v>14</v>
      </c>
      <c r="K1080" s="3" t="s">
        <v>14</v>
      </c>
      <c r="L1080" s="3" t="str">
        <f>IF(Table1[[#This Row],[Monthly Income]]&lt;3000,"Low",IF(Table1[[#This Row],[Monthly Income]]&lt;7000,"Medium","High"))</f>
        <v>Medium</v>
      </c>
      <c r="AK1080" s="4"/>
      <c r="AL1080" s="4"/>
      <c r="AM1080" s="4"/>
      <c r="AN1080" s="4"/>
      <c r="AO1080" s="4"/>
      <c r="AP1080" s="4"/>
      <c r="AQ1080" s="4"/>
      <c r="AR1080" s="4"/>
      <c r="AS1080" s="4"/>
      <c r="AU1080" s="4"/>
      <c r="AV1080" s="4"/>
      <c r="AW1080" s="4"/>
      <c r="AX1080" s="4"/>
      <c r="AY1080" s="4"/>
      <c r="AZ1080" s="4"/>
      <c r="BA1080" s="4"/>
      <c r="BB1080" s="4"/>
      <c r="BC1080" s="4"/>
      <c r="BD1080" s="4"/>
      <c r="BE1080" s="4"/>
    </row>
    <row r="1081" spans="2:57" x14ac:dyDescent="0.3">
      <c r="B1081" s="6" t="s">
        <v>1104</v>
      </c>
      <c r="C1081" s="6">
        <v>40</v>
      </c>
      <c r="D1081" s="6" t="s">
        <v>12</v>
      </c>
      <c r="E1081" s="6" t="s">
        <v>10</v>
      </c>
      <c r="F1081" s="6" t="s">
        <v>13</v>
      </c>
      <c r="G1081" s="19">
        <v>4639</v>
      </c>
      <c r="H1081" s="11">
        <v>5</v>
      </c>
      <c r="I1081" s="6">
        <v>1</v>
      </c>
      <c r="J1081" s="6" t="s">
        <v>14</v>
      </c>
      <c r="K1081" s="5" t="s">
        <v>14</v>
      </c>
      <c r="L1081" s="3" t="str">
        <f>IF(Table1[[#This Row],[Monthly Income]]&lt;3000,"Low",IF(Table1[[#This Row],[Monthly Income]]&lt;7000,"Medium","High"))</f>
        <v>Medium</v>
      </c>
      <c r="AK1081" s="6"/>
      <c r="AL1081" s="6"/>
      <c r="AM1081" s="6"/>
      <c r="AN1081" s="6"/>
      <c r="AO1081" s="6"/>
      <c r="AP1081" s="6"/>
      <c r="AQ1081" s="6"/>
      <c r="AR1081" s="6"/>
      <c r="AS1081" s="6"/>
      <c r="AU1081" s="6"/>
      <c r="AV1081" s="6"/>
      <c r="AW1081" s="6"/>
      <c r="AX1081" s="6"/>
      <c r="AY1081" s="6"/>
      <c r="AZ1081" s="6"/>
      <c r="BA1081" s="6"/>
      <c r="BB1081" s="6"/>
      <c r="BC1081" s="6"/>
      <c r="BD1081" s="6"/>
      <c r="BE1081" s="6"/>
    </row>
    <row r="1082" spans="2:57" x14ac:dyDescent="0.3">
      <c r="B1082" s="4" t="s">
        <v>1105</v>
      </c>
      <c r="C1082" s="4">
        <v>31</v>
      </c>
      <c r="D1082" s="4" t="s">
        <v>12</v>
      </c>
      <c r="E1082" s="4" t="s">
        <v>10</v>
      </c>
      <c r="F1082" s="4" t="s">
        <v>13</v>
      </c>
      <c r="G1082" s="18">
        <v>5468</v>
      </c>
      <c r="H1082" s="10">
        <v>12</v>
      </c>
      <c r="I1082" s="4">
        <v>4</v>
      </c>
      <c r="J1082" s="4" t="s">
        <v>14</v>
      </c>
      <c r="K1082" s="3" t="s">
        <v>14</v>
      </c>
      <c r="L1082" s="3" t="str">
        <f>IF(Table1[[#This Row],[Monthly Income]]&lt;3000,"Low",IF(Table1[[#This Row],[Monthly Income]]&lt;7000,"Medium","High"))</f>
        <v>Medium</v>
      </c>
      <c r="AK1082" s="4"/>
      <c r="AL1082" s="4"/>
      <c r="AM1082" s="4"/>
      <c r="AN1082" s="4"/>
      <c r="AO1082" s="4"/>
      <c r="AP1082" s="4"/>
      <c r="AQ1082" s="4"/>
      <c r="AR1082" s="4"/>
      <c r="AS1082" s="4"/>
      <c r="AU1082" s="4"/>
      <c r="AV1082" s="4"/>
      <c r="AW1082" s="4"/>
      <c r="AX1082" s="4"/>
      <c r="AY1082" s="4"/>
      <c r="AZ1082" s="4"/>
      <c r="BA1082" s="4"/>
      <c r="BB1082" s="4"/>
      <c r="BC1082" s="4"/>
      <c r="BD1082" s="4"/>
      <c r="BE1082" s="4"/>
    </row>
    <row r="1083" spans="2:57" x14ac:dyDescent="0.3">
      <c r="B1083" s="6" t="s">
        <v>1106</v>
      </c>
      <c r="C1083" s="6">
        <v>36</v>
      </c>
      <c r="D1083" s="6" t="s">
        <v>12</v>
      </c>
      <c r="E1083" s="6" t="s">
        <v>10</v>
      </c>
      <c r="F1083" s="6" t="s">
        <v>13</v>
      </c>
      <c r="G1083" s="19">
        <v>7644</v>
      </c>
      <c r="H1083" s="11">
        <v>9</v>
      </c>
      <c r="I1083" s="6">
        <v>4</v>
      </c>
      <c r="J1083" s="6" t="s">
        <v>14</v>
      </c>
      <c r="K1083" s="5" t="s">
        <v>14</v>
      </c>
      <c r="L1083" s="3" t="str">
        <f>IF(Table1[[#This Row],[Monthly Income]]&lt;3000,"Low",IF(Table1[[#This Row],[Monthly Income]]&lt;7000,"Medium","High"))</f>
        <v>High</v>
      </c>
      <c r="AK1083" s="6"/>
      <c r="AL1083" s="6"/>
      <c r="AM1083" s="6"/>
      <c r="AN1083" s="6"/>
      <c r="AO1083" s="6"/>
      <c r="AP1083" s="6"/>
      <c r="AQ1083" s="6"/>
      <c r="AR1083" s="6"/>
      <c r="AS1083" s="6"/>
      <c r="AU1083" s="6"/>
      <c r="AV1083" s="6"/>
      <c r="AW1083" s="6"/>
      <c r="AX1083" s="6"/>
      <c r="AY1083" s="6"/>
      <c r="AZ1083" s="6"/>
      <c r="BA1083" s="6"/>
      <c r="BB1083" s="6"/>
      <c r="BC1083" s="6"/>
      <c r="BD1083" s="6"/>
      <c r="BE1083" s="6"/>
    </row>
    <row r="1084" spans="2:57" x14ac:dyDescent="0.3">
      <c r="B1084" s="4" t="s">
        <v>1107</v>
      </c>
      <c r="C1084" s="4">
        <v>31</v>
      </c>
      <c r="D1084" s="4" t="s">
        <v>12</v>
      </c>
      <c r="E1084" s="4" t="s">
        <v>10</v>
      </c>
      <c r="F1084" s="4" t="s">
        <v>13</v>
      </c>
      <c r="G1084" s="18">
        <v>5476</v>
      </c>
      <c r="H1084" s="10">
        <v>10</v>
      </c>
      <c r="I1084" s="4">
        <v>4</v>
      </c>
      <c r="J1084" s="4" t="s">
        <v>14</v>
      </c>
      <c r="K1084" s="3" t="s">
        <v>14</v>
      </c>
      <c r="L1084" s="3" t="str">
        <f>IF(Table1[[#This Row],[Monthly Income]]&lt;3000,"Low",IF(Table1[[#This Row],[Monthly Income]]&lt;7000,"Medium","High"))</f>
        <v>Medium</v>
      </c>
      <c r="AK1084" s="4"/>
      <c r="AL1084" s="4"/>
      <c r="AM1084" s="4"/>
      <c r="AN1084" s="4"/>
      <c r="AO1084" s="4"/>
      <c r="AP1084" s="4"/>
      <c r="AQ1084" s="4"/>
      <c r="AR1084" s="4"/>
      <c r="AS1084" s="4"/>
      <c r="AU1084" s="4"/>
      <c r="AV1084" s="4"/>
      <c r="AW1084" s="4"/>
      <c r="AX1084" s="4"/>
      <c r="AY1084" s="4"/>
      <c r="AZ1084" s="4"/>
      <c r="BA1084" s="4"/>
      <c r="BB1084" s="4"/>
      <c r="BC1084" s="4"/>
      <c r="BD1084" s="4"/>
      <c r="BE1084" s="4"/>
    </row>
    <row r="1085" spans="2:57" x14ac:dyDescent="0.3">
      <c r="B1085" s="6" t="s">
        <v>1108</v>
      </c>
      <c r="C1085" s="6">
        <v>36</v>
      </c>
      <c r="D1085" s="6" t="s">
        <v>12</v>
      </c>
      <c r="E1085" s="6" t="s">
        <v>10</v>
      </c>
      <c r="F1085" s="6" t="s">
        <v>13</v>
      </c>
      <c r="G1085" s="19">
        <v>5647</v>
      </c>
      <c r="H1085" s="11">
        <v>3</v>
      </c>
      <c r="I1085" s="6">
        <v>1</v>
      </c>
      <c r="J1085" s="6" t="s">
        <v>14</v>
      </c>
      <c r="K1085" s="5" t="s">
        <v>14</v>
      </c>
      <c r="L1085" s="3" t="str">
        <f>IF(Table1[[#This Row],[Monthly Income]]&lt;3000,"Low",IF(Table1[[#This Row],[Monthly Income]]&lt;7000,"Medium","High"))</f>
        <v>Medium</v>
      </c>
      <c r="AK1085" s="6"/>
      <c r="AL1085" s="6"/>
      <c r="AM1085" s="6"/>
      <c r="AN1085" s="6"/>
      <c r="AO1085" s="6"/>
      <c r="AP1085" s="6"/>
      <c r="AQ1085" s="6"/>
      <c r="AR1085" s="6"/>
      <c r="AS1085" s="6"/>
      <c r="AU1085" s="6"/>
      <c r="AV1085" s="6"/>
      <c r="AW1085" s="6"/>
      <c r="AX1085" s="6"/>
      <c r="AY1085" s="6"/>
      <c r="AZ1085" s="6"/>
      <c r="BA1085" s="6"/>
      <c r="BB1085" s="6"/>
      <c r="BC1085" s="6"/>
      <c r="BD1085" s="6"/>
      <c r="BE1085" s="6"/>
    </row>
    <row r="1086" spans="2:57" x14ac:dyDescent="0.3">
      <c r="B1086" s="4" t="s">
        <v>1109</v>
      </c>
      <c r="C1086" s="4">
        <v>32</v>
      </c>
      <c r="D1086" s="4" t="s">
        <v>12</v>
      </c>
      <c r="E1086" s="4" t="s">
        <v>10</v>
      </c>
      <c r="F1086" s="4" t="s">
        <v>13</v>
      </c>
      <c r="G1086" s="18">
        <v>10422</v>
      </c>
      <c r="H1086" s="10">
        <v>14</v>
      </c>
      <c r="I1086" s="4">
        <v>4</v>
      </c>
      <c r="J1086" s="4" t="s">
        <v>14</v>
      </c>
      <c r="K1086" s="3" t="s">
        <v>14</v>
      </c>
      <c r="L1086" s="3" t="str">
        <f>IF(Table1[[#This Row],[Monthly Income]]&lt;3000,"Low",IF(Table1[[#This Row],[Monthly Income]]&lt;7000,"Medium","High"))</f>
        <v>High</v>
      </c>
      <c r="AK1086" s="4"/>
      <c r="AL1086" s="4"/>
      <c r="AM1086" s="4"/>
      <c r="AN1086" s="4"/>
      <c r="AO1086" s="4"/>
      <c r="AP1086" s="4"/>
      <c r="AQ1086" s="4"/>
      <c r="AR1086" s="4"/>
      <c r="AS1086" s="4"/>
      <c r="AU1086" s="4"/>
      <c r="AV1086" s="4"/>
      <c r="AW1086" s="4"/>
      <c r="AX1086" s="4"/>
      <c r="AY1086" s="4"/>
      <c r="AZ1086" s="4"/>
      <c r="BA1086" s="4"/>
      <c r="BB1086" s="4"/>
      <c r="BC1086" s="4"/>
      <c r="BD1086" s="4"/>
      <c r="BE1086" s="4"/>
    </row>
    <row r="1087" spans="2:57" x14ac:dyDescent="0.3">
      <c r="B1087" s="6" t="s">
        <v>1110</v>
      </c>
      <c r="C1087" s="6">
        <v>27</v>
      </c>
      <c r="D1087" s="6" t="s">
        <v>12</v>
      </c>
      <c r="E1087" s="6" t="s">
        <v>10</v>
      </c>
      <c r="F1087" s="6" t="s">
        <v>13</v>
      </c>
      <c r="G1087" s="19">
        <v>6500</v>
      </c>
      <c r="H1087" s="11">
        <v>8</v>
      </c>
      <c r="I1087" s="6">
        <v>3</v>
      </c>
      <c r="J1087" s="6" t="s">
        <v>14</v>
      </c>
      <c r="K1087" s="5" t="s">
        <v>14</v>
      </c>
      <c r="L1087" s="3" t="str">
        <f>IF(Table1[[#This Row],[Monthly Income]]&lt;3000,"Low",IF(Table1[[#This Row],[Monthly Income]]&lt;7000,"Medium","High"))</f>
        <v>Medium</v>
      </c>
      <c r="AK1087" s="6"/>
      <c r="AL1087" s="6"/>
      <c r="AM1087" s="6"/>
      <c r="AN1087" s="6"/>
      <c r="AO1087" s="6"/>
      <c r="AP1087" s="6"/>
      <c r="AQ1087" s="6"/>
      <c r="AR1087" s="6"/>
      <c r="AS1087" s="6"/>
      <c r="AU1087" s="6"/>
      <c r="AV1087" s="6"/>
      <c r="AW1087" s="6"/>
      <c r="AX1087" s="6"/>
      <c r="AY1087" s="6"/>
      <c r="AZ1087" s="6"/>
      <c r="BA1087" s="6"/>
      <c r="BB1087" s="6"/>
      <c r="BC1087" s="6"/>
      <c r="BD1087" s="6"/>
      <c r="BE1087" s="6"/>
    </row>
    <row r="1088" spans="2:57" x14ac:dyDescent="0.3">
      <c r="B1088" s="4" t="s">
        <v>1111</v>
      </c>
      <c r="C1088" s="4">
        <v>38</v>
      </c>
      <c r="D1088" s="4" t="s">
        <v>12</v>
      </c>
      <c r="E1088" s="4" t="s">
        <v>10</v>
      </c>
      <c r="F1088" s="4" t="s">
        <v>13</v>
      </c>
      <c r="G1088" s="18">
        <v>4198</v>
      </c>
      <c r="H1088" s="10">
        <v>3</v>
      </c>
      <c r="I1088" s="4">
        <v>2</v>
      </c>
      <c r="J1088" s="4" t="s">
        <v>14</v>
      </c>
      <c r="K1088" s="3" t="s">
        <v>14</v>
      </c>
      <c r="L1088" s="3" t="str">
        <f>IF(Table1[[#This Row],[Monthly Income]]&lt;3000,"Low",IF(Table1[[#This Row],[Monthly Income]]&lt;7000,"Medium","High"))</f>
        <v>Medium</v>
      </c>
      <c r="AK1088" s="4"/>
      <c r="AL1088" s="4"/>
      <c r="AM1088" s="4"/>
      <c r="AN1088" s="4"/>
      <c r="AO1088" s="4"/>
      <c r="AP1088" s="4"/>
      <c r="AQ1088" s="4"/>
      <c r="AR1088" s="4"/>
      <c r="AS1088" s="4"/>
      <c r="AU1088" s="4"/>
      <c r="AV1088" s="4"/>
      <c r="AW1088" s="4"/>
      <c r="AX1088" s="4"/>
      <c r="AY1088" s="4"/>
      <c r="AZ1088" s="4"/>
      <c r="BA1088" s="4"/>
      <c r="BB1088" s="4"/>
      <c r="BC1088" s="4"/>
      <c r="BD1088" s="4"/>
      <c r="BE1088" s="4"/>
    </row>
    <row r="1089" spans="2:57" x14ac:dyDescent="0.3">
      <c r="B1089" s="6" t="s">
        <v>1112</v>
      </c>
      <c r="C1089" s="6">
        <v>36</v>
      </c>
      <c r="D1089" s="6" t="s">
        <v>12</v>
      </c>
      <c r="E1089" s="6" t="s">
        <v>10</v>
      </c>
      <c r="F1089" s="6" t="s">
        <v>13</v>
      </c>
      <c r="G1089" s="19">
        <v>6815</v>
      </c>
      <c r="H1089" s="11">
        <v>1</v>
      </c>
      <c r="I1089" s="6">
        <v>3</v>
      </c>
      <c r="J1089" s="6" t="s">
        <v>14</v>
      </c>
      <c r="K1089" s="5" t="s">
        <v>14</v>
      </c>
      <c r="L1089" s="3" t="str">
        <f>IF(Table1[[#This Row],[Monthly Income]]&lt;3000,"Low",IF(Table1[[#This Row],[Monthly Income]]&lt;7000,"Medium","High"))</f>
        <v>Medium</v>
      </c>
      <c r="AK1089" s="6"/>
      <c r="AL1089" s="6"/>
      <c r="AM1089" s="6"/>
      <c r="AN1089" s="6"/>
      <c r="AO1089" s="6"/>
      <c r="AP1089" s="6"/>
      <c r="AQ1089" s="6"/>
      <c r="AR1089" s="6"/>
      <c r="AS1089" s="6"/>
      <c r="AU1089" s="6"/>
      <c r="AV1089" s="6"/>
      <c r="AW1089" s="6"/>
      <c r="AX1089" s="6"/>
      <c r="AY1089" s="6"/>
      <c r="AZ1089" s="6"/>
      <c r="BA1089" s="6"/>
      <c r="BB1089" s="6"/>
      <c r="BC1089" s="6"/>
      <c r="BD1089" s="6"/>
      <c r="BE1089" s="6"/>
    </row>
    <row r="1090" spans="2:57" x14ac:dyDescent="0.3">
      <c r="B1090" s="4" t="s">
        <v>1113</v>
      </c>
      <c r="C1090" s="4">
        <v>20</v>
      </c>
      <c r="D1090" s="4" t="s">
        <v>12</v>
      </c>
      <c r="E1090" s="4" t="s">
        <v>10</v>
      </c>
      <c r="F1090" s="4" t="s">
        <v>43</v>
      </c>
      <c r="G1090" s="18">
        <v>2783</v>
      </c>
      <c r="H1090" s="10">
        <v>2</v>
      </c>
      <c r="I1090" s="4">
        <v>3</v>
      </c>
      <c r="J1090" s="4" t="s">
        <v>14</v>
      </c>
      <c r="K1090" s="3" t="s">
        <v>14</v>
      </c>
      <c r="L1090" s="3" t="str">
        <f>IF(Table1[[#This Row],[Monthly Income]]&lt;3000,"Low",IF(Table1[[#This Row],[Monthly Income]]&lt;7000,"Medium","High"))</f>
        <v>Low</v>
      </c>
      <c r="AK1090" s="4"/>
      <c r="AL1090" s="4"/>
      <c r="AM1090" s="4"/>
      <c r="AN1090" s="4"/>
      <c r="AO1090" s="4"/>
      <c r="AP1090" s="4"/>
      <c r="AQ1090" s="4"/>
      <c r="AR1090" s="4"/>
      <c r="AS1090" s="4"/>
      <c r="AU1090" s="4"/>
      <c r="AV1090" s="4"/>
      <c r="AW1090" s="4"/>
      <c r="AX1090" s="4"/>
      <c r="AY1090" s="4"/>
      <c r="AZ1090" s="4"/>
      <c r="BA1090" s="4"/>
      <c r="BB1090" s="4"/>
      <c r="BC1090" s="4"/>
      <c r="BD1090" s="4"/>
      <c r="BE1090" s="4"/>
    </row>
    <row r="1091" spans="2:57" x14ac:dyDescent="0.3">
      <c r="B1091" s="6" t="s">
        <v>1114</v>
      </c>
      <c r="C1091" s="6">
        <v>36</v>
      </c>
      <c r="D1091" s="6" t="s">
        <v>12</v>
      </c>
      <c r="E1091" s="6" t="s">
        <v>10</v>
      </c>
      <c r="F1091" s="6" t="s">
        <v>43</v>
      </c>
      <c r="G1091" s="19">
        <v>4502</v>
      </c>
      <c r="H1091" s="11">
        <v>13</v>
      </c>
      <c r="I1091" s="6">
        <v>4</v>
      </c>
      <c r="J1091" s="6" t="s">
        <v>14</v>
      </c>
      <c r="K1091" s="5" t="s">
        <v>14</v>
      </c>
      <c r="L1091" s="3" t="str">
        <f>IF(Table1[[#This Row],[Monthly Income]]&lt;3000,"Low",IF(Table1[[#This Row],[Monthly Income]]&lt;7000,"Medium","High"))</f>
        <v>Medium</v>
      </c>
      <c r="AK1091" s="6"/>
      <c r="AL1091" s="6"/>
      <c r="AM1091" s="6"/>
      <c r="AN1091" s="6"/>
      <c r="AO1091" s="6"/>
      <c r="AP1091" s="6"/>
      <c r="AQ1091" s="6"/>
      <c r="AR1091" s="6"/>
      <c r="AS1091" s="6"/>
      <c r="AU1091" s="6"/>
      <c r="AV1091" s="6"/>
      <c r="AW1091" s="6"/>
      <c r="AX1091" s="6"/>
      <c r="AY1091" s="6"/>
      <c r="AZ1091" s="6"/>
      <c r="BA1091" s="6"/>
      <c r="BB1091" s="6"/>
      <c r="BC1091" s="6"/>
      <c r="BD1091" s="6"/>
      <c r="BE1091" s="6"/>
    </row>
    <row r="1092" spans="2:57" x14ac:dyDescent="0.3">
      <c r="B1092" s="4" t="s">
        <v>1115</v>
      </c>
      <c r="C1092" s="4">
        <v>34</v>
      </c>
      <c r="D1092" s="4" t="s">
        <v>12</v>
      </c>
      <c r="E1092" s="4" t="s">
        <v>10</v>
      </c>
      <c r="F1092" s="4" t="s">
        <v>13</v>
      </c>
      <c r="G1092" s="18">
        <v>6029</v>
      </c>
      <c r="H1092" s="10">
        <v>2</v>
      </c>
      <c r="I1092" s="4">
        <v>4</v>
      </c>
      <c r="J1092" s="4" t="s">
        <v>14</v>
      </c>
      <c r="K1092" s="3" t="s">
        <v>14</v>
      </c>
      <c r="L1092" s="3" t="str">
        <f>IF(Table1[[#This Row],[Monthly Income]]&lt;3000,"Low",IF(Table1[[#This Row],[Monthly Income]]&lt;7000,"Medium","High"))</f>
        <v>Medium</v>
      </c>
      <c r="AK1092" s="4"/>
      <c r="AL1092" s="4"/>
      <c r="AM1092" s="4"/>
      <c r="AN1092" s="4"/>
      <c r="AO1092" s="4"/>
      <c r="AP1092" s="4"/>
      <c r="AQ1092" s="4"/>
      <c r="AR1092" s="4"/>
      <c r="AS1092" s="4"/>
      <c r="AU1092" s="4"/>
      <c r="AV1092" s="4"/>
      <c r="AW1092" s="4"/>
      <c r="AX1092" s="4"/>
      <c r="AY1092" s="4"/>
      <c r="AZ1092" s="4"/>
      <c r="BA1092" s="4"/>
      <c r="BB1092" s="4"/>
      <c r="BC1092" s="4"/>
      <c r="BD1092" s="4"/>
      <c r="BE1092" s="4"/>
    </row>
    <row r="1093" spans="2:57" x14ac:dyDescent="0.3">
      <c r="B1093" s="6" t="s">
        <v>1116</v>
      </c>
      <c r="C1093" s="6">
        <v>26</v>
      </c>
      <c r="D1093" s="6" t="s">
        <v>12</v>
      </c>
      <c r="E1093" s="6" t="s">
        <v>10</v>
      </c>
      <c r="F1093" s="6" t="s">
        <v>43</v>
      </c>
      <c r="G1093" s="19">
        <v>2966</v>
      </c>
      <c r="H1093" s="11">
        <v>4</v>
      </c>
      <c r="I1093" s="6">
        <v>3</v>
      </c>
      <c r="J1093" s="6" t="s">
        <v>14</v>
      </c>
      <c r="K1093" s="5" t="s">
        <v>14</v>
      </c>
      <c r="L1093" s="3" t="str">
        <f>IF(Table1[[#This Row],[Monthly Income]]&lt;3000,"Low",IF(Table1[[#This Row],[Monthly Income]]&lt;7000,"Medium","High"))</f>
        <v>Low</v>
      </c>
      <c r="AK1093" s="6"/>
      <c r="AL1093" s="6"/>
      <c r="AM1093" s="6"/>
      <c r="AN1093" s="6"/>
      <c r="AO1093" s="6"/>
      <c r="AP1093" s="6"/>
      <c r="AQ1093" s="6"/>
      <c r="AR1093" s="6"/>
      <c r="AS1093" s="6"/>
      <c r="AU1093" s="6"/>
      <c r="AV1093" s="6"/>
      <c r="AW1093" s="6"/>
      <c r="AX1093" s="6"/>
      <c r="AY1093" s="6"/>
      <c r="AZ1093" s="6"/>
      <c r="BA1093" s="6"/>
      <c r="BB1093" s="6"/>
      <c r="BC1093" s="6"/>
      <c r="BD1093" s="6"/>
      <c r="BE1093" s="6"/>
    </row>
    <row r="1094" spans="2:57" x14ac:dyDescent="0.3">
      <c r="B1094" s="4" t="s">
        <v>1117</v>
      </c>
      <c r="C1094" s="4">
        <v>45</v>
      </c>
      <c r="D1094" s="4" t="s">
        <v>12</v>
      </c>
      <c r="E1094" s="4" t="s">
        <v>10</v>
      </c>
      <c r="F1094" s="4" t="s">
        <v>13</v>
      </c>
      <c r="G1094" s="18">
        <v>4850</v>
      </c>
      <c r="H1094" s="10">
        <v>5</v>
      </c>
      <c r="I1094" s="4">
        <v>3</v>
      </c>
      <c r="J1094" s="4" t="s">
        <v>14</v>
      </c>
      <c r="K1094" s="3" t="s">
        <v>14</v>
      </c>
      <c r="L1094" s="3" t="str">
        <f>IF(Table1[[#This Row],[Monthly Income]]&lt;3000,"Low",IF(Table1[[#This Row],[Monthly Income]]&lt;7000,"Medium","High"))</f>
        <v>Medium</v>
      </c>
      <c r="AK1094" s="4"/>
      <c r="AL1094" s="4"/>
      <c r="AM1094" s="4"/>
      <c r="AN1094" s="4"/>
      <c r="AO1094" s="4"/>
      <c r="AP1094" s="4"/>
      <c r="AQ1094" s="4"/>
      <c r="AR1094" s="4"/>
      <c r="AS1094" s="4"/>
      <c r="AU1094" s="4"/>
      <c r="AV1094" s="4"/>
      <c r="AW1094" s="4"/>
      <c r="AX1094" s="4"/>
      <c r="AY1094" s="4"/>
      <c r="AZ1094" s="4"/>
      <c r="BA1094" s="4"/>
      <c r="BB1094" s="4"/>
      <c r="BC1094" s="4"/>
      <c r="BD1094" s="4"/>
      <c r="BE1094" s="4"/>
    </row>
    <row r="1095" spans="2:57" x14ac:dyDescent="0.3">
      <c r="B1095" s="6" t="s">
        <v>1118</v>
      </c>
      <c r="C1095" s="6">
        <v>49</v>
      </c>
      <c r="D1095" s="6" t="s">
        <v>12</v>
      </c>
      <c r="E1095" s="6" t="s">
        <v>10</v>
      </c>
      <c r="F1095" s="6" t="s">
        <v>13</v>
      </c>
      <c r="G1095" s="19">
        <v>4507</v>
      </c>
      <c r="H1095" s="11">
        <v>5</v>
      </c>
      <c r="I1095" s="6">
        <v>4</v>
      </c>
      <c r="J1095" s="6" t="s">
        <v>14</v>
      </c>
      <c r="K1095" s="5" t="s">
        <v>14</v>
      </c>
      <c r="L1095" s="3" t="str">
        <f>IF(Table1[[#This Row],[Monthly Income]]&lt;3000,"Low",IF(Table1[[#This Row],[Monthly Income]]&lt;7000,"Medium","High"))</f>
        <v>Medium</v>
      </c>
      <c r="AK1095" s="6"/>
      <c r="AL1095" s="6"/>
      <c r="AM1095" s="6"/>
      <c r="AN1095" s="6"/>
      <c r="AO1095" s="6"/>
      <c r="AP1095" s="6"/>
      <c r="AQ1095" s="6"/>
      <c r="AR1095" s="6"/>
      <c r="AS1095" s="6"/>
      <c r="AU1095" s="6"/>
      <c r="AV1095" s="6"/>
      <c r="AW1095" s="6"/>
      <c r="AX1095" s="6"/>
      <c r="AY1095" s="6"/>
      <c r="AZ1095" s="6"/>
      <c r="BA1095" s="6"/>
      <c r="BB1095" s="6"/>
      <c r="BC1095" s="6"/>
      <c r="BD1095" s="6"/>
      <c r="BE1095" s="6"/>
    </row>
    <row r="1096" spans="2:57" x14ac:dyDescent="0.3">
      <c r="B1096" s="4" t="s">
        <v>1119</v>
      </c>
      <c r="C1096" s="4">
        <v>28</v>
      </c>
      <c r="D1096" s="4" t="s">
        <v>17</v>
      </c>
      <c r="E1096" s="4" t="s">
        <v>102</v>
      </c>
      <c r="F1096" s="4" t="s">
        <v>104</v>
      </c>
      <c r="G1096" s="18">
        <v>2706</v>
      </c>
      <c r="H1096" s="10">
        <v>3</v>
      </c>
      <c r="I1096" s="4">
        <v>4</v>
      </c>
      <c r="J1096" s="4" t="s">
        <v>14</v>
      </c>
      <c r="K1096" s="3" t="s">
        <v>14</v>
      </c>
      <c r="L1096" s="3" t="str">
        <f>IF(Table1[[#This Row],[Monthly Income]]&lt;3000,"Low",IF(Table1[[#This Row],[Monthly Income]]&lt;7000,"Medium","High"))</f>
        <v>Low</v>
      </c>
      <c r="AK1096" s="4"/>
      <c r="AL1096" s="4"/>
      <c r="AM1096" s="4"/>
      <c r="AN1096" s="4"/>
      <c r="AO1096" s="4"/>
      <c r="AP1096" s="4"/>
      <c r="AQ1096" s="4"/>
      <c r="AR1096" s="4"/>
      <c r="AS1096" s="4"/>
      <c r="AU1096" s="4"/>
      <c r="AV1096" s="4"/>
      <c r="AW1096" s="4"/>
      <c r="AX1096" s="4"/>
      <c r="AY1096" s="4"/>
      <c r="AZ1096" s="4"/>
      <c r="BA1096" s="4"/>
      <c r="BB1096" s="4"/>
      <c r="BC1096" s="4"/>
      <c r="BD1096" s="4"/>
      <c r="BE1096" s="4"/>
    </row>
    <row r="1097" spans="2:57" x14ac:dyDescent="0.3">
      <c r="B1097" s="6" t="s">
        <v>1120</v>
      </c>
      <c r="C1097" s="6">
        <v>38</v>
      </c>
      <c r="D1097" s="6" t="s">
        <v>17</v>
      </c>
      <c r="E1097" s="6" t="s">
        <v>102</v>
      </c>
      <c r="F1097" s="6" t="s">
        <v>104</v>
      </c>
      <c r="G1097" s="19">
        <v>2592</v>
      </c>
      <c r="H1097" s="11">
        <v>11</v>
      </c>
      <c r="I1097" s="6">
        <v>2</v>
      </c>
      <c r="J1097" s="6" t="s">
        <v>14</v>
      </c>
      <c r="K1097" s="5" t="s">
        <v>14</v>
      </c>
      <c r="L1097" s="3" t="str">
        <f>IF(Table1[[#This Row],[Monthly Income]]&lt;3000,"Low",IF(Table1[[#This Row],[Monthly Income]]&lt;7000,"Medium","High"))</f>
        <v>Low</v>
      </c>
      <c r="AK1097" s="6"/>
      <c r="AL1097" s="6"/>
      <c r="AM1097" s="6"/>
      <c r="AN1097" s="6"/>
      <c r="AO1097" s="6"/>
      <c r="AP1097" s="6"/>
      <c r="AQ1097" s="6"/>
      <c r="AR1097" s="6"/>
      <c r="AS1097" s="6"/>
      <c r="AU1097" s="6"/>
      <c r="AV1097" s="6"/>
      <c r="AW1097" s="6"/>
      <c r="AX1097" s="6"/>
      <c r="AY1097" s="6"/>
      <c r="AZ1097" s="6"/>
      <c r="BA1097" s="6"/>
      <c r="BB1097" s="6"/>
      <c r="BC1097" s="6"/>
      <c r="BD1097" s="6"/>
      <c r="BE1097" s="6"/>
    </row>
    <row r="1098" spans="2:57" x14ac:dyDescent="0.3">
      <c r="B1098" s="4" t="s">
        <v>1121</v>
      </c>
      <c r="C1098" s="4">
        <v>41</v>
      </c>
      <c r="D1098" s="4" t="s">
        <v>17</v>
      </c>
      <c r="E1098" s="4" t="s">
        <v>102</v>
      </c>
      <c r="F1098" s="4" t="s">
        <v>104</v>
      </c>
      <c r="G1098" s="18">
        <v>6430</v>
      </c>
      <c r="H1098" s="10">
        <v>3</v>
      </c>
      <c r="I1098" s="4">
        <v>2</v>
      </c>
      <c r="J1098" s="4" t="s">
        <v>14</v>
      </c>
      <c r="K1098" s="3" t="s">
        <v>14</v>
      </c>
      <c r="L1098" s="3" t="str">
        <f>IF(Table1[[#This Row],[Monthly Income]]&lt;3000,"Low",IF(Table1[[#This Row],[Monthly Income]]&lt;7000,"Medium","High"))</f>
        <v>Medium</v>
      </c>
      <c r="AK1098" s="4"/>
      <c r="AL1098" s="4"/>
      <c r="AM1098" s="4"/>
      <c r="AN1098" s="4"/>
      <c r="AO1098" s="4"/>
      <c r="AP1098" s="4"/>
      <c r="AQ1098" s="4"/>
      <c r="AR1098" s="4"/>
      <c r="AS1098" s="4"/>
      <c r="AU1098" s="4"/>
      <c r="AV1098" s="4"/>
      <c r="AW1098" s="4"/>
      <c r="AX1098" s="4"/>
      <c r="AY1098" s="4"/>
      <c r="AZ1098" s="4"/>
      <c r="BA1098" s="4"/>
      <c r="BB1098" s="4"/>
      <c r="BC1098" s="4"/>
      <c r="BD1098" s="4"/>
      <c r="BE1098" s="4"/>
    </row>
    <row r="1099" spans="2:57" x14ac:dyDescent="0.3">
      <c r="B1099" s="6" t="s">
        <v>1122</v>
      </c>
      <c r="C1099" s="6">
        <v>35</v>
      </c>
      <c r="D1099" s="6" t="s">
        <v>17</v>
      </c>
      <c r="E1099" s="6" t="s">
        <v>15</v>
      </c>
      <c r="F1099" s="6" t="s">
        <v>27</v>
      </c>
      <c r="G1099" s="19">
        <v>5762</v>
      </c>
      <c r="H1099" s="11">
        <v>7</v>
      </c>
      <c r="I1099" s="6">
        <v>4</v>
      </c>
      <c r="J1099" s="6" t="s">
        <v>14</v>
      </c>
      <c r="K1099" s="5" t="s">
        <v>14</v>
      </c>
      <c r="L1099" s="3" t="str">
        <f>IF(Table1[[#This Row],[Monthly Income]]&lt;3000,"Low",IF(Table1[[#This Row],[Monthly Income]]&lt;7000,"Medium","High"))</f>
        <v>Medium</v>
      </c>
      <c r="AK1099" s="6"/>
      <c r="AL1099" s="6"/>
      <c r="AM1099" s="6"/>
      <c r="AN1099" s="6"/>
      <c r="AO1099" s="6"/>
      <c r="AP1099" s="6"/>
      <c r="AQ1099" s="6"/>
      <c r="AR1099" s="6"/>
      <c r="AS1099" s="6"/>
      <c r="AU1099" s="6"/>
      <c r="AV1099" s="6"/>
      <c r="AW1099" s="6"/>
      <c r="AX1099" s="6"/>
      <c r="AY1099" s="6"/>
      <c r="AZ1099" s="6"/>
      <c r="BA1099" s="6"/>
      <c r="BB1099" s="6"/>
      <c r="BC1099" s="6"/>
      <c r="BD1099" s="6"/>
      <c r="BE1099" s="6"/>
    </row>
    <row r="1100" spans="2:57" x14ac:dyDescent="0.3">
      <c r="B1100" s="4" t="s">
        <v>1123</v>
      </c>
      <c r="C1100" s="4">
        <v>40</v>
      </c>
      <c r="D1100" s="4" t="s">
        <v>17</v>
      </c>
      <c r="E1100" s="4" t="s">
        <v>15</v>
      </c>
      <c r="F1100" s="4" t="s">
        <v>45</v>
      </c>
      <c r="G1100" s="18">
        <v>13757</v>
      </c>
      <c r="H1100" s="10">
        <v>9</v>
      </c>
      <c r="I1100" s="4">
        <v>2</v>
      </c>
      <c r="J1100" s="4" t="s">
        <v>14</v>
      </c>
      <c r="K1100" s="3" t="s">
        <v>14</v>
      </c>
      <c r="L1100" s="3" t="str">
        <f>IF(Table1[[#This Row],[Monthly Income]]&lt;3000,"Low",IF(Table1[[#This Row],[Monthly Income]]&lt;7000,"Medium","High"))</f>
        <v>High</v>
      </c>
      <c r="AK1100" s="4"/>
      <c r="AL1100" s="4"/>
      <c r="AM1100" s="4"/>
      <c r="AN1100" s="4"/>
      <c r="AO1100" s="4"/>
      <c r="AP1100" s="4"/>
      <c r="AQ1100" s="4"/>
      <c r="AR1100" s="4"/>
      <c r="AS1100" s="4"/>
      <c r="AU1100" s="4"/>
      <c r="AV1100" s="4"/>
      <c r="AW1100" s="4"/>
      <c r="AX1100" s="4"/>
      <c r="AY1100" s="4"/>
      <c r="AZ1100" s="4"/>
      <c r="BA1100" s="4"/>
      <c r="BB1100" s="4"/>
      <c r="BC1100" s="4"/>
      <c r="BD1100" s="4"/>
      <c r="BE1100" s="4"/>
    </row>
    <row r="1101" spans="2:57" x14ac:dyDescent="0.3">
      <c r="B1101" s="6" t="s">
        <v>1124</v>
      </c>
      <c r="C1101" s="6">
        <v>30</v>
      </c>
      <c r="D1101" s="6" t="s">
        <v>17</v>
      </c>
      <c r="E1101" s="6" t="s">
        <v>15</v>
      </c>
      <c r="F1101" s="6" t="s">
        <v>18</v>
      </c>
      <c r="G1101" s="19">
        <v>1274</v>
      </c>
      <c r="H1101" s="11">
        <v>1</v>
      </c>
      <c r="I1101" s="6">
        <v>3</v>
      </c>
      <c r="J1101" s="6" t="s">
        <v>14</v>
      </c>
      <c r="K1101" s="5" t="s">
        <v>14</v>
      </c>
      <c r="L1101" s="3" t="str">
        <f>IF(Table1[[#This Row],[Monthly Income]]&lt;3000,"Low",IF(Table1[[#This Row],[Monthly Income]]&lt;7000,"Medium","High"))</f>
        <v>Low</v>
      </c>
      <c r="AK1101" s="6"/>
      <c r="AL1101" s="6"/>
      <c r="AM1101" s="6"/>
      <c r="AN1101" s="6"/>
      <c r="AO1101" s="6"/>
      <c r="AP1101" s="6"/>
      <c r="AQ1101" s="6"/>
      <c r="AR1101" s="6"/>
      <c r="AS1101" s="6"/>
      <c r="AU1101" s="6"/>
      <c r="AV1101" s="6"/>
      <c r="AW1101" s="6"/>
      <c r="AX1101" s="6"/>
      <c r="AY1101" s="6"/>
      <c r="AZ1101" s="6"/>
      <c r="BA1101" s="6"/>
      <c r="BB1101" s="6"/>
      <c r="BC1101" s="6"/>
      <c r="BD1101" s="6"/>
      <c r="BE1101" s="6"/>
    </row>
    <row r="1102" spans="2:57" x14ac:dyDescent="0.3">
      <c r="B1102" s="4" t="s">
        <v>1125</v>
      </c>
      <c r="C1102" s="4">
        <v>40</v>
      </c>
      <c r="D1102" s="4" t="s">
        <v>17</v>
      </c>
      <c r="E1102" s="4" t="s">
        <v>15</v>
      </c>
      <c r="F1102" s="4" t="s">
        <v>20</v>
      </c>
      <c r="G1102" s="18">
        <v>3975</v>
      </c>
      <c r="H1102" s="10">
        <v>8</v>
      </c>
      <c r="I1102" s="4">
        <v>3</v>
      </c>
      <c r="J1102" s="4" t="s">
        <v>14</v>
      </c>
      <c r="K1102" s="3" t="s">
        <v>14</v>
      </c>
      <c r="L1102" s="3" t="str">
        <f>IF(Table1[[#This Row],[Monthly Income]]&lt;3000,"Low",IF(Table1[[#This Row],[Monthly Income]]&lt;7000,"Medium","High"))</f>
        <v>Medium</v>
      </c>
      <c r="AK1102" s="4"/>
      <c r="AL1102" s="4"/>
      <c r="AM1102" s="4"/>
      <c r="AN1102" s="4"/>
      <c r="AO1102" s="4"/>
      <c r="AP1102" s="4"/>
      <c r="AQ1102" s="4"/>
      <c r="AR1102" s="4"/>
      <c r="AS1102" s="4"/>
      <c r="AU1102" s="4"/>
      <c r="AV1102" s="4"/>
      <c r="AW1102" s="4"/>
      <c r="AX1102" s="4"/>
      <c r="AY1102" s="4"/>
      <c r="AZ1102" s="4"/>
      <c r="BA1102" s="4"/>
      <c r="BB1102" s="4"/>
      <c r="BC1102" s="4"/>
      <c r="BD1102" s="4"/>
      <c r="BE1102" s="4"/>
    </row>
    <row r="1103" spans="2:57" x14ac:dyDescent="0.3">
      <c r="B1103" s="6" t="s">
        <v>1126</v>
      </c>
      <c r="C1103" s="6">
        <v>33</v>
      </c>
      <c r="D1103" s="6" t="s">
        <v>17</v>
      </c>
      <c r="E1103" s="6" t="s">
        <v>15</v>
      </c>
      <c r="F1103" s="6" t="s">
        <v>18</v>
      </c>
      <c r="G1103" s="19">
        <v>3055</v>
      </c>
      <c r="H1103" s="11">
        <v>9</v>
      </c>
      <c r="I1103" s="6">
        <v>2</v>
      </c>
      <c r="J1103" s="6" t="s">
        <v>14</v>
      </c>
      <c r="K1103" s="5" t="s">
        <v>14</v>
      </c>
      <c r="L1103" s="3" t="str">
        <f>IF(Table1[[#This Row],[Monthly Income]]&lt;3000,"Low",IF(Table1[[#This Row],[Monthly Income]]&lt;7000,"Medium","High"))</f>
        <v>Medium</v>
      </c>
      <c r="AK1103" s="6"/>
      <c r="AL1103" s="6"/>
      <c r="AM1103" s="6"/>
      <c r="AN1103" s="6"/>
      <c r="AO1103" s="6"/>
      <c r="AP1103" s="6"/>
      <c r="AQ1103" s="6"/>
      <c r="AR1103" s="6"/>
      <c r="AS1103" s="6"/>
      <c r="AU1103" s="6"/>
      <c r="AV1103" s="6"/>
      <c r="AW1103" s="6"/>
      <c r="AX1103" s="6"/>
      <c r="AY1103" s="6"/>
      <c r="AZ1103" s="6"/>
      <c r="BA1103" s="6"/>
      <c r="BB1103" s="6"/>
      <c r="BC1103" s="6"/>
      <c r="BD1103" s="6"/>
      <c r="BE1103" s="6"/>
    </row>
    <row r="1104" spans="2:57" x14ac:dyDescent="0.3">
      <c r="B1104" s="4" t="s">
        <v>1127</v>
      </c>
      <c r="C1104" s="4">
        <v>33</v>
      </c>
      <c r="D1104" s="4" t="s">
        <v>17</v>
      </c>
      <c r="E1104" s="4" t="s">
        <v>15</v>
      </c>
      <c r="F1104" s="4" t="s">
        <v>20</v>
      </c>
      <c r="G1104" s="18">
        <v>2008</v>
      </c>
      <c r="H1104" s="10">
        <v>1</v>
      </c>
      <c r="I1104" s="4">
        <v>3</v>
      </c>
      <c r="J1104" s="4" t="s">
        <v>14</v>
      </c>
      <c r="K1104" s="3" t="s">
        <v>14</v>
      </c>
      <c r="L1104" s="3" t="str">
        <f>IF(Table1[[#This Row],[Monthly Income]]&lt;3000,"Low",IF(Table1[[#This Row],[Monthly Income]]&lt;7000,"Medium","High"))</f>
        <v>Low</v>
      </c>
      <c r="AK1104" s="4"/>
      <c r="AL1104" s="4"/>
      <c r="AM1104" s="4"/>
      <c r="AN1104" s="4"/>
      <c r="AO1104" s="4"/>
      <c r="AP1104" s="4"/>
      <c r="AQ1104" s="4"/>
      <c r="AR1104" s="4"/>
      <c r="AS1104" s="4"/>
      <c r="AU1104" s="4"/>
      <c r="AV1104" s="4"/>
      <c r="AW1104" s="4"/>
      <c r="AX1104" s="4"/>
      <c r="AY1104" s="4"/>
      <c r="AZ1104" s="4"/>
      <c r="BA1104" s="4"/>
      <c r="BB1104" s="4"/>
      <c r="BC1104" s="4"/>
      <c r="BD1104" s="4"/>
      <c r="BE1104" s="4"/>
    </row>
    <row r="1105" spans="2:57" x14ac:dyDescent="0.3">
      <c r="B1105" s="6" t="s">
        <v>1128</v>
      </c>
      <c r="C1105" s="6">
        <v>47</v>
      </c>
      <c r="D1105" s="6" t="s">
        <v>17</v>
      </c>
      <c r="E1105" s="6" t="s">
        <v>15</v>
      </c>
      <c r="F1105" s="6" t="s">
        <v>18</v>
      </c>
      <c r="G1105" s="19">
        <v>5467</v>
      </c>
      <c r="H1105" s="11">
        <v>8</v>
      </c>
      <c r="I1105" s="6">
        <v>2</v>
      </c>
      <c r="J1105" s="6" t="s">
        <v>14</v>
      </c>
      <c r="K1105" s="5" t="s">
        <v>14</v>
      </c>
      <c r="L1105" s="3" t="str">
        <f>IF(Table1[[#This Row],[Monthly Income]]&lt;3000,"Low",IF(Table1[[#This Row],[Monthly Income]]&lt;7000,"Medium","High"))</f>
        <v>Medium</v>
      </c>
      <c r="AK1105" s="6"/>
      <c r="AL1105" s="6"/>
      <c r="AM1105" s="6"/>
      <c r="AN1105" s="6"/>
      <c r="AO1105" s="6"/>
      <c r="AP1105" s="6"/>
      <c r="AQ1105" s="6"/>
      <c r="AR1105" s="6"/>
      <c r="AS1105" s="6"/>
      <c r="AU1105" s="6"/>
      <c r="AV1105" s="6"/>
      <c r="AW1105" s="6"/>
      <c r="AX1105" s="6"/>
      <c r="AY1105" s="6"/>
      <c r="AZ1105" s="6"/>
      <c r="BA1105" s="6"/>
      <c r="BB1105" s="6"/>
      <c r="BC1105" s="6"/>
      <c r="BD1105" s="6"/>
      <c r="BE1105" s="6"/>
    </row>
    <row r="1106" spans="2:57" x14ac:dyDescent="0.3">
      <c r="B1106" s="4" t="s">
        <v>1129</v>
      </c>
      <c r="C1106" s="4">
        <v>32</v>
      </c>
      <c r="D1106" s="4" t="s">
        <v>17</v>
      </c>
      <c r="E1106" s="4" t="s">
        <v>15</v>
      </c>
      <c r="F1106" s="4" t="s">
        <v>18</v>
      </c>
      <c r="G1106" s="18">
        <v>4087</v>
      </c>
      <c r="H1106" s="10">
        <v>6</v>
      </c>
      <c r="I1106" s="4">
        <v>1</v>
      </c>
      <c r="J1106" s="4" t="s">
        <v>14</v>
      </c>
      <c r="K1106" s="3" t="s">
        <v>14</v>
      </c>
      <c r="L1106" s="3" t="str">
        <f>IF(Table1[[#This Row],[Monthly Income]]&lt;3000,"Low",IF(Table1[[#This Row],[Monthly Income]]&lt;7000,"Medium","High"))</f>
        <v>Medium</v>
      </c>
      <c r="AK1106" s="4"/>
      <c r="AL1106" s="4"/>
      <c r="AM1106" s="4"/>
      <c r="AN1106" s="4"/>
      <c r="AO1106" s="4"/>
      <c r="AP1106" s="4"/>
      <c r="AQ1106" s="4"/>
      <c r="AR1106" s="4"/>
      <c r="AS1106" s="4"/>
      <c r="AU1106" s="4"/>
      <c r="AV1106" s="4"/>
      <c r="AW1106" s="4"/>
      <c r="AX1106" s="4"/>
      <c r="AY1106" s="4"/>
      <c r="AZ1106" s="4"/>
      <c r="BA1106" s="4"/>
      <c r="BB1106" s="4"/>
      <c r="BC1106" s="4"/>
      <c r="BD1106" s="4"/>
      <c r="BE1106" s="4"/>
    </row>
    <row r="1107" spans="2:57" x14ac:dyDescent="0.3">
      <c r="B1107" s="6" t="s">
        <v>1130</v>
      </c>
      <c r="C1107" s="6">
        <v>43</v>
      </c>
      <c r="D1107" s="6" t="s">
        <v>17</v>
      </c>
      <c r="E1107" s="6" t="s">
        <v>15</v>
      </c>
      <c r="F1107" s="6" t="s">
        <v>18</v>
      </c>
      <c r="G1107" s="19">
        <v>2438</v>
      </c>
      <c r="H1107" s="11">
        <v>3</v>
      </c>
      <c r="I1107" s="6">
        <v>3</v>
      </c>
      <c r="J1107" s="6" t="s">
        <v>14</v>
      </c>
      <c r="K1107" s="5" t="s">
        <v>14</v>
      </c>
      <c r="L1107" s="3" t="str">
        <f>IF(Table1[[#This Row],[Monthly Income]]&lt;3000,"Low",IF(Table1[[#This Row],[Monthly Income]]&lt;7000,"Medium","High"))</f>
        <v>Low</v>
      </c>
      <c r="AK1107" s="6"/>
      <c r="AL1107" s="6"/>
      <c r="AM1107" s="6"/>
      <c r="AN1107" s="6"/>
      <c r="AO1107" s="6"/>
      <c r="AP1107" s="6"/>
      <c r="AQ1107" s="6"/>
      <c r="AR1107" s="6"/>
      <c r="AS1107" s="6"/>
      <c r="AU1107" s="6"/>
      <c r="AV1107" s="6"/>
      <c r="AW1107" s="6"/>
      <c r="AX1107" s="6"/>
      <c r="AY1107" s="6"/>
      <c r="AZ1107" s="6"/>
      <c r="BA1107" s="6"/>
      <c r="BB1107" s="6"/>
      <c r="BC1107" s="6"/>
      <c r="BD1107" s="6"/>
      <c r="BE1107" s="6"/>
    </row>
    <row r="1108" spans="2:57" x14ac:dyDescent="0.3">
      <c r="B1108" s="4" t="s">
        <v>1131</v>
      </c>
      <c r="C1108" s="4">
        <v>31</v>
      </c>
      <c r="D1108" s="4" t="s">
        <v>17</v>
      </c>
      <c r="E1108" s="4" t="s">
        <v>15</v>
      </c>
      <c r="F1108" s="4" t="s">
        <v>27</v>
      </c>
      <c r="G1108" s="18">
        <v>9936</v>
      </c>
      <c r="H1108" s="10">
        <v>9</v>
      </c>
      <c r="I1108" s="4">
        <v>1</v>
      </c>
      <c r="J1108" s="4" t="s">
        <v>14</v>
      </c>
      <c r="K1108" s="3" t="s">
        <v>14</v>
      </c>
      <c r="L1108" s="3" t="str">
        <f>IF(Table1[[#This Row],[Monthly Income]]&lt;3000,"Low",IF(Table1[[#This Row],[Monthly Income]]&lt;7000,"Medium","High"))</f>
        <v>High</v>
      </c>
      <c r="AK1108" s="4"/>
      <c r="AL1108" s="4"/>
      <c r="AM1108" s="4"/>
      <c r="AN1108" s="4"/>
      <c r="AO1108" s="4"/>
      <c r="AP1108" s="4"/>
      <c r="AQ1108" s="4"/>
      <c r="AR1108" s="4"/>
      <c r="AS1108" s="4"/>
      <c r="AU1108" s="4"/>
      <c r="AV1108" s="4"/>
      <c r="AW1108" s="4"/>
      <c r="AX1108" s="4"/>
      <c r="AY1108" s="4"/>
      <c r="AZ1108" s="4"/>
      <c r="BA1108" s="4"/>
      <c r="BB1108" s="4"/>
      <c r="BC1108" s="4"/>
      <c r="BD1108" s="4"/>
      <c r="BE1108" s="4"/>
    </row>
    <row r="1109" spans="2:57" x14ac:dyDescent="0.3">
      <c r="B1109" s="6" t="s">
        <v>1132</v>
      </c>
      <c r="C1109" s="6">
        <v>32</v>
      </c>
      <c r="D1109" s="6" t="s">
        <v>17</v>
      </c>
      <c r="E1109" s="6" t="s">
        <v>15</v>
      </c>
      <c r="F1109" s="6" t="s">
        <v>18</v>
      </c>
      <c r="G1109" s="19">
        <v>2718</v>
      </c>
      <c r="H1109" s="11">
        <v>7</v>
      </c>
      <c r="I1109" s="6">
        <v>2</v>
      </c>
      <c r="J1109" s="6" t="s">
        <v>14</v>
      </c>
      <c r="K1109" s="5" t="s">
        <v>14</v>
      </c>
      <c r="L1109" s="3" t="str">
        <f>IF(Table1[[#This Row],[Monthly Income]]&lt;3000,"Low",IF(Table1[[#This Row],[Monthly Income]]&lt;7000,"Medium","High"))</f>
        <v>Low</v>
      </c>
      <c r="AK1109" s="6"/>
      <c r="AL1109" s="6"/>
      <c r="AM1109" s="6"/>
      <c r="AN1109" s="6"/>
      <c r="AO1109" s="6"/>
      <c r="AP1109" s="6"/>
      <c r="AQ1109" s="6"/>
      <c r="AR1109" s="6"/>
      <c r="AS1109" s="6"/>
      <c r="AU1109" s="6"/>
      <c r="AV1109" s="6"/>
      <c r="AW1109" s="6"/>
      <c r="AX1109" s="6"/>
      <c r="AY1109" s="6"/>
      <c r="AZ1109" s="6"/>
      <c r="BA1109" s="6"/>
      <c r="BB1109" s="6"/>
      <c r="BC1109" s="6"/>
      <c r="BD1109" s="6"/>
      <c r="BE1109" s="6"/>
    </row>
    <row r="1110" spans="2:57" x14ac:dyDescent="0.3">
      <c r="B1110" s="4" t="s">
        <v>1133</v>
      </c>
      <c r="C1110" s="4">
        <v>44</v>
      </c>
      <c r="D1110" s="4" t="s">
        <v>17</v>
      </c>
      <c r="E1110" s="4" t="s">
        <v>15</v>
      </c>
      <c r="F1110" s="4" t="s">
        <v>20</v>
      </c>
      <c r="G1110" s="18">
        <v>3162</v>
      </c>
      <c r="H1110" s="10">
        <v>5</v>
      </c>
      <c r="I1110" s="4">
        <v>3</v>
      </c>
      <c r="J1110" s="4" t="s">
        <v>14</v>
      </c>
      <c r="K1110" s="3" t="s">
        <v>14</v>
      </c>
      <c r="L1110" s="3" t="str">
        <f>IF(Table1[[#This Row],[Monthly Income]]&lt;3000,"Low",IF(Table1[[#This Row],[Monthly Income]]&lt;7000,"Medium","High"))</f>
        <v>Medium</v>
      </c>
      <c r="AK1110" s="4"/>
      <c r="AL1110" s="4"/>
      <c r="AM1110" s="4"/>
      <c r="AN1110" s="4"/>
      <c r="AO1110" s="4"/>
      <c r="AP1110" s="4"/>
      <c r="AQ1110" s="4"/>
      <c r="AR1110" s="4"/>
      <c r="AS1110" s="4"/>
      <c r="AU1110" s="4"/>
      <c r="AV1110" s="4"/>
      <c r="AW1110" s="4"/>
      <c r="AX1110" s="4"/>
      <c r="AY1110" s="4"/>
      <c r="AZ1110" s="4"/>
      <c r="BA1110" s="4"/>
      <c r="BB1110" s="4"/>
      <c r="BC1110" s="4"/>
      <c r="BD1110" s="4"/>
      <c r="BE1110" s="4"/>
    </row>
    <row r="1111" spans="2:57" x14ac:dyDescent="0.3">
      <c r="B1111" s="6" t="s">
        <v>1134</v>
      </c>
      <c r="C1111" s="6">
        <v>28</v>
      </c>
      <c r="D1111" s="6" t="s">
        <v>17</v>
      </c>
      <c r="E1111" s="6" t="s">
        <v>15</v>
      </c>
      <c r="F1111" s="6" t="s">
        <v>18</v>
      </c>
      <c r="G1111" s="19">
        <v>2144</v>
      </c>
      <c r="H1111" s="11">
        <v>5</v>
      </c>
      <c r="I1111" s="6">
        <v>3</v>
      </c>
      <c r="J1111" s="6" t="s">
        <v>14</v>
      </c>
      <c r="K1111" s="5" t="s">
        <v>14</v>
      </c>
      <c r="L1111" s="3" t="str">
        <f>IF(Table1[[#This Row],[Monthly Income]]&lt;3000,"Low",IF(Table1[[#This Row],[Monthly Income]]&lt;7000,"Medium","High"))</f>
        <v>Low</v>
      </c>
      <c r="AK1111" s="6"/>
      <c r="AL1111" s="6"/>
      <c r="AM1111" s="6"/>
      <c r="AN1111" s="6"/>
      <c r="AO1111" s="6"/>
      <c r="AP1111" s="6"/>
      <c r="AQ1111" s="6"/>
      <c r="AR1111" s="6"/>
      <c r="AS1111" s="6"/>
      <c r="AU1111" s="6"/>
      <c r="AV1111" s="6"/>
      <c r="AW1111" s="6"/>
      <c r="AX1111" s="6"/>
      <c r="AY1111" s="6"/>
      <c r="AZ1111" s="6"/>
      <c r="BA1111" s="6"/>
      <c r="BB1111" s="6"/>
      <c r="BC1111" s="6"/>
      <c r="BD1111" s="6"/>
      <c r="BE1111" s="6"/>
    </row>
    <row r="1112" spans="2:57" x14ac:dyDescent="0.3">
      <c r="B1112" s="4" t="s">
        <v>1135</v>
      </c>
      <c r="C1112" s="4">
        <v>37</v>
      </c>
      <c r="D1112" s="4" t="s">
        <v>17</v>
      </c>
      <c r="E1112" s="4" t="s">
        <v>15</v>
      </c>
      <c r="F1112" s="4" t="s">
        <v>20</v>
      </c>
      <c r="G1112" s="18">
        <v>3500</v>
      </c>
      <c r="H1112" s="10">
        <v>6</v>
      </c>
      <c r="I1112" s="4">
        <v>3</v>
      </c>
      <c r="J1112" s="4" t="s">
        <v>14</v>
      </c>
      <c r="K1112" s="3" t="s">
        <v>14</v>
      </c>
      <c r="L1112" s="3" t="str">
        <f>IF(Table1[[#This Row],[Monthly Income]]&lt;3000,"Low",IF(Table1[[#This Row],[Monthly Income]]&lt;7000,"Medium","High"))</f>
        <v>Medium</v>
      </c>
      <c r="AK1112" s="4"/>
      <c r="AL1112" s="4"/>
      <c r="AM1112" s="4"/>
      <c r="AN1112" s="4"/>
      <c r="AO1112" s="4"/>
      <c r="AP1112" s="4"/>
      <c r="AQ1112" s="4"/>
      <c r="AR1112" s="4"/>
      <c r="AS1112" s="4"/>
      <c r="AU1112" s="4"/>
      <c r="AV1112" s="4"/>
      <c r="AW1112" s="4"/>
      <c r="AX1112" s="4"/>
      <c r="AY1112" s="4"/>
      <c r="AZ1112" s="4"/>
      <c r="BA1112" s="4"/>
      <c r="BB1112" s="4"/>
      <c r="BC1112" s="4"/>
      <c r="BD1112" s="4"/>
      <c r="BE1112" s="4"/>
    </row>
    <row r="1113" spans="2:57" x14ac:dyDescent="0.3">
      <c r="B1113" s="6" t="s">
        <v>1136</v>
      </c>
      <c r="C1113" s="6">
        <v>42</v>
      </c>
      <c r="D1113" s="6" t="s">
        <v>17</v>
      </c>
      <c r="E1113" s="6" t="s">
        <v>15</v>
      </c>
      <c r="F1113" s="6" t="s">
        <v>18</v>
      </c>
      <c r="G1113" s="19">
        <v>4332</v>
      </c>
      <c r="H1113" s="11">
        <v>20</v>
      </c>
      <c r="I1113" s="6">
        <v>3</v>
      </c>
      <c r="J1113" s="6" t="s">
        <v>14</v>
      </c>
      <c r="K1113" s="5" t="s">
        <v>14</v>
      </c>
      <c r="L1113" s="3" t="str">
        <f>IF(Table1[[#This Row],[Monthly Income]]&lt;3000,"Low",IF(Table1[[#This Row],[Monthly Income]]&lt;7000,"Medium","High"))</f>
        <v>Medium</v>
      </c>
      <c r="AK1113" s="6"/>
      <c r="AL1113" s="6"/>
      <c r="AM1113" s="6"/>
      <c r="AN1113" s="6"/>
      <c r="AO1113" s="6"/>
      <c r="AP1113" s="6"/>
      <c r="AQ1113" s="6"/>
      <c r="AR1113" s="6"/>
      <c r="AS1113" s="6"/>
      <c r="AU1113" s="6"/>
      <c r="AV1113" s="6"/>
      <c r="AW1113" s="6"/>
      <c r="AX1113" s="6"/>
      <c r="AY1113" s="6"/>
      <c r="AZ1113" s="6"/>
      <c r="BA1113" s="6"/>
      <c r="BB1113" s="6"/>
      <c r="BC1113" s="6"/>
      <c r="BD1113" s="6"/>
      <c r="BE1113" s="6"/>
    </row>
    <row r="1114" spans="2:57" x14ac:dyDescent="0.3">
      <c r="B1114" s="4" t="s">
        <v>1137</v>
      </c>
      <c r="C1114" s="4">
        <v>39</v>
      </c>
      <c r="D1114" s="4" t="s">
        <v>17</v>
      </c>
      <c r="E1114" s="4" t="s">
        <v>15</v>
      </c>
      <c r="F1114" s="4" t="s">
        <v>39</v>
      </c>
      <c r="G1114" s="18">
        <v>19431</v>
      </c>
      <c r="H1114" s="10">
        <v>6</v>
      </c>
      <c r="I1114" s="4">
        <v>4</v>
      </c>
      <c r="J1114" s="4" t="s">
        <v>14</v>
      </c>
      <c r="K1114" s="3" t="s">
        <v>14</v>
      </c>
      <c r="L1114" s="3" t="str">
        <f>IF(Table1[[#This Row],[Monthly Income]]&lt;3000,"Low",IF(Table1[[#This Row],[Monthly Income]]&lt;7000,"Medium","High"))</f>
        <v>High</v>
      </c>
      <c r="AK1114" s="4"/>
      <c r="AL1114" s="4"/>
      <c r="AM1114" s="4"/>
      <c r="AN1114" s="4"/>
      <c r="AO1114" s="4"/>
      <c r="AP1114" s="4"/>
      <c r="AQ1114" s="4"/>
      <c r="AR1114" s="4"/>
      <c r="AS1114" s="4"/>
      <c r="AU1114" s="4"/>
      <c r="AV1114" s="4"/>
      <c r="AW1114" s="4"/>
      <c r="AX1114" s="4"/>
      <c r="AY1114" s="4"/>
      <c r="AZ1114" s="4"/>
      <c r="BA1114" s="4"/>
      <c r="BB1114" s="4"/>
      <c r="BC1114" s="4"/>
      <c r="BD1114" s="4"/>
      <c r="BE1114" s="4"/>
    </row>
    <row r="1115" spans="2:57" x14ac:dyDescent="0.3">
      <c r="B1115" s="6" t="s">
        <v>1138</v>
      </c>
      <c r="C1115" s="6">
        <v>52</v>
      </c>
      <c r="D1115" s="6" t="s">
        <v>17</v>
      </c>
      <c r="E1115" s="6" t="s">
        <v>10</v>
      </c>
      <c r="F1115" s="6" t="s">
        <v>43</v>
      </c>
      <c r="G1115" s="19">
        <v>3482</v>
      </c>
      <c r="H1115" s="11">
        <v>9</v>
      </c>
      <c r="I1115" s="6">
        <v>4</v>
      </c>
      <c r="J1115" s="6" t="s">
        <v>14</v>
      </c>
      <c r="K1115" s="5" t="s">
        <v>14</v>
      </c>
      <c r="L1115" s="3" t="str">
        <f>IF(Table1[[#This Row],[Monthly Income]]&lt;3000,"Low",IF(Table1[[#This Row],[Monthly Income]]&lt;7000,"Medium","High"))</f>
        <v>Medium</v>
      </c>
      <c r="AK1115" s="6"/>
      <c r="AL1115" s="6"/>
      <c r="AM1115" s="6"/>
      <c r="AN1115" s="6"/>
      <c r="AO1115" s="6"/>
      <c r="AP1115" s="6"/>
      <c r="AQ1115" s="6"/>
      <c r="AR1115" s="6"/>
      <c r="AS1115" s="6"/>
      <c r="AU1115" s="6"/>
      <c r="AV1115" s="6"/>
      <c r="AW1115" s="6"/>
      <c r="AX1115" s="6"/>
      <c r="AY1115" s="6"/>
      <c r="AZ1115" s="6"/>
      <c r="BA1115" s="6"/>
      <c r="BB1115" s="6"/>
      <c r="BC1115" s="6"/>
      <c r="BD1115" s="6"/>
      <c r="BE1115" s="6"/>
    </row>
    <row r="1116" spans="2:57" x14ac:dyDescent="0.3">
      <c r="B1116" s="4" t="s">
        <v>1139</v>
      </c>
      <c r="C1116" s="4">
        <v>45</v>
      </c>
      <c r="D1116" s="4" t="s">
        <v>17</v>
      </c>
      <c r="E1116" s="4" t="s">
        <v>10</v>
      </c>
      <c r="F1116" s="4" t="s">
        <v>13</v>
      </c>
      <c r="G1116" s="18">
        <v>4385</v>
      </c>
      <c r="H1116" s="10">
        <v>10</v>
      </c>
      <c r="I1116" s="4">
        <v>1</v>
      </c>
      <c r="J1116" s="4" t="s">
        <v>14</v>
      </c>
      <c r="K1116" s="3" t="s">
        <v>14</v>
      </c>
      <c r="L1116" s="3" t="str">
        <f>IF(Table1[[#This Row],[Monthly Income]]&lt;3000,"Low",IF(Table1[[#This Row],[Monthly Income]]&lt;7000,"Medium","High"))</f>
        <v>Medium</v>
      </c>
      <c r="AK1116" s="4"/>
      <c r="AL1116" s="4"/>
      <c r="AM1116" s="4"/>
      <c r="AN1116" s="4"/>
      <c r="AO1116" s="4"/>
      <c r="AP1116" s="4"/>
      <c r="AQ1116" s="4"/>
      <c r="AR1116" s="4"/>
      <c r="AS1116" s="4"/>
      <c r="AU1116" s="4"/>
      <c r="AV1116" s="4"/>
      <c r="AW1116" s="4"/>
      <c r="AX1116" s="4"/>
      <c r="AY1116" s="4"/>
      <c r="AZ1116" s="4"/>
      <c r="BA1116" s="4"/>
      <c r="BB1116" s="4"/>
      <c r="BC1116" s="4"/>
      <c r="BD1116" s="4"/>
      <c r="BE1116" s="4"/>
    </row>
    <row r="1117" spans="2:57" x14ac:dyDescent="0.3">
      <c r="B1117" s="6" t="s">
        <v>1140</v>
      </c>
      <c r="C1117" s="6">
        <v>47</v>
      </c>
      <c r="D1117" s="6" t="s">
        <v>17</v>
      </c>
      <c r="E1117" s="6" t="s">
        <v>10</v>
      </c>
      <c r="F1117" s="6" t="s">
        <v>13</v>
      </c>
      <c r="G1117" s="19">
        <v>4978</v>
      </c>
      <c r="H1117" s="11">
        <v>1</v>
      </c>
      <c r="I1117" s="6">
        <v>2</v>
      </c>
      <c r="J1117" s="6" t="s">
        <v>14</v>
      </c>
      <c r="K1117" s="5" t="s">
        <v>14</v>
      </c>
      <c r="L1117" s="3" t="str">
        <f>IF(Table1[[#This Row],[Monthly Income]]&lt;3000,"Low",IF(Table1[[#This Row],[Monthly Income]]&lt;7000,"Medium","High"))</f>
        <v>Medium</v>
      </c>
      <c r="AK1117" s="6"/>
      <c r="AL1117" s="6"/>
      <c r="AM1117" s="6"/>
      <c r="AN1117" s="6"/>
      <c r="AO1117" s="6"/>
      <c r="AP1117" s="6"/>
      <c r="AQ1117" s="6"/>
      <c r="AR1117" s="6"/>
      <c r="AS1117" s="6"/>
      <c r="AU1117" s="6"/>
      <c r="AV1117" s="6"/>
      <c r="AW1117" s="6"/>
      <c r="AX1117" s="6"/>
      <c r="AY1117" s="6"/>
      <c r="AZ1117" s="6"/>
      <c r="BA1117" s="6"/>
      <c r="BB1117" s="6"/>
      <c r="BC1117" s="6"/>
      <c r="BD1117" s="6"/>
      <c r="BE1117" s="6"/>
    </row>
    <row r="1118" spans="2:57" x14ac:dyDescent="0.3">
      <c r="B1118" s="4" t="s">
        <v>1141</v>
      </c>
      <c r="C1118" s="4">
        <v>46</v>
      </c>
      <c r="D1118" s="4" t="s">
        <v>17</v>
      </c>
      <c r="E1118" s="4" t="s">
        <v>10</v>
      </c>
      <c r="F1118" s="4" t="s">
        <v>13</v>
      </c>
      <c r="G1118" s="18">
        <v>7991</v>
      </c>
      <c r="H1118" s="10">
        <v>2</v>
      </c>
      <c r="I1118" s="4">
        <v>2</v>
      </c>
      <c r="J1118" s="4" t="s">
        <v>14</v>
      </c>
      <c r="K1118" s="3" t="s">
        <v>14</v>
      </c>
      <c r="L1118" s="3" t="str">
        <f>IF(Table1[[#This Row],[Monthly Income]]&lt;3000,"Low",IF(Table1[[#This Row],[Monthly Income]]&lt;7000,"Medium","High"))</f>
        <v>High</v>
      </c>
      <c r="AK1118" s="4"/>
      <c r="AL1118" s="4"/>
      <c r="AM1118" s="4"/>
      <c r="AN1118" s="4"/>
      <c r="AO1118" s="4"/>
      <c r="AP1118" s="4"/>
      <c r="AQ1118" s="4"/>
      <c r="AR1118" s="4"/>
      <c r="AS1118" s="4"/>
      <c r="AU1118" s="4"/>
      <c r="AV1118" s="4"/>
      <c r="AW1118" s="4"/>
      <c r="AX1118" s="4"/>
      <c r="AY1118" s="4"/>
      <c r="AZ1118" s="4"/>
      <c r="BA1118" s="4"/>
      <c r="BB1118" s="4"/>
      <c r="BC1118" s="4"/>
      <c r="BD1118" s="4"/>
      <c r="BE1118" s="4"/>
    </row>
    <row r="1119" spans="2:57" x14ac:dyDescent="0.3">
      <c r="B1119" s="6" t="s">
        <v>1142</v>
      </c>
      <c r="C1119" s="6">
        <v>38</v>
      </c>
      <c r="D1119" s="6" t="s">
        <v>17</v>
      </c>
      <c r="E1119" s="6" t="s">
        <v>102</v>
      </c>
      <c r="F1119" s="6" t="s">
        <v>104</v>
      </c>
      <c r="G1119" s="19">
        <v>6077</v>
      </c>
      <c r="H1119" s="11">
        <v>6</v>
      </c>
      <c r="I1119" s="6">
        <v>3</v>
      </c>
      <c r="J1119" s="6" t="s">
        <v>14</v>
      </c>
      <c r="K1119" s="5" t="s">
        <v>14</v>
      </c>
      <c r="L1119" s="3" t="str">
        <f>IF(Table1[[#This Row],[Monthly Income]]&lt;3000,"Low",IF(Table1[[#This Row],[Monthly Income]]&lt;7000,"Medium","High"))</f>
        <v>Medium</v>
      </c>
      <c r="AK1119" s="6"/>
      <c r="AL1119" s="6"/>
      <c r="AM1119" s="6"/>
      <c r="AN1119" s="6"/>
      <c r="AO1119" s="6"/>
      <c r="AP1119" s="6"/>
      <c r="AQ1119" s="6"/>
      <c r="AR1119" s="6"/>
      <c r="AS1119" s="6"/>
      <c r="AU1119" s="6"/>
      <c r="AV1119" s="6"/>
      <c r="AW1119" s="6"/>
      <c r="AX1119" s="6"/>
      <c r="AY1119" s="6"/>
      <c r="AZ1119" s="6"/>
      <c r="BA1119" s="6"/>
      <c r="BB1119" s="6"/>
      <c r="BC1119" s="6"/>
      <c r="BD1119" s="6"/>
      <c r="BE1119" s="6"/>
    </row>
    <row r="1120" spans="2:57" x14ac:dyDescent="0.3">
      <c r="B1120" s="4" t="s">
        <v>1143</v>
      </c>
      <c r="C1120" s="4">
        <v>24</v>
      </c>
      <c r="D1120" s="4" t="s">
        <v>17</v>
      </c>
      <c r="E1120" s="4" t="s">
        <v>102</v>
      </c>
      <c r="F1120" s="4" t="s">
        <v>104</v>
      </c>
      <c r="G1120" s="18">
        <v>2145</v>
      </c>
      <c r="H1120" s="10">
        <v>2</v>
      </c>
      <c r="I1120" s="4">
        <v>4</v>
      </c>
      <c r="J1120" s="4" t="s">
        <v>14</v>
      </c>
      <c r="K1120" s="3" t="s">
        <v>14</v>
      </c>
      <c r="L1120" s="3" t="str">
        <f>IF(Table1[[#This Row],[Monthly Income]]&lt;3000,"Low",IF(Table1[[#This Row],[Monthly Income]]&lt;7000,"Medium","High"))</f>
        <v>Low</v>
      </c>
      <c r="AK1120" s="4"/>
      <c r="AL1120" s="4"/>
      <c r="AM1120" s="4"/>
      <c r="AN1120" s="4"/>
      <c r="AO1120" s="4"/>
      <c r="AP1120" s="4"/>
      <c r="AQ1120" s="4"/>
      <c r="AR1120" s="4"/>
      <c r="AS1120" s="4"/>
      <c r="AU1120" s="4"/>
      <c r="AV1120" s="4"/>
      <c r="AW1120" s="4"/>
      <c r="AX1120" s="4"/>
      <c r="AY1120" s="4"/>
      <c r="AZ1120" s="4"/>
      <c r="BA1120" s="4"/>
      <c r="BB1120" s="4"/>
      <c r="BC1120" s="4"/>
      <c r="BD1120" s="4"/>
      <c r="BE1120" s="4"/>
    </row>
    <row r="1121" spans="2:57" x14ac:dyDescent="0.3">
      <c r="B1121" s="6" t="s">
        <v>1144</v>
      </c>
      <c r="C1121" s="6">
        <v>29</v>
      </c>
      <c r="D1121" s="6" t="s">
        <v>17</v>
      </c>
      <c r="E1121" s="6" t="s">
        <v>15</v>
      </c>
      <c r="F1121" s="6" t="s">
        <v>29</v>
      </c>
      <c r="G1121" s="19">
        <v>8853</v>
      </c>
      <c r="H1121" s="11">
        <v>6</v>
      </c>
      <c r="I1121" s="6">
        <v>4</v>
      </c>
      <c r="J1121" s="6" t="s">
        <v>14</v>
      </c>
      <c r="K1121" s="5" t="s">
        <v>14</v>
      </c>
      <c r="L1121" s="3" t="str">
        <f>IF(Table1[[#This Row],[Monthly Income]]&lt;3000,"Low",IF(Table1[[#This Row],[Monthly Income]]&lt;7000,"Medium","High"))</f>
        <v>High</v>
      </c>
      <c r="AK1121" s="6"/>
      <c r="AL1121" s="6"/>
      <c r="AM1121" s="6"/>
      <c r="AN1121" s="6"/>
      <c r="AO1121" s="6"/>
      <c r="AP1121" s="6"/>
      <c r="AQ1121" s="6"/>
      <c r="AR1121" s="6"/>
      <c r="AS1121" s="6"/>
      <c r="AU1121" s="6"/>
      <c r="AV1121" s="6"/>
      <c r="AW1121" s="6"/>
      <c r="AX1121" s="6"/>
      <c r="AY1121" s="6"/>
      <c r="AZ1121" s="6"/>
      <c r="BA1121" s="6"/>
      <c r="BB1121" s="6"/>
      <c r="BC1121" s="6"/>
      <c r="BD1121" s="6"/>
      <c r="BE1121" s="6"/>
    </row>
    <row r="1122" spans="2:57" x14ac:dyDescent="0.3">
      <c r="B1122" s="4" t="s">
        <v>1145</v>
      </c>
      <c r="C1122" s="4">
        <v>34</v>
      </c>
      <c r="D1122" s="4" t="s">
        <v>17</v>
      </c>
      <c r="E1122" s="4" t="s">
        <v>15</v>
      </c>
      <c r="F1122" s="4" t="s">
        <v>27</v>
      </c>
      <c r="G1122" s="18">
        <v>4724</v>
      </c>
      <c r="H1122" s="10">
        <v>9</v>
      </c>
      <c r="I1122" s="4">
        <v>4</v>
      </c>
      <c r="J1122" s="4" t="s">
        <v>14</v>
      </c>
      <c r="K1122" s="3" t="s">
        <v>14</v>
      </c>
      <c r="L1122" s="3" t="str">
        <f>IF(Table1[[#This Row],[Monthly Income]]&lt;3000,"Low",IF(Table1[[#This Row],[Monthly Income]]&lt;7000,"Medium","High"))</f>
        <v>Medium</v>
      </c>
      <c r="AK1122" s="4"/>
      <c r="AL1122" s="4"/>
      <c r="AM1122" s="4"/>
      <c r="AN1122" s="4"/>
      <c r="AO1122" s="4"/>
      <c r="AP1122" s="4"/>
      <c r="AQ1122" s="4"/>
      <c r="AR1122" s="4"/>
      <c r="AS1122" s="4"/>
      <c r="AU1122" s="4"/>
      <c r="AV1122" s="4"/>
      <c r="AW1122" s="4"/>
      <c r="AX1122" s="4"/>
      <c r="AY1122" s="4"/>
      <c r="AZ1122" s="4"/>
      <c r="BA1122" s="4"/>
      <c r="BB1122" s="4"/>
      <c r="BC1122" s="4"/>
      <c r="BD1122" s="4"/>
      <c r="BE1122" s="4"/>
    </row>
    <row r="1123" spans="2:57" x14ac:dyDescent="0.3">
      <c r="B1123" s="6" t="s">
        <v>1146</v>
      </c>
      <c r="C1123" s="6">
        <v>34</v>
      </c>
      <c r="D1123" s="6" t="s">
        <v>17</v>
      </c>
      <c r="E1123" s="6" t="s">
        <v>15</v>
      </c>
      <c r="F1123" s="6" t="s">
        <v>45</v>
      </c>
      <c r="G1123" s="19">
        <v>17007</v>
      </c>
      <c r="H1123" s="11">
        <v>14</v>
      </c>
      <c r="I1123" s="6">
        <v>1</v>
      </c>
      <c r="J1123" s="6" t="s">
        <v>14</v>
      </c>
      <c r="K1123" s="5" t="s">
        <v>14</v>
      </c>
      <c r="L1123" s="3" t="str">
        <f>IF(Table1[[#This Row],[Monthly Income]]&lt;3000,"Low",IF(Table1[[#This Row],[Monthly Income]]&lt;7000,"Medium","High"))</f>
        <v>High</v>
      </c>
      <c r="AK1123" s="6"/>
      <c r="AL1123" s="6"/>
      <c r="AM1123" s="6"/>
      <c r="AN1123" s="6"/>
      <c r="AO1123" s="6"/>
      <c r="AP1123" s="6"/>
      <c r="AQ1123" s="6"/>
      <c r="AR1123" s="6"/>
      <c r="AS1123" s="6"/>
      <c r="AU1123" s="6"/>
      <c r="AV1123" s="6"/>
      <c r="AW1123" s="6"/>
      <c r="AX1123" s="6"/>
      <c r="AY1123" s="6"/>
      <c r="AZ1123" s="6"/>
      <c r="BA1123" s="6"/>
      <c r="BB1123" s="6"/>
      <c r="BC1123" s="6"/>
      <c r="BD1123" s="6"/>
      <c r="BE1123" s="6"/>
    </row>
    <row r="1124" spans="2:57" x14ac:dyDescent="0.3">
      <c r="B1124" s="4" t="s">
        <v>1147</v>
      </c>
      <c r="C1124" s="4">
        <v>34</v>
      </c>
      <c r="D1124" s="4" t="s">
        <v>17</v>
      </c>
      <c r="E1124" s="4" t="s">
        <v>15</v>
      </c>
      <c r="F1124" s="4" t="s">
        <v>18</v>
      </c>
      <c r="G1124" s="18">
        <v>2996</v>
      </c>
      <c r="H1124" s="10">
        <v>4</v>
      </c>
      <c r="I1124" s="4">
        <v>1</v>
      </c>
      <c r="J1124" s="4" t="s">
        <v>14</v>
      </c>
      <c r="K1124" s="3" t="s">
        <v>14</v>
      </c>
      <c r="L1124" s="3" t="str">
        <f>IF(Table1[[#This Row],[Monthly Income]]&lt;3000,"Low",IF(Table1[[#This Row],[Monthly Income]]&lt;7000,"Medium","High"))</f>
        <v>Low</v>
      </c>
      <c r="AK1124" s="4"/>
      <c r="AL1124" s="4"/>
      <c r="AM1124" s="4"/>
      <c r="AN1124" s="4"/>
      <c r="AO1124" s="4"/>
      <c r="AP1124" s="4"/>
      <c r="AQ1124" s="4"/>
      <c r="AR1124" s="4"/>
      <c r="AS1124" s="4"/>
      <c r="AU1124" s="4"/>
      <c r="AV1124" s="4"/>
      <c r="AW1124" s="4"/>
      <c r="AX1124" s="4"/>
      <c r="AY1124" s="4"/>
      <c r="AZ1124" s="4"/>
      <c r="BA1124" s="4"/>
      <c r="BB1124" s="4"/>
      <c r="BC1124" s="4"/>
      <c r="BD1124" s="4"/>
      <c r="BE1124" s="4"/>
    </row>
    <row r="1125" spans="2:57" x14ac:dyDescent="0.3">
      <c r="B1125" s="6" t="s">
        <v>1148</v>
      </c>
      <c r="C1125" s="6">
        <v>25</v>
      </c>
      <c r="D1125" s="6" t="s">
        <v>17</v>
      </c>
      <c r="E1125" s="6" t="s">
        <v>15</v>
      </c>
      <c r="F1125" s="6" t="s">
        <v>27</v>
      </c>
      <c r="G1125" s="19">
        <v>5206</v>
      </c>
      <c r="H1125" s="11">
        <v>7</v>
      </c>
      <c r="I1125" s="6">
        <v>3</v>
      </c>
      <c r="J1125" s="6" t="s">
        <v>14</v>
      </c>
      <c r="K1125" s="5" t="s">
        <v>14</v>
      </c>
      <c r="L1125" s="3" t="str">
        <f>IF(Table1[[#This Row],[Monthly Income]]&lt;3000,"Low",IF(Table1[[#This Row],[Monthly Income]]&lt;7000,"Medium","High"))</f>
        <v>Medium</v>
      </c>
      <c r="AK1125" s="6"/>
      <c r="AL1125" s="6"/>
      <c r="AM1125" s="6"/>
      <c r="AN1125" s="6"/>
      <c r="AO1125" s="6"/>
      <c r="AP1125" s="6"/>
      <c r="AQ1125" s="6"/>
      <c r="AR1125" s="6"/>
      <c r="AS1125" s="6"/>
      <c r="AU1125" s="6"/>
      <c r="AV1125" s="6"/>
      <c r="AW1125" s="6"/>
      <c r="AX1125" s="6"/>
      <c r="AY1125" s="6"/>
      <c r="AZ1125" s="6"/>
      <c r="BA1125" s="6"/>
      <c r="BB1125" s="6"/>
      <c r="BC1125" s="6"/>
      <c r="BD1125" s="6"/>
      <c r="BE1125" s="6"/>
    </row>
    <row r="1126" spans="2:57" x14ac:dyDescent="0.3">
      <c r="B1126" s="4" t="s">
        <v>1149</v>
      </c>
      <c r="C1126" s="4">
        <v>49</v>
      </c>
      <c r="D1126" s="4" t="s">
        <v>17</v>
      </c>
      <c r="E1126" s="4" t="s">
        <v>15</v>
      </c>
      <c r="F1126" s="4" t="s">
        <v>45</v>
      </c>
      <c r="G1126" s="18">
        <v>19161</v>
      </c>
      <c r="H1126" s="10">
        <v>5</v>
      </c>
      <c r="I1126" s="4">
        <v>4</v>
      </c>
      <c r="J1126" s="4" t="s">
        <v>14</v>
      </c>
      <c r="K1126" s="3" t="s">
        <v>14</v>
      </c>
      <c r="L1126" s="3" t="str">
        <f>IF(Table1[[#This Row],[Monthly Income]]&lt;3000,"Low",IF(Table1[[#This Row],[Monthly Income]]&lt;7000,"Medium","High"))</f>
        <v>High</v>
      </c>
      <c r="AK1126" s="4"/>
      <c r="AL1126" s="4"/>
      <c r="AM1126" s="4"/>
      <c r="AN1126" s="4"/>
      <c r="AO1126" s="4"/>
      <c r="AP1126" s="4"/>
      <c r="AQ1126" s="4"/>
      <c r="AR1126" s="4"/>
      <c r="AS1126" s="4"/>
      <c r="AU1126" s="4"/>
      <c r="AV1126" s="4"/>
      <c r="AW1126" s="4"/>
      <c r="AX1126" s="4"/>
      <c r="AY1126" s="4"/>
      <c r="AZ1126" s="4"/>
      <c r="BA1126" s="4"/>
      <c r="BB1126" s="4"/>
      <c r="BC1126" s="4"/>
      <c r="BD1126" s="4"/>
      <c r="BE1126" s="4"/>
    </row>
    <row r="1127" spans="2:57" x14ac:dyDescent="0.3">
      <c r="B1127" s="6" t="s">
        <v>1150</v>
      </c>
      <c r="C1127" s="6">
        <v>29</v>
      </c>
      <c r="D1127" s="6" t="s">
        <v>17</v>
      </c>
      <c r="E1127" s="6" t="s">
        <v>15</v>
      </c>
      <c r="F1127" s="6" t="s">
        <v>20</v>
      </c>
      <c r="G1127" s="19">
        <v>3812</v>
      </c>
      <c r="H1127" s="11">
        <v>11</v>
      </c>
      <c r="I1127" s="6">
        <v>4</v>
      </c>
      <c r="J1127" s="6" t="s">
        <v>14</v>
      </c>
      <c r="K1127" s="5" t="s">
        <v>14</v>
      </c>
      <c r="L1127" s="3" t="str">
        <f>IF(Table1[[#This Row],[Monthly Income]]&lt;3000,"Low",IF(Table1[[#This Row],[Monthly Income]]&lt;7000,"Medium","High"))</f>
        <v>Medium</v>
      </c>
      <c r="AK1127" s="6"/>
      <c r="AL1127" s="6"/>
      <c r="AM1127" s="6"/>
      <c r="AN1127" s="6"/>
      <c r="AO1127" s="6"/>
      <c r="AP1127" s="6"/>
      <c r="AQ1127" s="6"/>
      <c r="AR1127" s="6"/>
      <c r="AS1127" s="6"/>
      <c r="AU1127" s="6"/>
      <c r="AV1127" s="6"/>
      <c r="AW1127" s="6"/>
      <c r="AX1127" s="6"/>
      <c r="AY1127" s="6"/>
      <c r="AZ1127" s="6"/>
      <c r="BA1127" s="6"/>
      <c r="BB1127" s="6"/>
      <c r="BC1127" s="6"/>
      <c r="BD1127" s="6"/>
      <c r="BE1127" s="6"/>
    </row>
    <row r="1128" spans="2:57" x14ac:dyDescent="0.3">
      <c r="B1128" s="4" t="s">
        <v>1151</v>
      </c>
      <c r="C1128" s="4">
        <v>38</v>
      </c>
      <c r="D1128" s="4" t="s">
        <v>17</v>
      </c>
      <c r="E1128" s="4" t="s">
        <v>15</v>
      </c>
      <c r="F1128" s="4" t="s">
        <v>27</v>
      </c>
      <c r="G1128" s="18">
        <v>5321</v>
      </c>
      <c r="H1128" s="10">
        <v>8</v>
      </c>
      <c r="I1128" s="4">
        <v>3</v>
      </c>
      <c r="J1128" s="4" t="s">
        <v>14</v>
      </c>
      <c r="K1128" s="3" t="s">
        <v>14</v>
      </c>
      <c r="L1128" s="3" t="str">
        <f>IF(Table1[[#This Row],[Monthly Income]]&lt;3000,"Low",IF(Table1[[#This Row],[Monthly Income]]&lt;7000,"Medium","High"))</f>
        <v>Medium</v>
      </c>
      <c r="AK1128" s="4"/>
      <c r="AL1128" s="4"/>
      <c r="AM1128" s="4"/>
      <c r="AN1128" s="4"/>
      <c r="AO1128" s="4"/>
      <c r="AP1128" s="4"/>
      <c r="AQ1128" s="4"/>
      <c r="AR1128" s="4"/>
      <c r="AS1128" s="4"/>
      <c r="AU1128" s="4"/>
      <c r="AV1128" s="4"/>
      <c r="AW1128" s="4"/>
      <c r="AX1128" s="4"/>
      <c r="AY1128" s="4"/>
      <c r="AZ1128" s="4"/>
      <c r="BA1128" s="4"/>
      <c r="BB1128" s="4"/>
      <c r="BC1128" s="4"/>
      <c r="BD1128" s="4"/>
      <c r="BE1128" s="4"/>
    </row>
    <row r="1129" spans="2:57" x14ac:dyDescent="0.3">
      <c r="B1129" s="6" t="s">
        <v>1152</v>
      </c>
      <c r="C1129" s="6">
        <v>32</v>
      </c>
      <c r="D1129" s="6" t="s">
        <v>17</v>
      </c>
      <c r="E1129" s="6" t="s">
        <v>15</v>
      </c>
      <c r="F1129" s="6" t="s">
        <v>18</v>
      </c>
      <c r="G1129" s="19">
        <v>3433</v>
      </c>
      <c r="H1129" s="11">
        <v>5</v>
      </c>
      <c r="I1129" s="6">
        <v>3</v>
      </c>
      <c r="J1129" s="6" t="s">
        <v>14</v>
      </c>
      <c r="K1129" s="5" t="s">
        <v>14</v>
      </c>
      <c r="L1129" s="3" t="str">
        <f>IF(Table1[[#This Row],[Monthly Income]]&lt;3000,"Low",IF(Table1[[#This Row],[Monthly Income]]&lt;7000,"Medium","High"))</f>
        <v>Medium</v>
      </c>
      <c r="AK1129" s="6"/>
      <c r="AL1129" s="6"/>
      <c r="AM1129" s="6"/>
      <c r="AN1129" s="6"/>
      <c r="AO1129" s="6"/>
      <c r="AP1129" s="6"/>
      <c r="AQ1129" s="6"/>
      <c r="AR1129" s="6"/>
      <c r="AS1129" s="6"/>
      <c r="AU1129" s="6"/>
      <c r="AV1129" s="6"/>
      <c r="AW1129" s="6"/>
      <c r="AX1129" s="6"/>
      <c r="AY1129" s="6"/>
      <c r="AZ1129" s="6"/>
      <c r="BA1129" s="6"/>
      <c r="BB1129" s="6"/>
      <c r="BC1129" s="6"/>
      <c r="BD1129" s="6"/>
      <c r="BE1129" s="6"/>
    </row>
    <row r="1130" spans="2:57" x14ac:dyDescent="0.3">
      <c r="B1130" s="4" t="s">
        <v>1153</v>
      </c>
      <c r="C1130" s="4">
        <v>26</v>
      </c>
      <c r="D1130" s="4" t="s">
        <v>17</v>
      </c>
      <c r="E1130" s="4" t="s">
        <v>15</v>
      </c>
      <c r="F1130" s="4" t="s">
        <v>20</v>
      </c>
      <c r="G1130" s="18">
        <v>2544</v>
      </c>
      <c r="H1130" s="10">
        <v>7</v>
      </c>
      <c r="I1130" s="4">
        <v>4</v>
      </c>
      <c r="J1130" s="4" t="s">
        <v>14</v>
      </c>
      <c r="K1130" s="3" t="s">
        <v>14</v>
      </c>
      <c r="L1130" s="3" t="str">
        <f>IF(Table1[[#This Row],[Monthly Income]]&lt;3000,"Low",IF(Table1[[#This Row],[Monthly Income]]&lt;7000,"Medium","High"))</f>
        <v>Low</v>
      </c>
      <c r="AK1130" s="4"/>
      <c r="AL1130" s="4"/>
      <c r="AM1130" s="4"/>
      <c r="AN1130" s="4"/>
      <c r="AO1130" s="4"/>
      <c r="AP1130" s="4"/>
      <c r="AQ1130" s="4"/>
      <c r="AR1130" s="4"/>
      <c r="AS1130" s="4"/>
      <c r="AU1130" s="4"/>
      <c r="AV1130" s="4"/>
      <c r="AW1130" s="4"/>
      <c r="AX1130" s="4"/>
      <c r="AY1130" s="4"/>
      <c r="AZ1130" s="4"/>
      <c r="BA1130" s="4"/>
      <c r="BB1130" s="4"/>
      <c r="BC1130" s="4"/>
      <c r="BD1130" s="4"/>
      <c r="BE1130" s="4"/>
    </row>
    <row r="1131" spans="2:57" x14ac:dyDescent="0.3">
      <c r="B1131" s="6" t="s">
        <v>1154</v>
      </c>
      <c r="C1131" s="6">
        <v>36</v>
      </c>
      <c r="D1131" s="6" t="s">
        <v>17</v>
      </c>
      <c r="E1131" s="6" t="s">
        <v>15</v>
      </c>
      <c r="F1131" s="6" t="s">
        <v>20</v>
      </c>
      <c r="G1131" s="19">
        <v>2571</v>
      </c>
      <c r="H1131" s="11">
        <v>5</v>
      </c>
      <c r="I1131" s="6">
        <v>4</v>
      </c>
      <c r="J1131" s="6" t="s">
        <v>14</v>
      </c>
      <c r="K1131" s="5" t="s">
        <v>14</v>
      </c>
      <c r="L1131" s="3" t="str">
        <f>IF(Table1[[#This Row],[Monthly Income]]&lt;3000,"Low",IF(Table1[[#This Row],[Monthly Income]]&lt;7000,"Medium","High"))</f>
        <v>Low</v>
      </c>
      <c r="AK1131" s="6"/>
      <c r="AL1131" s="6"/>
      <c r="AM1131" s="6"/>
      <c r="AN1131" s="6"/>
      <c r="AO1131" s="6"/>
      <c r="AP1131" s="6"/>
      <c r="AQ1131" s="6"/>
      <c r="AR1131" s="6"/>
      <c r="AS1131" s="6"/>
      <c r="AU1131" s="6"/>
      <c r="AV1131" s="6"/>
      <c r="AW1131" s="6"/>
      <c r="AX1131" s="6"/>
      <c r="AY1131" s="6"/>
      <c r="AZ1131" s="6"/>
      <c r="BA1131" s="6"/>
      <c r="BB1131" s="6"/>
      <c r="BC1131" s="6"/>
      <c r="BD1131" s="6"/>
      <c r="BE1131" s="6"/>
    </row>
    <row r="1132" spans="2:57" x14ac:dyDescent="0.3">
      <c r="B1132" s="4" t="s">
        <v>1155</v>
      </c>
      <c r="C1132" s="4">
        <v>34</v>
      </c>
      <c r="D1132" s="4" t="s">
        <v>17</v>
      </c>
      <c r="E1132" s="4" t="s">
        <v>15</v>
      </c>
      <c r="F1132" s="4" t="s">
        <v>29</v>
      </c>
      <c r="G1132" s="18">
        <v>5063</v>
      </c>
      <c r="H1132" s="10">
        <v>8</v>
      </c>
      <c r="I1132" s="4">
        <v>3</v>
      </c>
      <c r="J1132" s="4" t="s">
        <v>14</v>
      </c>
      <c r="K1132" s="3" t="s">
        <v>14</v>
      </c>
      <c r="L1132" s="3" t="str">
        <f>IF(Table1[[#This Row],[Monthly Income]]&lt;3000,"Low",IF(Table1[[#This Row],[Monthly Income]]&lt;7000,"Medium","High"))</f>
        <v>Medium</v>
      </c>
      <c r="AK1132" s="4"/>
      <c r="AL1132" s="4"/>
      <c r="AM1132" s="4"/>
      <c r="AN1132" s="4"/>
      <c r="AO1132" s="4"/>
      <c r="AP1132" s="4"/>
      <c r="AQ1132" s="4"/>
      <c r="AR1132" s="4"/>
      <c r="AS1132" s="4"/>
      <c r="AU1132" s="4"/>
      <c r="AV1132" s="4"/>
      <c r="AW1132" s="4"/>
      <c r="AX1132" s="4"/>
      <c r="AY1132" s="4"/>
      <c r="AZ1132" s="4"/>
      <c r="BA1132" s="4"/>
      <c r="BB1132" s="4"/>
      <c r="BC1132" s="4"/>
      <c r="BD1132" s="4"/>
      <c r="BE1132" s="4"/>
    </row>
    <row r="1133" spans="2:57" x14ac:dyDescent="0.3">
      <c r="B1133" s="6" t="s">
        <v>1156</v>
      </c>
      <c r="C1133" s="6">
        <v>38</v>
      </c>
      <c r="D1133" s="6" t="s">
        <v>17</v>
      </c>
      <c r="E1133" s="6" t="s">
        <v>15</v>
      </c>
      <c r="F1133" s="6" t="s">
        <v>18</v>
      </c>
      <c r="G1133" s="19">
        <v>4735</v>
      </c>
      <c r="H1133" s="11">
        <v>13</v>
      </c>
      <c r="I1133" s="6">
        <v>4</v>
      </c>
      <c r="J1133" s="6" t="s">
        <v>14</v>
      </c>
      <c r="K1133" s="5" t="s">
        <v>14</v>
      </c>
      <c r="L1133" s="3" t="str">
        <f>IF(Table1[[#This Row],[Monthly Income]]&lt;3000,"Low",IF(Table1[[#This Row],[Monthly Income]]&lt;7000,"Medium","High"))</f>
        <v>Medium</v>
      </c>
      <c r="AK1133" s="6"/>
      <c r="AL1133" s="6"/>
      <c r="AM1133" s="6"/>
      <c r="AN1133" s="6"/>
      <c r="AO1133" s="6"/>
      <c r="AP1133" s="6"/>
      <c r="AQ1133" s="6"/>
      <c r="AR1133" s="6"/>
      <c r="AS1133" s="6"/>
      <c r="AU1133" s="6"/>
      <c r="AV1133" s="6"/>
      <c r="AW1133" s="6"/>
      <c r="AX1133" s="6"/>
      <c r="AY1133" s="6"/>
      <c r="AZ1133" s="6"/>
      <c r="BA1133" s="6"/>
      <c r="BB1133" s="6"/>
      <c r="BC1133" s="6"/>
      <c r="BD1133" s="6"/>
      <c r="BE1133" s="6"/>
    </row>
    <row r="1134" spans="2:57" x14ac:dyDescent="0.3">
      <c r="B1134" s="4" t="s">
        <v>1157</v>
      </c>
      <c r="C1134" s="4">
        <v>45</v>
      </c>
      <c r="D1134" s="4" t="s">
        <v>17</v>
      </c>
      <c r="E1134" s="4" t="s">
        <v>15</v>
      </c>
      <c r="F1134" s="4" t="s">
        <v>29</v>
      </c>
      <c r="G1134" s="18">
        <v>5399</v>
      </c>
      <c r="H1134" s="10">
        <v>4</v>
      </c>
      <c r="I1134" s="4">
        <v>3</v>
      </c>
      <c r="J1134" s="4" t="s">
        <v>14</v>
      </c>
      <c r="K1134" s="3" t="s">
        <v>14</v>
      </c>
      <c r="L1134" s="3" t="str">
        <f>IF(Table1[[#This Row],[Monthly Income]]&lt;3000,"Low",IF(Table1[[#This Row],[Monthly Income]]&lt;7000,"Medium","High"))</f>
        <v>Medium</v>
      </c>
      <c r="AK1134" s="4"/>
      <c r="AL1134" s="4"/>
      <c r="AM1134" s="4"/>
      <c r="AN1134" s="4"/>
      <c r="AO1134" s="4"/>
      <c r="AP1134" s="4"/>
      <c r="AQ1134" s="4"/>
      <c r="AR1134" s="4"/>
      <c r="AS1134" s="4"/>
      <c r="AU1134" s="4"/>
      <c r="AV1134" s="4"/>
      <c r="AW1134" s="4"/>
      <c r="AX1134" s="4"/>
      <c r="AY1134" s="4"/>
      <c r="AZ1134" s="4"/>
      <c r="BA1134" s="4"/>
      <c r="BB1134" s="4"/>
      <c r="BC1134" s="4"/>
      <c r="BD1134" s="4"/>
      <c r="BE1134" s="4"/>
    </row>
    <row r="1135" spans="2:57" x14ac:dyDescent="0.3">
      <c r="B1135" s="6" t="s">
        <v>1158</v>
      </c>
      <c r="C1135" s="6">
        <v>35</v>
      </c>
      <c r="D1135" s="6" t="s">
        <v>17</v>
      </c>
      <c r="E1135" s="6" t="s">
        <v>15</v>
      </c>
      <c r="F1135" s="6" t="s">
        <v>27</v>
      </c>
      <c r="G1135" s="19">
        <v>9362</v>
      </c>
      <c r="H1135" s="11">
        <v>2</v>
      </c>
      <c r="I1135" s="6">
        <v>4</v>
      </c>
      <c r="J1135" s="6" t="s">
        <v>14</v>
      </c>
      <c r="K1135" s="5" t="s">
        <v>14</v>
      </c>
      <c r="L1135" s="3" t="str">
        <f>IF(Table1[[#This Row],[Monthly Income]]&lt;3000,"Low",IF(Table1[[#This Row],[Monthly Income]]&lt;7000,"Medium","High"))</f>
        <v>High</v>
      </c>
      <c r="AK1135" s="6"/>
      <c r="AL1135" s="6"/>
      <c r="AM1135" s="6"/>
      <c r="AN1135" s="6"/>
      <c r="AO1135" s="6"/>
      <c r="AP1135" s="6"/>
      <c r="AQ1135" s="6"/>
      <c r="AR1135" s="6"/>
      <c r="AS1135" s="6"/>
      <c r="AU1135" s="6"/>
      <c r="AV1135" s="6"/>
      <c r="AW1135" s="6"/>
      <c r="AX1135" s="6"/>
      <c r="AY1135" s="6"/>
      <c r="AZ1135" s="6"/>
      <c r="BA1135" s="6"/>
      <c r="BB1135" s="6"/>
      <c r="BC1135" s="6"/>
      <c r="BD1135" s="6"/>
      <c r="BE1135" s="6"/>
    </row>
    <row r="1136" spans="2:57" x14ac:dyDescent="0.3">
      <c r="B1136" s="4" t="s">
        <v>1159</v>
      </c>
      <c r="C1136" s="4">
        <v>27</v>
      </c>
      <c r="D1136" s="4" t="s">
        <v>17</v>
      </c>
      <c r="E1136" s="4" t="s">
        <v>15</v>
      </c>
      <c r="F1136" s="4" t="s">
        <v>18</v>
      </c>
      <c r="G1136" s="18">
        <v>2580</v>
      </c>
      <c r="H1136" s="10">
        <v>4</v>
      </c>
      <c r="I1136" s="4">
        <v>4</v>
      </c>
      <c r="J1136" s="4" t="s">
        <v>14</v>
      </c>
      <c r="K1136" s="3" t="s">
        <v>14</v>
      </c>
      <c r="L1136" s="3" t="str">
        <f>IF(Table1[[#This Row],[Monthly Income]]&lt;3000,"Low",IF(Table1[[#This Row],[Monthly Income]]&lt;7000,"Medium","High"))</f>
        <v>Low</v>
      </c>
      <c r="AK1136" s="4"/>
      <c r="AL1136" s="4"/>
      <c r="AM1136" s="4"/>
      <c r="AN1136" s="4"/>
      <c r="AO1136" s="4"/>
      <c r="AP1136" s="4"/>
      <c r="AQ1136" s="4"/>
      <c r="AR1136" s="4"/>
      <c r="AS1136" s="4"/>
      <c r="AU1136" s="4"/>
      <c r="AV1136" s="4"/>
      <c r="AW1136" s="4"/>
      <c r="AX1136" s="4"/>
      <c r="AY1136" s="4"/>
      <c r="AZ1136" s="4"/>
      <c r="BA1136" s="4"/>
      <c r="BB1136" s="4"/>
      <c r="BC1136" s="4"/>
      <c r="BD1136" s="4"/>
      <c r="BE1136" s="4"/>
    </row>
    <row r="1137" spans="2:57" x14ac:dyDescent="0.3">
      <c r="B1137" s="6" t="s">
        <v>1160</v>
      </c>
      <c r="C1137" s="6">
        <v>39</v>
      </c>
      <c r="D1137" s="6" t="s">
        <v>17</v>
      </c>
      <c r="E1137" s="6" t="s">
        <v>10</v>
      </c>
      <c r="F1137" s="6" t="s">
        <v>13</v>
      </c>
      <c r="G1137" s="19">
        <v>4127</v>
      </c>
      <c r="H1137" s="11">
        <v>2</v>
      </c>
      <c r="I1137" s="6">
        <v>4</v>
      </c>
      <c r="J1137" s="6" t="s">
        <v>14</v>
      </c>
      <c r="K1137" s="5" t="s">
        <v>14</v>
      </c>
      <c r="L1137" s="3" t="str">
        <f>IF(Table1[[#This Row],[Monthly Income]]&lt;3000,"Low",IF(Table1[[#This Row],[Monthly Income]]&lt;7000,"Medium","High"))</f>
        <v>Medium</v>
      </c>
      <c r="AK1137" s="6"/>
      <c r="AL1137" s="6"/>
      <c r="AM1137" s="6"/>
      <c r="AN1137" s="6"/>
      <c r="AO1137" s="6"/>
      <c r="AP1137" s="6"/>
      <c r="AQ1137" s="6"/>
      <c r="AR1137" s="6"/>
      <c r="AS1137" s="6"/>
      <c r="AU1137" s="6"/>
      <c r="AV1137" s="6"/>
      <c r="AW1137" s="6"/>
      <c r="AX1137" s="6"/>
      <c r="AY1137" s="6"/>
      <c r="AZ1137" s="6"/>
      <c r="BA1137" s="6"/>
      <c r="BB1137" s="6"/>
      <c r="BC1137" s="6"/>
      <c r="BD1137" s="6"/>
      <c r="BE1137" s="6"/>
    </row>
    <row r="1138" spans="2:57" x14ac:dyDescent="0.3">
      <c r="B1138" s="4" t="s">
        <v>1161</v>
      </c>
      <c r="C1138" s="4">
        <v>37</v>
      </c>
      <c r="D1138" s="4" t="s">
        <v>17</v>
      </c>
      <c r="E1138" s="4" t="s">
        <v>10</v>
      </c>
      <c r="F1138" s="4" t="s">
        <v>13</v>
      </c>
      <c r="G1138" s="18">
        <v>9525</v>
      </c>
      <c r="H1138" s="10">
        <v>6</v>
      </c>
      <c r="I1138" s="4">
        <v>4</v>
      </c>
      <c r="J1138" s="4" t="s">
        <v>14</v>
      </c>
      <c r="K1138" s="3" t="s">
        <v>14</v>
      </c>
      <c r="L1138" s="3" t="str">
        <f>IF(Table1[[#This Row],[Monthly Income]]&lt;3000,"Low",IF(Table1[[#This Row],[Monthly Income]]&lt;7000,"Medium","High"))</f>
        <v>High</v>
      </c>
      <c r="AK1138" s="4"/>
      <c r="AL1138" s="4"/>
      <c r="AM1138" s="4"/>
      <c r="AN1138" s="4"/>
      <c r="AO1138" s="4"/>
      <c r="AP1138" s="4"/>
      <c r="AQ1138" s="4"/>
      <c r="AR1138" s="4"/>
      <c r="AS1138" s="4"/>
      <c r="AU1138" s="4"/>
      <c r="AV1138" s="4"/>
      <c r="AW1138" s="4"/>
      <c r="AX1138" s="4"/>
      <c r="AY1138" s="4"/>
      <c r="AZ1138" s="4"/>
      <c r="BA1138" s="4"/>
      <c r="BB1138" s="4"/>
      <c r="BC1138" s="4"/>
      <c r="BD1138" s="4"/>
      <c r="BE1138" s="4"/>
    </row>
    <row r="1139" spans="2:57" x14ac:dyDescent="0.3">
      <c r="B1139" s="6" t="s">
        <v>1162</v>
      </c>
      <c r="C1139" s="6">
        <v>49</v>
      </c>
      <c r="D1139" s="6" t="s">
        <v>17</v>
      </c>
      <c r="E1139" s="6" t="s">
        <v>10</v>
      </c>
      <c r="F1139" s="6" t="s">
        <v>13</v>
      </c>
      <c r="G1139" s="19">
        <v>5390</v>
      </c>
      <c r="H1139" s="11">
        <v>9</v>
      </c>
      <c r="I1139" s="6">
        <v>2</v>
      </c>
      <c r="J1139" s="6" t="s">
        <v>14</v>
      </c>
      <c r="K1139" s="5" t="s">
        <v>14</v>
      </c>
      <c r="L1139" s="3" t="str">
        <f>IF(Table1[[#This Row],[Monthly Income]]&lt;3000,"Low",IF(Table1[[#This Row],[Monthly Income]]&lt;7000,"Medium","High"))</f>
        <v>Medium</v>
      </c>
      <c r="AK1139" s="6"/>
      <c r="AL1139" s="6"/>
      <c r="AM1139" s="6"/>
      <c r="AN1139" s="6"/>
      <c r="AO1139" s="6"/>
      <c r="AP1139" s="6"/>
      <c r="AQ1139" s="6"/>
      <c r="AR1139" s="6"/>
      <c r="AS1139" s="6"/>
      <c r="AU1139" s="6"/>
      <c r="AV1139" s="6"/>
      <c r="AW1139" s="6"/>
      <c r="AX1139" s="6"/>
      <c r="AY1139" s="6"/>
      <c r="AZ1139" s="6"/>
      <c r="BA1139" s="6"/>
      <c r="BB1139" s="6"/>
      <c r="BC1139" s="6"/>
      <c r="BD1139" s="6"/>
      <c r="BE1139" s="6"/>
    </row>
    <row r="1140" spans="2:57" x14ac:dyDescent="0.3">
      <c r="B1140" s="4" t="s">
        <v>1163</v>
      </c>
      <c r="C1140" s="4">
        <v>33</v>
      </c>
      <c r="D1140" s="4" t="s">
        <v>17</v>
      </c>
      <c r="E1140" s="4" t="s">
        <v>10</v>
      </c>
      <c r="F1140" s="4" t="s">
        <v>13</v>
      </c>
      <c r="G1140" s="18">
        <v>4373</v>
      </c>
      <c r="H1140" s="10">
        <v>4</v>
      </c>
      <c r="I1140" s="4">
        <v>1</v>
      </c>
      <c r="J1140" s="4" t="s">
        <v>14</v>
      </c>
      <c r="K1140" s="3" t="s">
        <v>14</v>
      </c>
      <c r="L1140" s="3" t="str">
        <f>IF(Table1[[#This Row],[Monthly Income]]&lt;3000,"Low",IF(Table1[[#This Row],[Monthly Income]]&lt;7000,"Medium","High"))</f>
        <v>Medium</v>
      </c>
      <c r="AK1140" s="4"/>
      <c r="AL1140" s="4"/>
      <c r="AM1140" s="4"/>
      <c r="AN1140" s="4"/>
      <c r="AO1140" s="4"/>
      <c r="AP1140" s="4"/>
      <c r="AQ1140" s="4"/>
      <c r="AR1140" s="4"/>
      <c r="AS1140" s="4"/>
      <c r="AU1140" s="4"/>
      <c r="AV1140" s="4"/>
      <c r="AW1140" s="4"/>
      <c r="AX1140" s="4"/>
      <c r="AY1140" s="4"/>
      <c r="AZ1140" s="4"/>
      <c r="BA1140" s="4"/>
      <c r="BB1140" s="4"/>
      <c r="BC1140" s="4"/>
      <c r="BD1140" s="4"/>
      <c r="BE1140" s="4"/>
    </row>
    <row r="1141" spans="2:57" x14ac:dyDescent="0.3">
      <c r="B1141" s="6" t="s">
        <v>1164</v>
      </c>
      <c r="C1141" s="6">
        <v>28</v>
      </c>
      <c r="D1141" s="6" t="s">
        <v>17</v>
      </c>
      <c r="E1141" s="6" t="s">
        <v>10</v>
      </c>
      <c r="F1141" s="6" t="s">
        <v>13</v>
      </c>
      <c r="G1141" s="19">
        <v>4898</v>
      </c>
      <c r="H1141" s="11">
        <v>4</v>
      </c>
      <c r="I1141" s="6">
        <v>1</v>
      </c>
      <c r="J1141" s="6" t="s">
        <v>14</v>
      </c>
      <c r="K1141" s="5" t="s">
        <v>14</v>
      </c>
      <c r="L1141" s="3" t="str">
        <f>IF(Table1[[#This Row],[Monthly Income]]&lt;3000,"Low",IF(Table1[[#This Row],[Monthly Income]]&lt;7000,"Medium","High"))</f>
        <v>Medium</v>
      </c>
      <c r="AK1141" s="6"/>
      <c r="AL1141" s="6"/>
      <c r="AM1141" s="6"/>
      <c r="AN1141" s="6"/>
      <c r="AO1141" s="6"/>
      <c r="AP1141" s="6"/>
      <c r="AQ1141" s="6"/>
      <c r="AR1141" s="6"/>
      <c r="AS1141" s="6"/>
      <c r="AU1141" s="6"/>
      <c r="AV1141" s="6"/>
      <c r="AW1141" s="6"/>
      <c r="AX1141" s="6"/>
      <c r="AY1141" s="6"/>
      <c r="AZ1141" s="6"/>
      <c r="BA1141" s="6"/>
      <c r="BB1141" s="6"/>
      <c r="BC1141" s="6"/>
      <c r="BD1141" s="6"/>
      <c r="BE1141" s="6"/>
    </row>
    <row r="1142" spans="2:57" x14ac:dyDescent="0.3">
      <c r="B1142" s="4" t="s">
        <v>1165</v>
      </c>
      <c r="C1142" s="4">
        <v>31</v>
      </c>
      <c r="D1142" s="4" t="s">
        <v>17</v>
      </c>
      <c r="E1142" s="4" t="s">
        <v>10</v>
      </c>
      <c r="F1142" s="4" t="s">
        <v>13</v>
      </c>
      <c r="G1142" s="18">
        <v>5332</v>
      </c>
      <c r="H1142" s="10">
        <v>5</v>
      </c>
      <c r="I1142" s="4">
        <v>1</v>
      </c>
      <c r="J1142" s="4" t="s">
        <v>14</v>
      </c>
      <c r="K1142" s="3" t="s">
        <v>14</v>
      </c>
      <c r="L1142" s="3" t="str">
        <f>IF(Table1[[#This Row],[Monthly Income]]&lt;3000,"Low",IF(Table1[[#This Row],[Monthly Income]]&lt;7000,"Medium","High"))</f>
        <v>Medium</v>
      </c>
      <c r="AK1142" s="4"/>
      <c r="AL1142" s="4"/>
      <c r="AM1142" s="4"/>
      <c r="AN1142" s="4"/>
      <c r="AO1142" s="4"/>
      <c r="AP1142" s="4"/>
      <c r="AQ1142" s="4"/>
      <c r="AR1142" s="4"/>
      <c r="AS1142" s="4"/>
      <c r="AU1142" s="4"/>
      <c r="AV1142" s="4"/>
      <c r="AW1142" s="4"/>
      <c r="AX1142" s="4"/>
      <c r="AY1142" s="4"/>
      <c r="AZ1142" s="4"/>
      <c r="BA1142" s="4"/>
      <c r="BB1142" s="4"/>
      <c r="BC1142" s="4"/>
      <c r="BD1142" s="4"/>
      <c r="BE1142" s="4"/>
    </row>
    <row r="1143" spans="2:57" x14ac:dyDescent="0.3">
      <c r="B1143" s="6" t="s">
        <v>1166</v>
      </c>
      <c r="C1143" s="6">
        <v>32</v>
      </c>
      <c r="D1143" s="6" t="s">
        <v>17</v>
      </c>
      <c r="E1143" s="6" t="s">
        <v>10</v>
      </c>
      <c r="F1143" s="6" t="s">
        <v>13</v>
      </c>
      <c r="G1143" s="19">
        <v>4648</v>
      </c>
      <c r="H1143" s="11">
        <v>0</v>
      </c>
      <c r="I1143" s="6">
        <v>4</v>
      </c>
      <c r="J1143" s="6" t="s">
        <v>14</v>
      </c>
      <c r="K1143" s="5" t="s">
        <v>14</v>
      </c>
      <c r="L1143" s="3" t="str">
        <f>IF(Table1[[#This Row],[Monthly Income]]&lt;3000,"Low",IF(Table1[[#This Row],[Monthly Income]]&lt;7000,"Medium","High"))</f>
        <v>Medium</v>
      </c>
      <c r="AK1143" s="6"/>
      <c r="AL1143" s="6"/>
      <c r="AM1143" s="6"/>
      <c r="AN1143" s="6"/>
      <c r="AO1143" s="6"/>
      <c r="AP1143" s="6"/>
      <c r="AQ1143" s="6"/>
      <c r="AR1143" s="6"/>
      <c r="AS1143" s="6"/>
      <c r="AU1143" s="6"/>
      <c r="AV1143" s="6"/>
      <c r="AW1143" s="6"/>
      <c r="AX1143" s="6"/>
      <c r="AY1143" s="6"/>
      <c r="AZ1143" s="6"/>
      <c r="BA1143" s="6"/>
      <c r="BB1143" s="6"/>
      <c r="BC1143" s="6"/>
      <c r="BD1143" s="6"/>
      <c r="BE1143" s="6"/>
    </row>
    <row r="1144" spans="2:57" x14ac:dyDescent="0.3">
      <c r="B1144" s="4" t="s">
        <v>1167</v>
      </c>
      <c r="C1144" s="4">
        <v>37</v>
      </c>
      <c r="D1144" s="4" t="s">
        <v>17</v>
      </c>
      <c r="E1144" s="4" t="s">
        <v>102</v>
      </c>
      <c r="F1144" s="4" t="s">
        <v>104</v>
      </c>
      <c r="G1144" s="18">
        <v>4071</v>
      </c>
      <c r="H1144" s="10">
        <v>10</v>
      </c>
      <c r="I1144" s="4">
        <v>2</v>
      </c>
      <c r="J1144" s="4" t="s">
        <v>14</v>
      </c>
      <c r="K1144" s="3" t="s">
        <v>14</v>
      </c>
      <c r="L1144" s="3" t="str">
        <f>IF(Table1[[#This Row],[Monthly Income]]&lt;3000,"Low",IF(Table1[[#This Row],[Monthly Income]]&lt;7000,"Medium","High"))</f>
        <v>Medium</v>
      </c>
      <c r="AK1144" s="4"/>
      <c r="AL1144" s="4"/>
      <c r="AM1144" s="4"/>
      <c r="AN1144" s="4"/>
      <c r="AO1144" s="4"/>
      <c r="AP1144" s="4"/>
      <c r="AQ1144" s="4"/>
      <c r="AR1144" s="4"/>
      <c r="AS1144" s="4"/>
      <c r="AU1144" s="4"/>
      <c r="AV1144" s="4"/>
      <c r="AW1144" s="4"/>
      <c r="AX1144" s="4"/>
      <c r="AY1144" s="4"/>
      <c r="AZ1144" s="4"/>
      <c r="BA1144" s="4"/>
      <c r="BB1144" s="4"/>
      <c r="BC1144" s="4"/>
      <c r="BD1144" s="4"/>
      <c r="BE1144" s="4"/>
    </row>
    <row r="1145" spans="2:57" x14ac:dyDescent="0.3">
      <c r="B1145" s="6" t="s">
        <v>1168</v>
      </c>
      <c r="C1145" s="6">
        <v>29</v>
      </c>
      <c r="D1145" s="6" t="s">
        <v>17</v>
      </c>
      <c r="E1145" s="6" t="s">
        <v>102</v>
      </c>
      <c r="F1145" s="6" t="s">
        <v>104</v>
      </c>
      <c r="G1145" s="19">
        <v>2804</v>
      </c>
      <c r="H1145" s="11">
        <v>1</v>
      </c>
      <c r="I1145" s="6">
        <v>2</v>
      </c>
      <c r="J1145" s="6" t="s">
        <v>14</v>
      </c>
      <c r="K1145" s="5" t="s">
        <v>14</v>
      </c>
      <c r="L1145" s="3" t="str">
        <f>IF(Table1[[#This Row],[Monthly Income]]&lt;3000,"Low",IF(Table1[[#This Row],[Monthly Income]]&lt;7000,"Medium","High"))</f>
        <v>Low</v>
      </c>
      <c r="AK1145" s="6"/>
      <c r="AL1145" s="6"/>
      <c r="AM1145" s="6"/>
      <c r="AN1145" s="6"/>
      <c r="AO1145" s="6"/>
      <c r="AP1145" s="6"/>
      <c r="AQ1145" s="6"/>
      <c r="AR1145" s="6"/>
      <c r="AS1145" s="6"/>
      <c r="AU1145" s="6"/>
      <c r="AV1145" s="6"/>
      <c r="AW1145" s="6"/>
      <c r="AX1145" s="6"/>
      <c r="AY1145" s="6"/>
      <c r="AZ1145" s="6"/>
      <c r="BA1145" s="6"/>
      <c r="BB1145" s="6"/>
      <c r="BC1145" s="6"/>
      <c r="BD1145" s="6"/>
      <c r="BE1145" s="6"/>
    </row>
    <row r="1146" spans="2:57" x14ac:dyDescent="0.3">
      <c r="B1146" s="4" t="s">
        <v>1169</v>
      </c>
      <c r="C1146" s="4">
        <v>29</v>
      </c>
      <c r="D1146" s="4" t="s">
        <v>17</v>
      </c>
      <c r="E1146" s="4" t="s">
        <v>102</v>
      </c>
      <c r="F1146" s="4" t="s">
        <v>104</v>
      </c>
      <c r="G1146" s="18">
        <v>7988</v>
      </c>
      <c r="H1146" s="10">
        <v>10</v>
      </c>
      <c r="I1146" s="4">
        <v>1</v>
      </c>
      <c r="J1146" s="4" t="s">
        <v>14</v>
      </c>
      <c r="K1146" s="3" t="s">
        <v>14</v>
      </c>
      <c r="L1146" s="3" t="str">
        <f>IF(Table1[[#This Row],[Monthly Income]]&lt;3000,"Low",IF(Table1[[#This Row],[Monthly Income]]&lt;7000,"Medium","High"))</f>
        <v>High</v>
      </c>
      <c r="AK1146" s="4"/>
      <c r="AL1146" s="4"/>
      <c r="AM1146" s="4"/>
      <c r="AN1146" s="4"/>
      <c r="AO1146" s="4"/>
      <c r="AP1146" s="4"/>
      <c r="AQ1146" s="4"/>
      <c r="AR1146" s="4"/>
      <c r="AS1146" s="4"/>
      <c r="AU1146" s="4"/>
      <c r="AV1146" s="4"/>
      <c r="AW1146" s="4"/>
      <c r="AX1146" s="4"/>
      <c r="AY1146" s="4"/>
      <c r="AZ1146" s="4"/>
      <c r="BA1146" s="4"/>
      <c r="BB1146" s="4"/>
      <c r="BC1146" s="4"/>
      <c r="BD1146" s="4"/>
      <c r="BE1146" s="4"/>
    </row>
    <row r="1147" spans="2:57" x14ac:dyDescent="0.3">
      <c r="B1147" s="6" t="s">
        <v>1170</v>
      </c>
      <c r="C1147" s="6">
        <v>43</v>
      </c>
      <c r="D1147" s="6" t="s">
        <v>17</v>
      </c>
      <c r="E1147" s="6" t="s">
        <v>102</v>
      </c>
      <c r="F1147" s="6" t="s">
        <v>104</v>
      </c>
      <c r="G1147" s="19">
        <v>3539</v>
      </c>
      <c r="H1147" s="11">
        <v>9</v>
      </c>
      <c r="I1147" s="6">
        <v>4</v>
      </c>
      <c r="J1147" s="6" t="s">
        <v>14</v>
      </c>
      <c r="K1147" s="5" t="s">
        <v>14</v>
      </c>
      <c r="L1147" s="3" t="str">
        <f>IF(Table1[[#This Row],[Monthly Income]]&lt;3000,"Low",IF(Table1[[#This Row],[Monthly Income]]&lt;7000,"Medium","High"))</f>
        <v>Medium</v>
      </c>
      <c r="AK1147" s="6"/>
      <c r="AL1147" s="6"/>
      <c r="AM1147" s="6"/>
      <c r="AN1147" s="6"/>
      <c r="AO1147" s="6"/>
      <c r="AP1147" s="6"/>
      <c r="AQ1147" s="6"/>
      <c r="AR1147" s="6"/>
      <c r="AS1147" s="6"/>
      <c r="AU1147" s="6"/>
      <c r="AV1147" s="6"/>
      <c r="AW1147" s="6"/>
      <c r="AX1147" s="6"/>
      <c r="AY1147" s="6"/>
      <c r="AZ1147" s="6"/>
      <c r="BA1147" s="6"/>
      <c r="BB1147" s="6"/>
      <c r="BC1147" s="6"/>
      <c r="BD1147" s="6"/>
      <c r="BE1147" s="6"/>
    </row>
    <row r="1148" spans="2:57" x14ac:dyDescent="0.3">
      <c r="B1148" s="4" t="s">
        <v>1171</v>
      </c>
      <c r="C1148" s="4">
        <v>55</v>
      </c>
      <c r="D1148" s="4" t="s">
        <v>17</v>
      </c>
      <c r="E1148" s="4" t="s">
        <v>15</v>
      </c>
      <c r="F1148" s="4" t="s">
        <v>18</v>
      </c>
      <c r="G1148" s="18">
        <v>3537</v>
      </c>
      <c r="H1148" s="10">
        <v>4</v>
      </c>
      <c r="I1148" s="4">
        <v>2</v>
      </c>
      <c r="J1148" s="4" t="s">
        <v>14</v>
      </c>
      <c r="K1148" s="3" t="s">
        <v>14</v>
      </c>
      <c r="L1148" s="3" t="str">
        <f>IF(Table1[[#This Row],[Monthly Income]]&lt;3000,"Low",IF(Table1[[#This Row],[Monthly Income]]&lt;7000,"Medium","High"))</f>
        <v>Medium</v>
      </c>
      <c r="AK1148" s="4"/>
      <c r="AL1148" s="4"/>
      <c r="AM1148" s="4"/>
      <c r="AN1148" s="4"/>
      <c r="AO1148" s="4"/>
      <c r="AP1148" s="4"/>
      <c r="AQ1148" s="4"/>
      <c r="AR1148" s="4"/>
      <c r="AS1148" s="4"/>
      <c r="AU1148" s="4"/>
      <c r="AV1148" s="4"/>
      <c r="AW1148" s="4"/>
      <c r="AX1148" s="4"/>
      <c r="AY1148" s="4"/>
      <c r="AZ1148" s="4"/>
      <c r="BA1148" s="4"/>
      <c r="BB1148" s="4"/>
      <c r="BC1148" s="4"/>
      <c r="BD1148" s="4"/>
      <c r="BE1148" s="4"/>
    </row>
    <row r="1149" spans="2:57" x14ac:dyDescent="0.3">
      <c r="B1149" s="6" t="s">
        <v>1172</v>
      </c>
      <c r="C1149" s="6">
        <v>28</v>
      </c>
      <c r="D1149" s="6" t="s">
        <v>17</v>
      </c>
      <c r="E1149" s="6" t="s">
        <v>15</v>
      </c>
      <c r="F1149" s="6" t="s">
        <v>18</v>
      </c>
      <c r="G1149" s="19">
        <v>1563</v>
      </c>
      <c r="H1149" s="11">
        <v>1</v>
      </c>
      <c r="I1149" s="6">
        <v>3</v>
      </c>
      <c r="J1149" s="6" t="s">
        <v>14</v>
      </c>
      <c r="K1149" s="5" t="s">
        <v>14</v>
      </c>
      <c r="L1149" s="3" t="str">
        <f>IF(Table1[[#This Row],[Monthly Income]]&lt;3000,"Low",IF(Table1[[#This Row],[Monthly Income]]&lt;7000,"Medium","High"))</f>
        <v>Low</v>
      </c>
      <c r="AK1149" s="6"/>
      <c r="AL1149" s="6"/>
      <c r="AM1149" s="6"/>
      <c r="AN1149" s="6"/>
      <c r="AO1149" s="6"/>
      <c r="AP1149" s="6"/>
      <c r="AQ1149" s="6"/>
      <c r="AR1149" s="6"/>
      <c r="AS1149" s="6"/>
      <c r="AU1149" s="6"/>
      <c r="AV1149" s="6"/>
      <c r="AW1149" s="6"/>
      <c r="AX1149" s="6"/>
      <c r="AY1149" s="6"/>
      <c r="AZ1149" s="6"/>
      <c r="BA1149" s="6"/>
      <c r="BB1149" s="6"/>
      <c r="BC1149" s="6"/>
      <c r="BD1149" s="6"/>
      <c r="BE1149" s="6"/>
    </row>
    <row r="1150" spans="2:57" x14ac:dyDescent="0.3">
      <c r="B1150" s="4" t="s">
        <v>1173</v>
      </c>
      <c r="C1150" s="4">
        <v>40</v>
      </c>
      <c r="D1150" s="4" t="s">
        <v>17</v>
      </c>
      <c r="E1150" s="4" t="s">
        <v>15</v>
      </c>
      <c r="F1150" s="4" t="s">
        <v>39</v>
      </c>
      <c r="G1150" s="18">
        <v>16823</v>
      </c>
      <c r="H1150" s="10">
        <v>19</v>
      </c>
      <c r="I1150" s="4">
        <v>1</v>
      </c>
      <c r="J1150" s="4" t="s">
        <v>14</v>
      </c>
      <c r="K1150" s="3" t="s">
        <v>14</v>
      </c>
      <c r="L1150" s="3" t="str">
        <f>IF(Table1[[#This Row],[Monthly Income]]&lt;3000,"Low",IF(Table1[[#This Row],[Monthly Income]]&lt;7000,"Medium","High"))</f>
        <v>High</v>
      </c>
      <c r="AK1150" s="4"/>
      <c r="AL1150" s="4"/>
      <c r="AM1150" s="4"/>
      <c r="AN1150" s="4"/>
      <c r="AO1150" s="4"/>
      <c r="AP1150" s="4"/>
      <c r="AQ1150" s="4"/>
      <c r="AR1150" s="4"/>
      <c r="AS1150" s="4"/>
      <c r="AU1150" s="4"/>
      <c r="AV1150" s="4"/>
      <c r="AW1150" s="4"/>
      <c r="AX1150" s="4"/>
      <c r="AY1150" s="4"/>
      <c r="AZ1150" s="4"/>
      <c r="BA1150" s="4"/>
      <c r="BB1150" s="4"/>
      <c r="BC1150" s="4"/>
      <c r="BD1150" s="4"/>
      <c r="BE1150" s="4"/>
    </row>
    <row r="1151" spans="2:57" x14ac:dyDescent="0.3">
      <c r="B1151" s="6" t="s">
        <v>1174</v>
      </c>
      <c r="C1151" s="6">
        <v>31</v>
      </c>
      <c r="D1151" s="6" t="s">
        <v>17</v>
      </c>
      <c r="E1151" s="6" t="s">
        <v>15</v>
      </c>
      <c r="F1151" s="6" t="s">
        <v>20</v>
      </c>
      <c r="G1151" s="19">
        <v>4197</v>
      </c>
      <c r="H1151" s="11">
        <v>10</v>
      </c>
      <c r="I1151" s="6">
        <v>3</v>
      </c>
      <c r="J1151" s="6" t="s">
        <v>14</v>
      </c>
      <c r="K1151" s="5" t="s">
        <v>14</v>
      </c>
      <c r="L1151" s="3" t="str">
        <f>IF(Table1[[#This Row],[Monthly Income]]&lt;3000,"Low",IF(Table1[[#This Row],[Monthly Income]]&lt;7000,"Medium","High"))</f>
        <v>Medium</v>
      </c>
      <c r="AK1151" s="6"/>
      <c r="AL1151" s="6"/>
      <c r="AM1151" s="6"/>
      <c r="AN1151" s="6"/>
      <c r="AO1151" s="6"/>
      <c r="AP1151" s="6"/>
      <c r="AQ1151" s="6"/>
      <c r="AR1151" s="6"/>
      <c r="AS1151" s="6"/>
      <c r="AU1151" s="6"/>
      <c r="AV1151" s="6"/>
      <c r="AW1151" s="6"/>
      <c r="AX1151" s="6"/>
      <c r="AY1151" s="6"/>
      <c r="AZ1151" s="6"/>
      <c r="BA1151" s="6"/>
      <c r="BB1151" s="6"/>
      <c r="BC1151" s="6"/>
      <c r="BD1151" s="6"/>
      <c r="BE1151" s="6"/>
    </row>
    <row r="1152" spans="2:57" x14ac:dyDescent="0.3">
      <c r="B1152" s="4" t="s">
        <v>1175</v>
      </c>
      <c r="C1152" s="4">
        <v>39</v>
      </c>
      <c r="D1152" s="4" t="s">
        <v>17</v>
      </c>
      <c r="E1152" s="4" t="s">
        <v>15</v>
      </c>
      <c r="F1152" s="4" t="s">
        <v>20</v>
      </c>
      <c r="G1152" s="18">
        <v>3069</v>
      </c>
      <c r="H1152" s="10">
        <v>10</v>
      </c>
      <c r="I1152" s="4">
        <v>3</v>
      </c>
      <c r="J1152" s="4" t="s">
        <v>14</v>
      </c>
      <c r="K1152" s="3" t="s">
        <v>14</v>
      </c>
      <c r="L1152" s="3" t="str">
        <f>IF(Table1[[#This Row],[Monthly Income]]&lt;3000,"Low",IF(Table1[[#This Row],[Monthly Income]]&lt;7000,"Medium","High"))</f>
        <v>Medium</v>
      </c>
      <c r="AK1152" s="4"/>
      <c r="AL1152" s="4"/>
      <c r="AM1152" s="4"/>
      <c r="AN1152" s="4"/>
      <c r="AO1152" s="4"/>
      <c r="AP1152" s="4"/>
      <c r="AQ1152" s="4"/>
      <c r="AR1152" s="4"/>
      <c r="AS1152" s="4"/>
      <c r="AU1152" s="4"/>
      <c r="AV1152" s="4"/>
      <c r="AW1152" s="4"/>
      <c r="AX1152" s="4"/>
      <c r="AY1152" s="4"/>
      <c r="AZ1152" s="4"/>
      <c r="BA1152" s="4"/>
      <c r="BB1152" s="4"/>
      <c r="BC1152" s="4"/>
      <c r="BD1152" s="4"/>
      <c r="BE1152" s="4"/>
    </row>
    <row r="1153" spans="2:57" x14ac:dyDescent="0.3">
      <c r="B1153" s="6" t="s">
        <v>1176</v>
      </c>
      <c r="C1153" s="6">
        <v>40</v>
      </c>
      <c r="D1153" s="6" t="s">
        <v>17</v>
      </c>
      <c r="E1153" s="6" t="s">
        <v>15</v>
      </c>
      <c r="F1153" s="6" t="s">
        <v>18</v>
      </c>
      <c r="G1153" s="19">
        <v>2345</v>
      </c>
      <c r="H1153" s="11">
        <v>3</v>
      </c>
      <c r="I1153" s="6">
        <v>3</v>
      </c>
      <c r="J1153" s="6" t="s">
        <v>14</v>
      </c>
      <c r="K1153" s="5" t="s">
        <v>14</v>
      </c>
      <c r="L1153" s="3" t="str">
        <f>IF(Table1[[#This Row],[Monthly Income]]&lt;3000,"Low",IF(Table1[[#This Row],[Monthly Income]]&lt;7000,"Medium","High"))</f>
        <v>Low</v>
      </c>
      <c r="AK1153" s="6"/>
      <c r="AL1153" s="6"/>
      <c r="AM1153" s="6"/>
      <c r="AN1153" s="6"/>
      <c r="AO1153" s="6"/>
      <c r="AP1153" s="6"/>
      <c r="AQ1153" s="6"/>
      <c r="AR1153" s="6"/>
      <c r="AS1153" s="6"/>
      <c r="AU1153" s="6"/>
      <c r="AV1153" s="6"/>
      <c r="AW1153" s="6"/>
      <c r="AX1153" s="6"/>
      <c r="AY1153" s="6"/>
      <c r="AZ1153" s="6"/>
      <c r="BA1153" s="6"/>
      <c r="BB1153" s="6"/>
      <c r="BC1153" s="6"/>
      <c r="BD1153" s="6"/>
      <c r="BE1153" s="6"/>
    </row>
    <row r="1154" spans="2:57" x14ac:dyDescent="0.3">
      <c r="B1154" s="4" t="s">
        <v>1177</v>
      </c>
      <c r="C1154" s="4">
        <v>46</v>
      </c>
      <c r="D1154" s="4" t="s">
        <v>17</v>
      </c>
      <c r="E1154" s="4" t="s">
        <v>15</v>
      </c>
      <c r="F1154" s="4" t="s">
        <v>27</v>
      </c>
      <c r="G1154" s="18">
        <v>8578</v>
      </c>
      <c r="H1154" s="10">
        <v>9</v>
      </c>
      <c r="I1154" s="4">
        <v>4</v>
      </c>
      <c r="J1154" s="4" t="s">
        <v>14</v>
      </c>
      <c r="K1154" s="3" t="s">
        <v>14</v>
      </c>
      <c r="L1154" s="3" t="str">
        <f>IF(Table1[[#This Row],[Monthly Income]]&lt;3000,"Low",IF(Table1[[#This Row],[Monthly Income]]&lt;7000,"Medium","High"))</f>
        <v>High</v>
      </c>
      <c r="AK1154" s="4"/>
      <c r="AL1154" s="4"/>
      <c r="AM1154" s="4"/>
      <c r="AN1154" s="4"/>
      <c r="AO1154" s="4"/>
      <c r="AP1154" s="4"/>
      <c r="AQ1154" s="4"/>
      <c r="AR1154" s="4"/>
      <c r="AS1154" s="4"/>
      <c r="AU1154" s="4"/>
      <c r="AV1154" s="4"/>
      <c r="AW1154" s="4"/>
      <c r="AX1154" s="4"/>
      <c r="AY1154" s="4"/>
      <c r="AZ1154" s="4"/>
      <c r="BA1154" s="4"/>
      <c r="BB1154" s="4"/>
      <c r="BC1154" s="4"/>
      <c r="BD1154" s="4"/>
      <c r="BE1154" s="4"/>
    </row>
    <row r="1155" spans="2:57" x14ac:dyDescent="0.3">
      <c r="B1155" s="6" t="s">
        <v>1178</v>
      </c>
      <c r="C1155" s="6">
        <v>43</v>
      </c>
      <c r="D1155" s="6" t="s">
        <v>17</v>
      </c>
      <c r="E1155" s="6" t="s">
        <v>15</v>
      </c>
      <c r="F1155" s="6" t="s">
        <v>20</v>
      </c>
      <c r="G1155" s="19">
        <v>4876</v>
      </c>
      <c r="H1155" s="11">
        <v>6</v>
      </c>
      <c r="I1155" s="6">
        <v>2</v>
      </c>
      <c r="J1155" s="6" t="s">
        <v>14</v>
      </c>
      <c r="K1155" s="5" t="s">
        <v>14</v>
      </c>
      <c r="L1155" s="3" t="str">
        <f>IF(Table1[[#This Row],[Monthly Income]]&lt;3000,"Low",IF(Table1[[#This Row],[Monthly Income]]&lt;7000,"Medium","High"))</f>
        <v>Medium</v>
      </c>
      <c r="AK1155" s="6"/>
      <c r="AL1155" s="6"/>
      <c r="AM1155" s="6"/>
      <c r="AN1155" s="6"/>
      <c r="AO1155" s="6"/>
      <c r="AP1155" s="6"/>
      <c r="AQ1155" s="6"/>
      <c r="AR1155" s="6"/>
      <c r="AS1155" s="6"/>
      <c r="AU1155" s="6"/>
      <c r="AV1155" s="6"/>
      <c r="AW1155" s="6"/>
      <c r="AX1155" s="6"/>
      <c r="AY1155" s="6"/>
      <c r="AZ1155" s="6"/>
      <c r="BA1155" s="6"/>
      <c r="BB1155" s="6"/>
      <c r="BC1155" s="6"/>
      <c r="BD1155" s="6"/>
      <c r="BE1155" s="6"/>
    </row>
    <row r="1156" spans="2:57" x14ac:dyDescent="0.3">
      <c r="B1156" s="4" t="s">
        <v>1179</v>
      </c>
      <c r="C1156" s="4">
        <v>38</v>
      </c>
      <c r="D1156" s="4" t="s">
        <v>17</v>
      </c>
      <c r="E1156" s="4" t="s">
        <v>15</v>
      </c>
      <c r="F1156" s="4" t="s">
        <v>18</v>
      </c>
      <c r="G1156" s="18">
        <v>4771</v>
      </c>
      <c r="H1156" s="10">
        <v>5</v>
      </c>
      <c r="I1156" s="4">
        <v>4</v>
      </c>
      <c r="J1156" s="4" t="s">
        <v>14</v>
      </c>
      <c r="K1156" s="3" t="s">
        <v>14</v>
      </c>
      <c r="L1156" s="3" t="str">
        <f>IF(Table1[[#This Row],[Monthly Income]]&lt;3000,"Low",IF(Table1[[#This Row],[Monthly Income]]&lt;7000,"Medium","High"))</f>
        <v>Medium</v>
      </c>
      <c r="AK1156" s="4"/>
      <c r="AL1156" s="4"/>
      <c r="AM1156" s="4"/>
      <c r="AN1156" s="4"/>
      <c r="AO1156" s="4"/>
      <c r="AP1156" s="4"/>
      <c r="AQ1156" s="4"/>
      <c r="AR1156" s="4"/>
      <c r="AS1156" s="4"/>
      <c r="AU1156" s="4"/>
      <c r="AV1156" s="4"/>
      <c r="AW1156" s="4"/>
      <c r="AX1156" s="4"/>
      <c r="AY1156" s="4"/>
      <c r="AZ1156" s="4"/>
      <c r="BA1156" s="4"/>
      <c r="BB1156" s="4"/>
      <c r="BC1156" s="4"/>
      <c r="BD1156" s="4"/>
      <c r="BE1156" s="4"/>
    </row>
    <row r="1157" spans="2:57" x14ac:dyDescent="0.3">
      <c r="B1157" s="6" t="s">
        <v>1180</v>
      </c>
      <c r="C1157" s="6">
        <v>55</v>
      </c>
      <c r="D1157" s="6" t="s">
        <v>17</v>
      </c>
      <c r="E1157" s="6" t="s">
        <v>15</v>
      </c>
      <c r="F1157" s="6" t="s">
        <v>45</v>
      </c>
      <c r="G1157" s="19">
        <v>14732</v>
      </c>
      <c r="H1157" s="11">
        <v>7</v>
      </c>
      <c r="I1157" s="6">
        <v>4</v>
      </c>
      <c r="J1157" s="6" t="s">
        <v>14</v>
      </c>
      <c r="K1157" s="5" t="s">
        <v>14</v>
      </c>
      <c r="L1157" s="3" t="str">
        <f>IF(Table1[[#This Row],[Monthly Income]]&lt;3000,"Low",IF(Table1[[#This Row],[Monthly Income]]&lt;7000,"Medium","High"))</f>
        <v>High</v>
      </c>
      <c r="AK1157" s="6"/>
      <c r="AL1157" s="6"/>
      <c r="AM1157" s="6"/>
      <c r="AN1157" s="6"/>
      <c r="AO1157" s="6"/>
      <c r="AP1157" s="6"/>
      <c r="AQ1157" s="6"/>
      <c r="AR1157" s="6"/>
      <c r="AS1157" s="6"/>
      <c r="AU1157" s="6"/>
      <c r="AV1157" s="6"/>
      <c r="AW1157" s="6"/>
      <c r="AX1157" s="6"/>
      <c r="AY1157" s="6"/>
      <c r="AZ1157" s="6"/>
      <c r="BA1157" s="6"/>
      <c r="BB1157" s="6"/>
      <c r="BC1157" s="6"/>
      <c r="BD1157" s="6"/>
      <c r="BE1157" s="6"/>
    </row>
    <row r="1158" spans="2:57" x14ac:dyDescent="0.3">
      <c r="B1158" s="4" t="s">
        <v>1181</v>
      </c>
      <c r="C1158" s="4">
        <v>49</v>
      </c>
      <c r="D1158" s="4" t="s">
        <v>17</v>
      </c>
      <c r="E1158" s="4" t="s">
        <v>15</v>
      </c>
      <c r="F1158" s="4" t="s">
        <v>29</v>
      </c>
      <c r="G1158" s="18">
        <v>10466</v>
      </c>
      <c r="H1158" s="10">
        <v>8</v>
      </c>
      <c r="I1158" s="4">
        <v>2</v>
      </c>
      <c r="J1158" s="4" t="s">
        <v>14</v>
      </c>
      <c r="K1158" s="3" t="s">
        <v>14</v>
      </c>
      <c r="L1158" s="3" t="str">
        <f>IF(Table1[[#This Row],[Monthly Income]]&lt;3000,"Low",IF(Table1[[#This Row],[Monthly Income]]&lt;7000,"Medium","High"))</f>
        <v>High</v>
      </c>
      <c r="AK1158" s="4"/>
      <c r="AL1158" s="4"/>
      <c r="AM1158" s="4"/>
      <c r="AN1158" s="4"/>
      <c r="AO1158" s="4"/>
      <c r="AP1158" s="4"/>
      <c r="AQ1158" s="4"/>
      <c r="AR1158" s="4"/>
      <c r="AS1158" s="4"/>
      <c r="AU1158" s="4"/>
      <c r="AV1158" s="4"/>
      <c r="AW1158" s="4"/>
      <c r="AX1158" s="4"/>
      <c r="AY1158" s="4"/>
      <c r="AZ1158" s="4"/>
      <c r="BA1158" s="4"/>
      <c r="BB1158" s="4"/>
      <c r="BC1158" s="4"/>
      <c r="BD1158" s="4"/>
      <c r="BE1158" s="4"/>
    </row>
    <row r="1159" spans="2:57" x14ac:dyDescent="0.3">
      <c r="B1159" s="6" t="s">
        <v>1182</v>
      </c>
      <c r="C1159" s="6">
        <v>29</v>
      </c>
      <c r="D1159" s="6" t="s">
        <v>17</v>
      </c>
      <c r="E1159" s="6" t="s">
        <v>15</v>
      </c>
      <c r="F1159" s="6" t="s">
        <v>29</v>
      </c>
      <c r="G1159" s="19">
        <v>6384</v>
      </c>
      <c r="H1159" s="11">
        <v>7</v>
      </c>
      <c r="I1159" s="6">
        <v>3</v>
      </c>
      <c r="J1159" s="6" t="s">
        <v>14</v>
      </c>
      <c r="K1159" s="5" t="s">
        <v>14</v>
      </c>
      <c r="L1159" s="3" t="str">
        <f>IF(Table1[[#This Row],[Monthly Income]]&lt;3000,"Low",IF(Table1[[#This Row],[Monthly Income]]&lt;7000,"Medium","High"))</f>
        <v>Medium</v>
      </c>
      <c r="AK1159" s="6"/>
      <c r="AL1159" s="6"/>
      <c r="AM1159" s="6"/>
      <c r="AN1159" s="6"/>
      <c r="AO1159" s="6"/>
      <c r="AP1159" s="6"/>
      <c r="AQ1159" s="6"/>
      <c r="AR1159" s="6"/>
      <c r="AS1159" s="6"/>
      <c r="AU1159" s="6"/>
      <c r="AV1159" s="6"/>
      <c r="AW1159" s="6"/>
      <c r="AX1159" s="6"/>
      <c r="AY1159" s="6"/>
      <c r="AZ1159" s="6"/>
      <c r="BA1159" s="6"/>
      <c r="BB1159" s="6"/>
      <c r="BC1159" s="6"/>
      <c r="BD1159" s="6"/>
      <c r="BE1159" s="6"/>
    </row>
    <row r="1160" spans="2:57" x14ac:dyDescent="0.3">
      <c r="B1160" s="4" t="s">
        <v>1183</v>
      </c>
      <c r="C1160" s="4">
        <v>27</v>
      </c>
      <c r="D1160" s="4" t="s">
        <v>17</v>
      </c>
      <c r="E1160" s="4" t="s">
        <v>15</v>
      </c>
      <c r="F1160" s="4" t="s">
        <v>20</v>
      </c>
      <c r="G1160" s="18">
        <v>4066</v>
      </c>
      <c r="H1160" s="10">
        <v>7</v>
      </c>
      <c r="I1160" s="4">
        <v>1</v>
      </c>
      <c r="J1160" s="4" t="s">
        <v>14</v>
      </c>
      <c r="K1160" s="3" t="s">
        <v>14</v>
      </c>
      <c r="L1160" s="3" t="str">
        <f>IF(Table1[[#This Row],[Monthly Income]]&lt;3000,"Low",IF(Table1[[#This Row],[Monthly Income]]&lt;7000,"Medium","High"))</f>
        <v>Medium</v>
      </c>
      <c r="AK1160" s="4"/>
      <c r="AL1160" s="4"/>
      <c r="AM1160" s="4"/>
      <c r="AN1160" s="4"/>
      <c r="AO1160" s="4"/>
      <c r="AP1160" s="4"/>
      <c r="AQ1160" s="4"/>
      <c r="AR1160" s="4"/>
      <c r="AS1160" s="4"/>
      <c r="AU1160" s="4"/>
      <c r="AV1160" s="4"/>
      <c r="AW1160" s="4"/>
      <c r="AX1160" s="4"/>
      <c r="AY1160" s="4"/>
      <c r="AZ1160" s="4"/>
      <c r="BA1160" s="4"/>
      <c r="BB1160" s="4"/>
      <c r="BC1160" s="4"/>
      <c r="BD1160" s="4"/>
      <c r="BE1160" s="4"/>
    </row>
    <row r="1161" spans="2:57" x14ac:dyDescent="0.3">
      <c r="B1161" s="6" t="s">
        <v>1184</v>
      </c>
      <c r="C1161" s="6">
        <v>32</v>
      </c>
      <c r="D1161" s="6" t="s">
        <v>17</v>
      </c>
      <c r="E1161" s="6" t="s">
        <v>15</v>
      </c>
      <c r="F1161" s="6" t="s">
        <v>18</v>
      </c>
      <c r="G1161" s="19">
        <v>5470</v>
      </c>
      <c r="H1161" s="11">
        <v>9</v>
      </c>
      <c r="I1161" s="6">
        <v>2</v>
      </c>
      <c r="J1161" s="6" t="s">
        <v>14</v>
      </c>
      <c r="K1161" s="5" t="s">
        <v>14</v>
      </c>
      <c r="L1161" s="3" t="str">
        <f>IF(Table1[[#This Row],[Monthly Income]]&lt;3000,"Low",IF(Table1[[#This Row],[Monthly Income]]&lt;7000,"Medium","High"))</f>
        <v>Medium</v>
      </c>
      <c r="AK1161" s="6"/>
      <c r="AL1161" s="6"/>
      <c r="AM1161" s="6"/>
      <c r="AN1161" s="6"/>
      <c r="AO1161" s="6"/>
      <c r="AP1161" s="6"/>
      <c r="AQ1161" s="6"/>
      <c r="AR1161" s="6"/>
      <c r="AS1161" s="6"/>
      <c r="AU1161" s="6"/>
      <c r="AV1161" s="6"/>
      <c r="AW1161" s="6"/>
      <c r="AX1161" s="6"/>
      <c r="AY1161" s="6"/>
      <c r="AZ1161" s="6"/>
      <c r="BA1161" s="6"/>
      <c r="BB1161" s="6"/>
      <c r="BC1161" s="6"/>
      <c r="BD1161" s="6"/>
      <c r="BE1161" s="6"/>
    </row>
    <row r="1162" spans="2:57" x14ac:dyDescent="0.3">
      <c r="B1162" s="4" t="s">
        <v>1185</v>
      </c>
      <c r="C1162" s="4">
        <v>45</v>
      </c>
      <c r="D1162" s="4" t="s">
        <v>17</v>
      </c>
      <c r="E1162" s="4" t="s">
        <v>15</v>
      </c>
      <c r="F1162" s="4" t="s">
        <v>29</v>
      </c>
      <c r="G1162" s="18">
        <v>7441</v>
      </c>
      <c r="H1162" s="10">
        <v>10</v>
      </c>
      <c r="I1162" s="4">
        <v>2</v>
      </c>
      <c r="J1162" s="4" t="s">
        <v>14</v>
      </c>
      <c r="K1162" s="3" t="s">
        <v>14</v>
      </c>
      <c r="L1162" s="3" t="str">
        <f>IF(Table1[[#This Row],[Monthly Income]]&lt;3000,"Low",IF(Table1[[#This Row],[Monthly Income]]&lt;7000,"Medium","High"))</f>
        <v>High</v>
      </c>
      <c r="AK1162" s="4"/>
      <c r="AL1162" s="4"/>
      <c r="AM1162" s="4"/>
      <c r="AN1162" s="4"/>
      <c r="AO1162" s="4"/>
      <c r="AP1162" s="4"/>
      <c r="AQ1162" s="4"/>
      <c r="AR1162" s="4"/>
      <c r="AS1162" s="4"/>
      <c r="AU1162" s="4"/>
      <c r="AV1162" s="4"/>
      <c r="AW1162" s="4"/>
      <c r="AX1162" s="4"/>
      <c r="AY1162" s="4"/>
      <c r="AZ1162" s="4"/>
      <c r="BA1162" s="4"/>
      <c r="BB1162" s="4"/>
      <c r="BC1162" s="4"/>
      <c r="BD1162" s="4"/>
      <c r="BE1162" s="4"/>
    </row>
    <row r="1163" spans="2:57" x14ac:dyDescent="0.3">
      <c r="B1163" s="6" t="s">
        <v>1186</v>
      </c>
      <c r="C1163" s="6">
        <v>24</v>
      </c>
      <c r="D1163" s="6" t="s">
        <v>17</v>
      </c>
      <c r="E1163" s="6" t="s">
        <v>15</v>
      </c>
      <c r="F1163" s="6" t="s">
        <v>20</v>
      </c>
      <c r="G1163" s="19">
        <v>3907</v>
      </c>
      <c r="H1163" s="11">
        <v>6</v>
      </c>
      <c r="I1163" s="6">
        <v>1</v>
      </c>
      <c r="J1163" s="6" t="s">
        <v>14</v>
      </c>
      <c r="K1163" s="5" t="s">
        <v>14</v>
      </c>
      <c r="L1163" s="3" t="str">
        <f>IF(Table1[[#This Row],[Monthly Income]]&lt;3000,"Low",IF(Table1[[#This Row],[Monthly Income]]&lt;7000,"Medium","High"))</f>
        <v>Medium</v>
      </c>
      <c r="AK1163" s="6"/>
      <c r="AL1163" s="6"/>
      <c r="AM1163" s="6"/>
      <c r="AN1163" s="6"/>
      <c r="AO1163" s="6"/>
      <c r="AP1163" s="6"/>
      <c r="AQ1163" s="6"/>
      <c r="AR1163" s="6"/>
      <c r="AS1163" s="6"/>
      <c r="AU1163" s="6"/>
      <c r="AV1163" s="6"/>
      <c r="AW1163" s="6"/>
      <c r="AX1163" s="6"/>
      <c r="AY1163" s="6"/>
      <c r="AZ1163" s="6"/>
      <c r="BA1163" s="6"/>
      <c r="BB1163" s="6"/>
      <c r="BC1163" s="6"/>
      <c r="BD1163" s="6"/>
      <c r="BE1163" s="6"/>
    </row>
    <row r="1164" spans="2:57" x14ac:dyDescent="0.3">
      <c r="B1164" s="4" t="s">
        <v>1187</v>
      </c>
      <c r="C1164" s="4">
        <v>24</v>
      </c>
      <c r="D1164" s="4" t="s">
        <v>17</v>
      </c>
      <c r="E1164" s="4" t="s">
        <v>15</v>
      </c>
      <c r="F1164" s="4" t="s">
        <v>20</v>
      </c>
      <c r="G1164" s="18">
        <v>2296</v>
      </c>
      <c r="H1164" s="10">
        <v>1</v>
      </c>
      <c r="I1164" s="4">
        <v>1</v>
      </c>
      <c r="J1164" s="4" t="s">
        <v>14</v>
      </c>
      <c r="K1164" s="3" t="s">
        <v>14</v>
      </c>
      <c r="L1164" s="3" t="str">
        <f>IF(Table1[[#This Row],[Monthly Income]]&lt;3000,"Low",IF(Table1[[#This Row],[Monthly Income]]&lt;7000,"Medium","High"))</f>
        <v>Low</v>
      </c>
      <c r="AK1164" s="4"/>
      <c r="AL1164" s="4"/>
      <c r="AM1164" s="4"/>
      <c r="AN1164" s="4"/>
      <c r="AO1164" s="4"/>
      <c r="AP1164" s="4"/>
      <c r="AQ1164" s="4"/>
      <c r="AR1164" s="4"/>
      <c r="AS1164" s="4"/>
      <c r="AU1164" s="4"/>
      <c r="AV1164" s="4"/>
      <c r="AW1164" s="4"/>
      <c r="AX1164" s="4"/>
      <c r="AY1164" s="4"/>
      <c r="AZ1164" s="4"/>
      <c r="BA1164" s="4"/>
      <c r="BB1164" s="4"/>
      <c r="BC1164" s="4"/>
      <c r="BD1164" s="4"/>
      <c r="BE1164" s="4"/>
    </row>
    <row r="1165" spans="2:57" x14ac:dyDescent="0.3">
      <c r="B1165" s="6" t="s">
        <v>1188</v>
      </c>
      <c r="C1165" s="6">
        <v>39</v>
      </c>
      <c r="D1165" s="6" t="s">
        <v>17</v>
      </c>
      <c r="E1165" s="6" t="s">
        <v>15</v>
      </c>
      <c r="F1165" s="6" t="s">
        <v>18</v>
      </c>
      <c r="G1165" s="19">
        <v>3902</v>
      </c>
      <c r="H1165" s="11">
        <v>2</v>
      </c>
      <c r="I1165" s="6">
        <v>4</v>
      </c>
      <c r="J1165" s="6" t="s">
        <v>14</v>
      </c>
      <c r="K1165" s="5" t="s">
        <v>14</v>
      </c>
      <c r="L1165" s="3" t="str">
        <f>IF(Table1[[#This Row],[Monthly Income]]&lt;3000,"Low",IF(Table1[[#This Row],[Monthly Income]]&lt;7000,"Medium","High"))</f>
        <v>Medium</v>
      </c>
      <c r="AK1165" s="6"/>
      <c r="AL1165" s="6"/>
      <c r="AM1165" s="6"/>
      <c r="AN1165" s="6"/>
      <c r="AO1165" s="6"/>
      <c r="AP1165" s="6"/>
      <c r="AQ1165" s="6"/>
      <c r="AR1165" s="6"/>
      <c r="AS1165" s="6"/>
      <c r="AU1165" s="6"/>
      <c r="AV1165" s="6"/>
      <c r="AW1165" s="6"/>
      <c r="AX1165" s="6"/>
      <c r="AY1165" s="6"/>
      <c r="AZ1165" s="6"/>
      <c r="BA1165" s="6"/>
      <c r="BB1165" s="6"/>
      <c r="BC1165" s="6"/>
      <c r="BD1165" s="6"/>
      <c r="BE1165" s="6"/>
    </row>
    <row r="1166" spans="2:57" x14ac:dyDescent="0.3">
      <c r="B1166" s="4" t="s">
        <v>1189</v>
      </c>
      <c r="C1166" s="4">
        <v>42</v>
      </c>
      <c r="D1166" s="4" t="s">
        <v>17</v>
      </c>
      <c r="E1166" s="4" t="s">
        <v>15</v>
      </c>
      <c r="F1166" s="4" t="s">
        <v>39</v>
      </c>
      <c r="G1166" s="18">
        <v>18880</v>
      </c>
      <c r="H1166" s="10">
        <v>22</v>
      </c>
      <c r="I1166" s="4">
        <v>3</v>
      </c>
      <c r="J1166" s="4" t="s">
        <v>14</v>
      </c>
      <c r="K1166" s="3" t="s">
        <v>14</v>
      </c>
      <c r="L1166" s="3" t="str">
        <f>IF(Table1[[#This Row],[Monthly Income]]&lt;3000,"Low",IF(Table1[[#This Row],[Monthly Income]]&lt;7000,"Medium","High"))</f>
        <v>High</v>
      </c>
      <c r="AK1166" s="4"/>
      <c r="AL1166" s="4"/>
      <c r="AM1166" s="4"/>
      <c r="AN1166" s="4"/>
      <c r="AO1166" s="4"/>
      <c r="AP1166" s="4"/>
      <c r="AQ1166" s="4"/>
      <c r="AR1166" s="4"/>
      <c r="AS1166" s="4"/>
      <c r="AU1166" s="4"/>
      <c r="AV1166" s="4"/>
      <c r="AW1166" s="4"/>
      <c r="AX1166" s="4"/>
      <c r="AY1166" s="4"/>
      <c r="AZ1166" s="4"/>
      <c r="BA1166" s="4"/>
      <c r="BB1166" s="4"/>
      <c r="BC1166" s="4"/>
      <c r="BD1166" s="4"/>
      <c r="BE1166" s="4"/>
    </row>
    <row r="1167" spans="2:57" x14ac:dyDescent="0.3">
      <c r="B1167" s="6" t="s">
        <v>1190</v>
      </c>
      <c r="C1167" s="6">
        <v>37</v>
      </c>
      <c r="D1167" s="6" t="s">
        <v>17</v>
      </c>
      <c r="E1167" s="6" t="s">
        <v>15</v>
      </c>
      <c r="F1167" s="6" t="s">
        <v>18</v>
      </c>
      <c r="G1167" s="19">
        <v>4285</v>
      </c>
      <c r="H1167" s="11">
        <v>10</v>
      </c>
      <c r="I1167" s="6">
        <v>4</v>
      </c>
      <c r="J1167" s="6" t="s">
        <v>14</v>
      </c>
      <c r="K1167" s="5" t="s">
        <v>14</v>
      </c>
      <c r="L1167" s="3" t="str">
        <f>IF(Table1[[#This Row],[Monthly Income]]&lt;3000,"Low",IF(Table1[[#This Row],[Monthly Income]]&lt;7000,"Medium","High"))</f>
        <v>Medium</v>
      </c>
      <c r="AK1167" s="6"/>
      <c r="AL1167" s="6"/>
      <c r="AM1167" s="6"/>
      <c r="AN1167" s="6"/>
      <c r="AO1167" s="6"/>
      <c r="AP1167" s="6"/>
      <c r="AQ1167" s="6"/>
      <c r="AR1167" s="6"/>
      <c r="AS1167" s="6"/>
      <c r="AU1167" s="6"/>
      <c r="AV1167" s="6"/>
      <c r="AW1167" s="6"/>
      <c r="AX1167" s="6"/>
      <c r="AY1167" s="6"/>
      <c r="AZ1167" s="6"/>
      <c r="BA1167" s="6"/>
      <c r="BB1167" s="6"/>
      <c r="BC1167" s="6"/>
      <c r="BD1167" s="6"/>
      <c r="BE1167" s="6"/>
    </row>
    <row r="1168" spans="2:57" x14ac:dyDescent="0.3">
      <c r="B1168" s="4" t="s">
        <v>1191</v>
      </c>
      <c r="C1168" s="4">
        <v>27</v>
      </c>
      <c r="D1168" s="4" t="s">
        <v>17</v>
      </c>
      <c r="E1168" s="4" t="s">
        <v>15</v>
      </c>
      <c r="F1168" s="4" t="s">
        <v>20</v>
      </c>
      <c r="G1168" s="18">
        <v>2099</v>
      </c>
      <c r="H1168" s="10">
        <v>5</v>
      </c>
      <c r="I1168" s="4">
        <v>1</v>
      </c>
      <c r="J1168" s="4" t="s">
        <v>14</v>
      </c>
      <c r="K1168" s="3" t="s">
        <v>14</v>
      </c>
      <c r="L1168" s="3" t="str">
        <f>IF(Table1[[#This Row],[Monthly Income]]&lt;3000,"Low",IF(Table1[[#This Row],[Monthly Income]]&lt;7000,"Medium","High"))</f>
        <v>Low</v>
      </c>
      <c r="AK1168" s="4"/>
      <c r="AL1168" s="4"/>
      <c r="AM1168" s="4"/>
      <c r="AN1168" s="4"/>
      <c r="AO1168" s="4"/>
      <c r="AP1168" s="4"/>
      <c r="AQ1168" s="4"/>
      <c r="AR1168" s="4"/>
      <c r="AS1168" s="4"/>
      <c r="AU1168" s="4"/>
      <c r="AV1168" s="4"/>
      <c r="AW1168" s="4"/>
      <c r="AX1168" s="4"/>
      <c r="AY1168" s="4"/>
      <c r="AZ1168" s="4"/>
      <c r="BA1168" s="4"/>
      <c r="BB1168" s="4"/>
      <c r="BC1168" s="4"/>
      <c r="BD1168" s="4"/>
      <c r="BE1168" s="4"/>
    </row>
    <row r="1169" spans="2:57" x14ac:dyDescent="0.3">
      <c r="B1169" s="6" t="s">
        <v>1192</v>
      </c>
      <c r="C1169" s="6">
        <v>35</v>
      </c>
      <c r="D1169" s="6" t="s">
        <v>17</v>
      </c>
      <c r="E1169" s="6" t="s">
        <v>15</v>
      </c>
      <c r="F1169" s="6" t="s">
        <v>18</v>
      </c>
      <c r="G1169" s="19">
        <v>5208</v>
      </c>
      <c r="H1169" s="11">
        <v>16</v>
      </c>
      <c r="I1169" s="6">
        <v>1</v>
      </c>
      <c r="J1169" s="6" t="s">
        <v>14</v>
      </c>
      <c r="K1169" s="5" t="s">
        <v>14</v>
      </c>
      <c r="L1169" s="3" t="str">
        <f>IF(Table1[[#This Row],[Monthly Income]]&lt;3000,"Low",IF(Table1[[#This Row],[Monthly Income]]&lt;7000,"Medium","High"))</f>
        <v>Medium</v>
      </c>
      <c r="AK1169" s="6"/>
      <c r="AL1169" s="6"/>
      <c r="AM1169" s="6"/>
      <c r="AN1169" s="6"/>
      <c r="AO1169" s="6"/>
      <c r="AP1169" s="6"/>
      <c r="AQ1169" s="6"/>
      <c r="AR1169" s="6"/>
      <c r="AS1169" s="6"/>
      <c r="AU1169" s="6"/>
      <c r="AV1169" s="6"/>
      <c r="AW1169" s="6"/>
      <c r="AX1169" s="6"/>
      <c r="AY1169" s="6"/>
      <c r="AZ1169" s="6"/>
      <c r="BA1169" s="6"/>
      <c r="BB1169" s="6"/>
      <c r="BC1169" s="6"/>
      <c r="BD1169" s="6"/>
      <c r="BE1169" s="6"/>
    </row>
    <row r="1170" spans="2:57" x14ac:dyDescent="0.3">
      <c r="B1170" s="4" t="s">
        <v>1193</v>
      </c>
      <c r="C1170" s="4">
        <v>34</v>
      </c>
      <c r="D1170" s="4" t="s">
        <v>17</v>
      </c>
      <c r="E1170" s="4" t="s">
        <v>15</v>
      </c>
      <c r="F1170" s="4" t="s">
        <v>20</v>
      </c>
      <c r="G1170" s="18">
        <v>4404</v>
      </c>
      <c r="H1170" s="10">
        <v>4</v>
      </c>
      <c r="I1170" s="4">
        <v>3</v>
      </c>
      <c r="J1170" s="4" t="s">
        <v>14</v>
      </c>
      <c r="K1170" s="3" t="s">
        <v>14</v>
      </c>
      <c r="L1170" s="3" t="str">
        <f>IF(Table1[[#This Row],[Monthly Income]]&lt;3000,"Low",IF(Table1[[#This Row],[Monthly Income]]&lt;7000,"Medium","High"))</f>
        <v>Medium</v>
      </c>
      <c r="AK1170" s="4"/>
      <c r="AL1170" s="4"/>
      <c r="AM1170" s="4"/>
      <c r="AN1170" s="4"/>
      <c r="AO1170" s="4"/>
      <c r="AP1170" s="4"/>
      <c r="AQ1170" s="4"/>
      <c r="AR1170" s="4"/>
      <c r="AS1170" s="4"/>
      <c r="AU1170" s="4"/>
      <c r="AV1170" s="4"/>
      <c r="AW1170" s="4"/>
      <c r="AX1170" s="4"/>
      <c r="AY1170" s="4"/>
      <c r="AZ1170" s="4"/>
      <c r="BA1170" s="4"/>
      <c r="BB1170" s="4"/>
      <c r="BC1170" s="4"/>
      <c r="BD1170" s="4"/>
      <c r="BE1170" s="4"/>
    </row>
    <row r="1171" spans="2:57" x14ac:dyDescent="0.3">
      <c r="B1171" s="6" t="s">
        <v>1194</v>
      </c>
      <c r="C1171" s="6">
        <v>53</v>
      </c>
      <c r="D1171" s="6" t="s">
        <v>17</v>
      </c>
      <c r="E1171" s="6" t="s">
        <v>15</v>
      </c>
      <c r="F1171" s="6" t="s">
        <v>29</v>
      </c>
      <c r="G1171" s="19">
        <v>7005</v>
      </c>
      <c r="H1171" s="11">
        <v>4</v>
      </c>
      <c r="I1171" s="6">
        <v>4</v>
      </c>
      <c r="J1171" s="6" t="s">
        <v>14</v>
      </c>
      <c r="K1171" s="5" t="s">
        <v>14</v>
      </c>
      <c r="L1171" s="3" t="str">
        <f>IF(Table1[[#This Row],[Monthly Income]]&lt;3000,"Low",IF(Table1[[#This Row],[Monthly Income]]&lt;7000,"Medium","High"))</f>
        <v>High</v>
      </c>
      <c r="AK1171" s="6"/>
      <c r="AL1171" s="6"/>
      <c r="AM1171" s="6"/>
      <c r="AN1171" s="6"/>
      <c r="AO1171" s="6"/>
      <c r="AP1171" s="6"/>
      <c r="AQ1171" s="6"/>
      <c r="AR1171" s="6"/>
      <c r="AS1171" s="6"/>
      <c r="AU1171" s="6"/>
      <c r="AV1171" s="6"/>
      <c r="AW1171" s="6"/>
      <c r="AX1171" s="6"/>
      <c r="AY1171" s="6"/>
      <c r="AZ1171" s="6"/>
      <c r="BA1171" s="6"/>
      <c r="BB1171" s="6"/>
      <c r="BC1171" s="6"/>
      <c r="BD1171" s="6"/>
      <c r="BE1171" s="6"/>
    </row>
    <row r="1172" spans="2:57" x14ac:dyDescent="0.3">
      <c r="B1172" s="4" t="s">
        <v>1195</v>
      </c>
      <c r="C1172" s="4">
        <v>48</v>
      </c>
      <c r="D1172" s="4" t="s">
        <v>17</v>
      </c>
      <c r="E1172" s="4" t="s">
        <v>15</v>
      </c>
      <c r="F1172" s="4" t="s">
        <v>45</v>
      </c>
      <c r="G1172" s="18">
        <v>19665</v>
      </c>
      <c r="H1172" s="10">
        <v>22</v>
      </c>
      <c r="I1172" s="4">
        <v>2</v>
      </c>
      <c r="J1172" s="4" t="s">
        <v>14</v>
      </c>
      <c r="K1172" s="3" t="s">
        <v>14</v>
      </c>
      <c r="L1172" s="3" t="str">
        <f>IF(Table1[[#This Row],[Monthly Income]]&lt;3000,"Low",IF(Table1[[#This Row],[Monthly Income]]&lt;7000,"Medium","High"))</f>
        <v>High</v>
      </c>
      <c r="AK1172" s="4"/>
      <c r="AL1172" s="4"/>
      <c r="AM1172" s="4"/>
      <c r="AN1172" s="4"/>
      <c r="AO1172" s="4"/>
      <c r="AP1172" s="4"/>
      <c r="AQ1172" s="4"/>
      <c r="AR1172" s="4"/>
      <c r="AS1172" s="4"/>
      <c r="AU1172" s="4"/>
      <c r="AV1172" s="4"/>
      <c r="AW1172" s="4"/>
      <c r="AX1172" s="4"/>
      <c r="AY1172" s="4"/>
      <c r="AZ1172" s="4"/>
      <c r="BA1172" s="4"/>
      <c r="BB1172" s="4"/>
      <c r="BC1172" s="4"/>
      <c r="BD1172" s="4"/>
      <c r="BE1172" s="4"/>
    </row>
    <row r="1173" spans="2:57" x14ac:dyDescent="0.3">
      <c r="B1173" s="6" t="s">
        <v>1196</v>
      </c>
      <c r="C1173" s="6">
        <v>30</v>
      </c>
      <c r="D1173" s="6" t="s">
        <v>17</v>
      </c>
      <c r="E1173" s="6" t="s">
        <v>15</v>
      </c>
      <c r="F1173" s="6" t="s">
        <v>20</v>
      </c>
      <c r="G1173" s="19">
        <v>3748</v>
      </c>
      <c r="H1173" s="11">
        <v>12</v>
      </c>
      <c r="I1173" s="6">
        <v>2</v>
      </c>
      <c r="J1173" s="6" t="s">
        <v>14</v>
      </c>
      <c r="K1173" s="5" t="s">
        <v>14</v>
      </c>
      <c r="L1173" s="3" t="str">
        <f>IF(Table1[[#This Row],[Monthly Income]]&lt;3000,"Low",IF(Table1[[#This Row],[Monthly Income]]&lt;7000,"Medium","High"))</f>
        <v>Medium</v>
      </c>
      <c r="AK1173" s="6"/>
      <c r="AL1173" s="6"/>
      <c r="AM1173" s="6"/>
      <c r="AN1173" s="6"/>
      <c r="AO1173" s="6"/>
      <c r="AP1173" s="6"/>
      <c r="AQ1173" s="6"/>
      <c r="AR1173" s="6"/>
      <c r="AS1173" s="6"/>
      <c r="AU1173" s="6"/>
      <c r="AV1173" s="6"/>
      <c r="AW1173" s="6"/>
      <c r="AX1173" s="6"/>
      <c r="AY1173" s="6"/>
      <c r="AZ1173" s="6"/>
      <c r="BA1173" s="6"/>
      <c r="BB1173" s="6"/>
      <c r="BC1173" s="6"/>
      <c r="BD1173" s="6"/>
      <c r="BE1173" s="6"/>
    </row>
    <row r="1174" spans="2:57" x14ac:dyDescent="0.3">
      <c r="B1174" s="4" t="s">
        <v>1197</v>
      </c>
      <c r="C1174" s="4">
        <v>29</v>
      </c>
      <c r="D1174" s="4" t="s">
        <v>17</v>
      </c>
      <c r="E1174" s="4" t="s">
        <v>15</v>
      </c>
      <c r="F1174" s="4" t="s">
        <v>29</v>
      </c>
      <c r="G1174" s="18">
        <v>5373</v>
      </c>
      <c r="H1174" s="10">
        <v>5</v>
      </c>
      <c r="I1174" s="4">
        <v>1</v>
      </c>
      <c r="J1174" s="4" t="s">
        <v>14</v>
      </c>
      <c r="K1174" s="3" t="s">
        <v>14</v>
      </c>
      <c r="L1174" s="3" t="str">
        <f>IF(Table1[[#This Row],[Monthly Income]]&lt;3000,"Low",IF(Table1[[#This Row],[Monthly Income]]&lt;7000,"Medium","High"))</f>
        <v>Medium</v>
      </c>
      <c r="AK1174" s="4"/>
      <c r="AL1174" s="4"/>
      <c r="AM1174" s="4"/>
      <c r="AN1174" s="4"/>
      <c r="AO1174" s="4"/>
      <c r="AP1174" s="4"/>
      <c r="AQ1174" s="4"/>
      <c r="AR1174" s="4"/>
      <c r="AS1174" s="4"/>
      <c r="AU1174" s="4"/>
      <c r="AV1174" s="4"/>
      <c r="AW1174" s="4"/>
      <c r="AX1174" s="4"/>
      <c r="AY1174" s="4"/>
      <c r="AZ1174" s="4"/>
      <c r="BA1174" s="4"/>
      <c r="BB1174" s="4"/>
      <c r="BC1174" s="4"/>
      <c r="BD1174" s="4"/>
      <c r="BE1174" s="4"/>
    </row>
    <row r="1175" spans="2:57" x14ac:dyDescent="0.3">
      <c r="B1175" s="6" t="s">
        <v>1198</v>
      </c>
      <c r="C1175" s="6">
        <v>49</v>
      </c>
      <c r="D1175" s="6" t="s">
        <v>17</v>
      </c>
      <c r="E1175" s="6" t="s">
        <v>15</v>
      </c>
      <c r="F1175" s="6" t="s">
        <v>29</v>
      </c>
      <c r="G1175" s="19">
        <v>6651</v>
      </c>
      <c r="H1175" s="11">
        <v>3</v>
      </c>
      <c r="I1175" s="6">
        <v>3</v>
      </c>
      <c r="J1175" s="6" t="s">
        <v>14</v>
      </c>
      <c r="K1175" s="5" t="s">
        <v>14</v>
      </c>
      <c r="L1175" s="3" t="str">
        <f>IF(Table1[[#This Row],[Monthly Income]]&lt;3000,"Low",IF(Table1[[#This Row],[Monthly Income]]&lt;7000,"Medium","High"))</f>
        <v>Medium</v>
      </c>
      <c r="AK1175" s="6"/>
      <c r="AL1175" s="6"/>
      <c r="AM1175" s="6"/>
      <c r="AN1175" s="6"/>
      <c r="AO1175" s="6"/>
      <c r="AP1175" s="6"/>
      <c r="AQ1175" s="6"/>
      <c r="AR1175" s="6"/>
      <c r="AS1175" s="6"/>
      <c r="AU1175" s="6"/>
      <c r="AV1175" s="6"/>
      <c r="AW1175" s="6"/>
      <c r="AX1175" s="6"/>
      <c r="AY1175" s="6"/>
      <c r="AZ1175" s="6"/>
      <c r="BA1175" s="6"/>
      <c r="BB1175" s="6"/>
      <c r="BC1175" s="6"/>
      <c r="BD1175" s="6"/>
      <c r="BE1175" s="6"/>
    </row>
    <row r="1176" spans="2:57" x14ac:dyDescent="0.3">
      <c r="B1176" s="4" t="s">
        <v>1199</v>
      </c>
      <c r="C1176" s="4">
        <v>43</v>
      </c>
      <c r="D1176" s="4" t="s">
        <v>17</v>
      </c>
      <c r="E1176" s="4" t="s">
        <v>15</v>
      </c>
      <c r="F1176" s="4" t="s">
        <v>29</v>
      </c>
      <c r="G1176" s="18">
        <v>7510</v>
      </c>
      <c r="H1176" s="10">
        <v>10</v>
      </c>
      <c r="I1176" s="4">
        <v>3</v>
      </c>
      <c r="J1176" s="4" t="s">
        <v>14</v>
      </c>
      <c r="K1176" s="3" t="s">
        <v>14</v>
      </c>
      <c r="L1176" s="3" t="str">
        <f>IF(Table1[[#This Row],[Monthly Income]]&lt;3000,"Low",IF(Table1[[#This Row],[Monthly Income]]&lt;7000,"Medium","High"))</f>
        <v>High</v>
      </c>
      <c r="AK1176" s="4"/>
      <c r="AL1176" s="4"/>
      <c r="AM1176" s="4"/>
      <c r="AN1176" s="4"/>
      <c r="AO1176" s="4"/>
      <c r="AP1176" s="4"/>
      <c r="AQ1176" s="4"/>
      <c r="AR1176" s="4"/>
      <c r="AS1176" s="4"/>
      <c r="AU1176" s="4"/>
      <c r="AV1176" s="4"/>
      <c r="AW1176" s="4"/>
      <c r="AX1176" s="4"/>
      <c r="AY1176" s="4"/>
      <c r="AZ1176" s="4"/>
      <c r="BA1176" s="4"/>
      <c r="BB1176" s="4"/>
      <c r="BC1176" s="4"/>
      <c r="BD1176" s="4"/>
      <c r="BE1176" s="4"/>
    </row>
    <row r="1177" spans="2:57" x14ac:dyDescent="0.3">
      <c r="B1177" s="6" t="s">
        <v>1200</v>
      </c>
      <c r="C1177" s="6">
        <v>25</v>
      </c>
      <c r="D1177" s="6" t="s">
        <v>17</v>
      </c>
      <c r="E1177" s="6" t="s">
        <v>15</v>
      </c>
      <c r="F1177" s="6" t="s">
        <v>20</v>
      </c>
      <c r="G1177" s="19">
        <v>3229</v>
      </c>
      <c r="H1177" s="11">
        <v>3</v>
      </c>
      <c r="I1177" s="6">
        <v>4</v>
      </c>
      <c r="J1177" s="6" t="s">
        <v>14</v>
      </c>
      <c r="K1177" s="5" t="s">
        <v>14</v>
      </c>
      <c r="L1177" s="3" t="str">
        <f>IF(Table1[[#This Row],[Monthly Income]]&lt;3000,"Low",IF(Table1[[#This Row],[Monthly Income]]&lt;7000,"Medium","High"))</f>
        <v>Medium</v>
      </c>
      <c r="AK1177" s="6"/>
      <c r="AL1177" s="6"/>
      <c r="AM1177" s="6"/>
      <c r="AN1177" s="6"/>
      <c r="AO1177" s="6"/>
      <c r="AP1177" s="6"/>
      <c r="AQ1177" s="6"/>
      <c r="AR1177" s="6"/>
      <c r="AS1177" s="6"/>
      <c r="AU1177" s="6"/>
      <c r="AV1177" s="6"/>
      <c r="AW1177" s="6"/>
      <c r="AX1177" s="6"/>
      <c r="AY1177" s="6"/>
      <c r="AZ1177" s="6"/>
      <c r="BA1177" s="6"/>
      <c r="BB1177" s="6"/>
      <c r="BC1177" s="6"/>
      <c r="BD1177" s="6"/>
      <c r="BE1177" s="6"/>
    </row>
    <row r="1178" spans="2:57" x14ac:dyDescent="0.3">
      <c r="B1178" s="4" t="s">
        <v>1201</v>
      </c>
      <c r="C1178" s="4">
        <v>47</v>
      </c>
      <c r="D1178" s="4" t="s">
        <v>17</v>
      </c>
      <c r="E1178" s="4" t="s">
        <v>15</v>
      </c>
      <c r="F1178" s="4" t="s">
        <v>18</v>
      </c>
      <c r="G1178" s="18">
        <v>3420</v>
      </c>
      <c r="H1178" s="10">
        <v>6</v>
      </c>
      <c r="I1178" s="4">
        <v>4</v>
      </c>
      <c r="J1178" s="4" t="s">
        <v>14</v>
      </c>
      <c r="K1178" s="3" t="s">
        <v>14</v>
      </c>
      <c r="L1178" s="3" t="str">
        <f>IF(Table1[[#This Row],[Monthly Income]]&lt;3000,"Low",IF(Table1[[#This Row],[Monthly Income]]&lt;7000,"Medium","High"))</f>
        <v>Medium</v>
      </c>
      <c r="AK1178" s="4"/>
      <c r="AL1178" s="4"/>
      <c r="AM1178" s="4"/>
      <c r="AN1178" s="4"/>
      <c r="AO1178" s="4"/>
      <c r="AP1178" s="4"/>
      <c r="AQ1178" s="4"/>
      <c r="AR1178" s="4"/>
      <c r="AS1178" s="4"/>
      <c r="AU1178" s="4"/>
      <c r="AV1178" s="4"/>
      <c r="AW1178" s="4"/>
      <c r="AX1178" s="4"/>
      <c r="AY1178" s="4"/>
      <c r="AZ1178" s="4"/>
      <c r="BA1178" s="4"/>
      <c r="BB1178" s="4"/>
      <c r="BC1178" s="4"/>
      <c r="BD1178" s="4"/>
      <c r="BE1178" s="4"/>
    </row>
    <row r="1179" spans="2:57" x14ac:dyDescent="0.3">
      <c r="B1179" s="6" t="s">
        <v>1202</v>
      </c>
      <c r="C1179" s="6">
        <v>35</v>
      </c>
      <c r="D1179" s="6" t="s">
        <v>17</v>
      </c>
      <c r="E1179" s="6" t="s">
        <v>15</v>
      </c>
      <c r="F1179" s="6" t="s">
        <v>20</v>
      </c>
      <c r="G1179" s="19">
        <v>2705</v>
      </c>
      <c r="H1179" s="11">
        <v>5</v>
      </c>
      <c r="I1179" s="6">
        <v>3</v>
      </c>
      <c r="J1179" s="6" t="s">
        <v>14</v>
      </c>
      <c r="K1179" s="5" t="s">
        <v>14</v>
      </c>
      <c r="L1179" s="3" t="str">
        <f>IF(Table1[[#This Row],[Monthly Income]]&lt;3000,"Low",IF(Table1[[#This Row],[Monthly Income]]&lt;7000,"Medium","High"))</f>
        <v>Low</v>
      </c>
      <c r="AK1179" s="6"/>
      <c r="AL1179" s="6"/>
      <c r="AM1179" s="6"/>
      <c r="AN1179" s="6"/>
      <c r="AO1179" s="6"/>
      <c r="AP1179" s="6"/>
      <c r="AQ1179" s="6"/>
      <c r="AR1179" s="6"/>
      <c r="AS1179" s="6"/>
      <c r="AU1179" s="6"/>
      <c r="AV1179" s="6"/>
      <c r="AW1179" s="6"/>
      <c r="AX1179" s="6"/>
      <c r="AY1179" s="6"/>
      <c r="AZ1179" s="6"/>
      <c r="BA1179" s="6"/>
      <c r="BB1179" s="6"/>
      <c r="BC1179" s="6"/>
      <c r="BD1179" s="6"/>
      <c r="BE1179" s="6"/>
    </row>
    <row r="1180" spans="2:57" x14ac:dyDescent="0.3">
      <c r="B1180" s="4" t="s">
        <v>1203</v>
      </c>
      <c r="C1180" s="4">
        <v>30</v>
      </c>
      <c r="D1180" s="4" t="s">
        <v>17</v>
      </c>
      <c r="E1180" s="4" t="s">
        <v>15</v>
      </c>
      <c r="F1180" s="4" t="s">
        <v>18</v>
      </c>
      <c r="G1180" s="18">
        <v>2141</v>
      </c>
      <c r="H1180" s="10">
        <v>6</v>
      </c>
      <c r="I1180" s="4">
        <v>2</v>
      </c>
      <c r="J1180" s="4" t="s">
        <v>14</v>
      </c>
      <c r="K1180" s="3" t="s">
        <v>14</v>
      </c>
      <c r="L1180" s="3" t="str">
        <f>IF(Table1[[#This Row],[Monthly Income]]&lt;3000,"Low",IF(Table1[[#This Row],[Monthly Income]]&lt;7000,"Medium","High"))</f>
        <v>Low</v>
      </c>
      <c r="AK1180" s="4"/>
      <c r="AL1180" s="4"/>
      <c r="AM1180" s="4"/>
      <c r="AN1180" s="4"/>
      <c r="AO1180" s="4"/>
      <c r="AP1180" s="4"/>
      <c r="AQ1180" s="4"/>
      <c r="AR1180" s="4"/>
      <c r="AS1180" s="4"/>
      <c r="AU1180" s="4"/>
      <c r="AV1180" s="4"/>
      <c r="AW1180" s="4"/>
      <c r="AX1180" s="4"/>
      <c r="AY1180" s="4"/>
      <c r="AZ1180" s="4"/>
      <c r="BA1180" s="4"/>
      <c r="BB1180" s="4"/>
      <c r="BC1180" s="4"/>
      <c r="BD1180" s="4"/>
      <c r="BE1180" s="4"/>
    </row>
    <row r="1181" spans="2:57" x14ac:dyDescent="0.3">
      <c r="B1181" s="6" t="s">
        <v>1204</v>
      </c>
      <c r="C1181" s="6">
        <v>34</v>
      </c>
      <c r="D1181" s="6" t="s">
        <v>17</v>
      </c>
      <c r="E1181" s="6" t="s">
        <v>15</v>
      </c>
      <c r="F1181" s="6" t="s">
        <v>20</v>
      </c>
      <c r="G1181" s="19">
        <v>3986</v>
      </c>
      <c r="H1181" s="11">
        <v>15</v>
      </c>
      <c r="I1181" s="6">
        <v>4</v>
      </c>
      <c r="J1181" s="6" t="s">
        <v>14</v>
      </c>
      <c r="K1181" s="5" t="s">
        <v>14</v>
      </c>
      <c r="L1181" s="3" t="str">
        <f>IF(Table1[[#This Row],[Monthly Income]]&lt;3000,"Low",IF(Table1[[#This Row],[Monthly Income]]&lt;7000,"Medium","High"))</f>
        <v>Medium</v>
      </c>
      <c r="AK1181" s="6"/>
      <c r="AL1181" s="6"/>
      <c r="AM1181" s="6"/>
      <c r="AN1181" s="6"/>
      <c r="AO1181" s="6"/>
      <c r="AP1181" s="6"/>
      <c r="AQ1181" s="6"/>
      <c r="AR1181" s="6"/>
      <c r="AS1181" s="6"/>
      <c r="AU1181" s="6"/>
      <c r="AV1181" s="6"/>
      <c r="AW1181" s="6"/>
      <c r="AX1181" s="6"/>
      <c r="AY1181" s="6"/>
      <c r="AZ1181" s="6"/>
      <c r="BA1181" s="6"/>
      <c r="BB1181" s="6"/>
      <c r="BC1181" s="6"/>
      <c r="BD1181" s="6"/>
      <c r="BE1181" s="6"/>
    </row>
    <row r="1182" spans="2:57" x14ac:dyDescent="0.3">
      <c r="B1182" s="4" t="s">
        <v>1205</v>
      </c>
      <c r="C1182" s="4">
        <v>27</v>
      </c>
      <c r="D1182" s="4" t="s">
        <v>17</v>
      </c>
      <c r="E1182" s="4" t="s">
        <v>15</v>
      </c>
      <c r="F1182" s="4" t="s">
        <v>18</v>
      </c>
      <c r="G1182" s="18">
        <v>2226</v>
      </c>
      <c r="H1182" s="10">
        <v>5</v>
      </c>
      <c r="I1182" s="4">
        <v>2</v>
      </c>
      <c r="J1182" s="4" t="s">
        <v>14</v>
      </c>
      <c r="K1182" s="3" t="s">
        <v>14</v>
      </c>
      <c r="L1182" s="3" t="str">
        <f>IF(Table1[[#This Row],[Monthly Income]]&lt;3000,"Low",IF(Table1[[#This Row],[Monthly Income]]&lt;7000,"Medium","High"))</f>
        <v>Low</v>
      </c>
      <c r="AK1182" s="4"/>
      <c r="AL1182" s="4"/>
      <c r="AM1182" s="4"/>
      <c r="AN1182" s="4"/>
      <c r="AO1182" s="4"/>
      <c r="AP1182" s="4"/>
      <c r="AQ1182" s="4"/>
      <c r="AR1182" s="4"/>
      <c r="AS1182" s="4"/>
      <c r="AU1182" s="4"/>
      <c r="AV1182" s="4"/>
      <c r="AW1182" s="4"/>
      <c r="AX1182" s="4"/>
      <c r="AY1182" s="4"/>
      <c r="AZ1182" s="4"/>
      <c r="BA1182" s="4"/>
      <c r="BB1182" s="4"/>
      <c r="BC1182" s="4"/>
      <c r="BD1182" s="4"/>
      <c r="BE1182" s="4"/>
    </row>
    <row r="1183" spans="2:57" x14ac:dyDescent="0.3">
      <c r="B1183" s="6" t="s">
        <v>1206</v>
      </c>
      <c r="C1183" s="6">
        <v>31</v>
      </c>
      <c r="D1183" s="6" t="s">
        <v>17</v>
      </c>
      <c r="E1183" s="6" t="s">
        <v>15</v>
      </c>
      <c r="F1183" s="6" t="s">
        <v>20</v>
      </c>
      <c r="G1183" s="19">
        <v>3477</v>
      </c>
      <c r="H1183" s="11">
        <v>5</v>
      </c>
      <c r="I1183" s="6">
        <v>3</v>
      </c>
      <c r="J1183" s="6" t="s">
        <v>14</v>
      </c>
      <c r="K1183" s="5" t="s">
        <v>14</v>
      </c>
      <c r="L1183" s="3" t="str">
        <f>IF(Table1[[#This Row],[Monthly Income]]&lt;3000,"Low",IF(Table1[[#This Row],[Monthly Income]]&lt;7000,"Medium","High"))</f>
        <v>Medium</v>
      </c>
      <c r="AK1183" s="6"/>
      <c r="AL1183" s="6"/>
      <c r="AM1183" s="6"/>
      <c r="AN1183" s="6"/>
      <c r="AO1183" s="6"/>
      <c r="AP1183" s="6"/>
      <c r="AQ1183" s="6"/>
      <c r="AR1183" s="6"/>
      <c r="AS1183" s="6"/>
      <c r="AU1183" s="6"/>
      <c r="AV1183" s="6"/>
      <c r="AW1183" s="6"/>
      <c r="AX1183" s="6"/>
      <c r="AY1183" s="6"/>
      <c r="AZ1183" s="6"/>
      <c r="BA1183" s="6"/>
      <c r="BB1183" s="6"/>
      <c r="BC1183" s="6"/>
      <c r="BD1183" s="6"/>
      <c r="BE1183" s="6"/>
    </row>
    <row r="1184" spans="2:57" x14ac:dyDescent="0.3">
      <c r="B1184" s="4" t="s">
        <v>1207</v>
      </c>
      <c r="C1184" s="4">
        <v>30</v>
      </c>
      <c r="D1184" s="4" t="s">
        <v>17</v>
      </c>
      <c r="E1184" s="4" t="s">
        <v>15</v>
      </c>
      <c r="F1184" s="4" t="s">
        <v>18</v>
      </c>
      <c r="G1184" s="18">
        <v>2862</v>
      </c>
      <c r="H1184" s="10">
        <v>10</v>
      </c>
      <c r="I1184" s="4">
        <v>4</v>
      </c>
      <c r="J1184" s="4" t="s">
        <v>14</v>
      </c>
      <c r="K1184" s="3" t="s">
        <v>14</v>
      </c>
      <c r="L1184" s="3" t="str">
        <f>IF(Table1[[#This Row],[Monthly Income]]&lt;3000,"Low",IF(Table1[[#This Row],[Monthly Income]]&lt;7000,"Medium","High"))</f>
        <v>Low</v>
      </c>
      <c r="AK1184" s="4"/>
      <c r="AL1184" s="4"/>
      <c r="AM1184" s="4"/>
      <c r="AN1184" s="4"/>
      <c r="AO1184" s="4"/>
      <c r="AP1184" s="4"/>
      <c r="AQ1184" s="4"/>
      <c r="AR1184" s="4"/>
      <c r="AS1184" s="4"/>
      <c r="AU1184" s="4"/>
      <c r="AV1184" s="4"/>
      <c r="AW1184" s="4"/>
      <c r="AX1184" s="4"/>
      <c r="AY1184" s="4"/>
      <c r="AZ1184" s="4"/>
      <c r="BA1184" s="4"/>
      <c r="BB1184" s="4"/>
      <c r="BC1184" s="4"/>
      <c r="BD1184" s="4"/>
      <c r="BE1184" s="4"/>
    </row>
    <row r="1185" spans="2:57" x14ac:dyDescent="0.3">
      <c r="B1185" s="6" t="s">
        <v>1208</v>
      </c>
      <c r="C1185" s="6">
        <v>34</v>
      </c>
      <c r="D1185" s="6" t="s">
        <v>17</v>
      </c>
      <c r="E1185" s="6" t="s">
        <v>15</v>
      </c>
      <c r="F1185" s="6" t="s">
        <v>18</v>
      </c>
      <c r="G1185" s="19">
        <v>5484</v>
      </c>
      <c r="H1185" s="11">
        <v>2</v>
      </c>
      <c r="I1185" s="6">
        <v>4</v>
      </c>
      <c r="J1185" s="6" t="s">
        <v>14</v>
      </c>
      <c r="K1185" s="5" t="s">
        <v>14</v>
      </c>
      <c r="L1185" s="3" t="str">
        <f>IF(Table1[[#This Row],[Monthly Income]]&lt;3000,"Low",IF(Table1[[#This Row],[Monthly Income]]&lt;7000,"Medium","High"))</f>
        <v>Medium</v>
      </c>
      <c r="AK1185" s="6"/>
      <c r="AL1185" s="6"/>
      <c r="AM1185" s="6"/>
      <c r="AN1185" s="6"/>
      <c r="AO1185" s="6"/>
      <c r="AP1185" s="6"/>
      <c r="AQ1185" s="6"/>
      <c r="AR1185" s="6"/>
      <c r="AS1185" s="6"/>
      <c r="AU1185" s="6"/>
      <c r="AV1185" s="6"/>
      <c r="AW1185" s="6"/>
      <c r="AX1185" s="6"/>
      <c r="AY1185" s="6"/>
      <c r="AZ1185" s="6"/>
      <c r="BA1185" s="6"/>
      <c r="BB1185" s="6"/>
      <c r="BC1185" s="6"/>
      <c r="BD1185" s="6"/>
      <c r="BE1185" s="6"/>
    </row>
    <row r="1186" spans="2:57" x14ac:dyDescent="0.3">
      <c r="B1186" s="4" t="s">
        <v>1209</v>
      </c>
      <c r="C1186" s="4">
        <v>44</v>
      </c>
      <c r="D1186" s="4" t="s">
        <v>17</v>
      </c>
      <c r="E1186" s="4" t="s">
        <v>15</v>
      </c>
      <c r="F1186" s="4" t="s">
        <v>29</v>
      </c>
      <c r="G1186" s="18">
        <v>5033</v>
      </c>
      <c r="H1186" s="10">
        <v>2</v>
      </c>
      <c r="I1186" s="4">
        <v>1</v>
      </c>
      <c r="J1186" s="4" t="s">
        <v>14</v>
      </c>
      <c r="K1186" s="3" t="s">
        <v>14</v>
      </c>
      <c r="L1186" s="3" t="str">
        <f>IF(Table1[[#This Row],[Monthly Income]]&lt;3000,"Low",IF(Table1[[#This Row],[Monthly Income]]&lt;7000,"Medium","High"))</f>
        <v>Medium</v>
      </c>
      <c r="AK1186" s="4"/>
      <c r="AL1186" s="4"/>
      <c r="AM1186" s="4"/>
      <c r="AN1186" s="4"/>
      <c r="AO1186" s="4"/>
      <c r="AP1186" s="4"/>
      <c r="AQ1186" s="4"/>
      <c r="AR1186" s="4"/>
      <c r="AS1186" s="4"/>
      <c r="AU1186" s="4"/>
      <c r="AV1186" s="4"/>
      <c r="AW1186" s="4"/>
      <c r="AX1186" s="4"/>
      <c r="AY1186" s="4"/>
      <c r="AZ1186" s="4"/>
      <c r="BA1186" s="4"/>
      <c r="BB1186" s="4"/>
      <c r="BC1186" s="4"/>
      <c r="BD1186" s="4"/>
      <c r="BE1186" s="4"/>
    </row>
    <row r="1187" spans="2:57" x14ac:dyDescent="0.3">
      <c r="B1187" s="6" t="s">
        <v>1210</v>
      </c>
      <c r="C1187" s="6">
        <v>42</v>
      </c>
      <c r="D1187" s="6" t="s">
        <v>17</v>
      </c>
      <c r="E1187" s="6" t="s">
        <v>15</v>
      </c>
      <c r="F1187" s="6" t="s">
        <v>20</v>
      </c>
      <c r="G1187" s="19">
        <v>4841</v>
      </c>
      <c r="H1187" s="11">
        <v>1</v>
      </c>
      <c r="I1187" s="6">
        <v>2</v>
      </c>
      <c r="J1187" s="6" t="s">
        <v>14</v>
      </c>
      <c r="K1187" s="5" t="s">
        <v>14</v>
      </c>
      <c r="L1187" s="3" t="str">
        <f>IF(Table1[[#This Row],[Monthly Income]]&lt;3000,"Low",IF(Table1[[#This Row],[Monthly Income]]&lt;7000,"Medium","High"))</f>
        <v>Medium</v>
      </c>
      <c r="AK1187" s="6"/>
      <c r="AL1187" s="6"/>
      <c r="AM1187" s="6"/>
      <c r="AN1187" s="6"/>
      <c r="AO1187" s="6"/>
      <c r="AP1187" s="6"/>
      <c r="AQ1187" s="6"/>
      <c r="AR1187" s="6"/>
      <c r="AS1187" s="6"/>
      <c r="AU1187" s="6"/>
      <c r="AV1187" s="6"/>
      <c r="AW1187" s="6"/>
      <c r="AX1187" s="6"/>
      <c r="AY1187" s="6"/>
      <c r="AZ1187" s="6"/>
      <c r="BA1187" s="6"/>
      <c r="BB1187" s="6"/>
      <c r="BC1187" s="6"/>
      <c r="BD1187" s="6"/>
      <c r="BE1187" s="6"/>
    </row>
    <row r="1188" spans="2:57" x14ac:dyDescent="0.3">
      <c r="B1188" s="4" t="s">
        <v>1211</v>
      </c>
      <c r="C1188" s="4">
        <v>35</v>
      </c>
      <c r="D1188" s="4" t="s">
        <v>17</v>
      </c>
      <c r="E1188" s="4" t="s">
        <v>15</v>
      </c>
      <c r="F1188" s="4" t="s">
        <v>20</v>
      </c>
      <c r="G1188" s="18">
        <v>2690</v>
      </c>
      <c r="H1188" s="10">
        <v>1</v>
      </c>
      <c r="I1188" s="4">
        <v>4</v>
      </c>
      <c r="J1188" s="4" t="s">
        <v>14</v>
      </c>
      <c r="K1188" s="3" t="s">
        <v>14</v>
      </c>
      <c r="L1188" s="3" t="str">
        <f>IF(Table1[[#This Row],[Monthly Income]]&lt;3000,"Low",IF(Table1[[#This Row],[Monthly Income]]&lt;7000,"Medium","High"))</f>
        <v>Low</v>
      </c>
      <c r="AK1188" s="4"/>
      <c r="AL1188" s="4"/>
      <c r="AM1188" s="4"/>
      <c r="AN1188" s="4"/>
      <c r="AO1188" s="4"/>
      <c r="AP1188" s="4"/>
      <c r="AQ1188" s="4"/>
      <c r="AR1188" s="4"/>
      <c r="AS1188" s="4"/>
      <c r="AU1188" s="4"/>
      <c r="AV1188" s="4"/>
      <c r="AW1188" s="4"/>
      <c r="AX1188" s="4"/>
      <c r="AY1188" s="4"/>
      <c r="AZ1188" s="4"/>
      <c r="BA1188" s="4"/>
      <c r="BB1188" s="4"/>
      <c r="BC1188" s="4"/>
      <c r="BD1188" s="4"/>
      <c r="BE1188" s="4"/>
    </row>
    <row r="1189" spans="2:57" x14ac:dyDescent="0.3">
      <c r="B1189" s="6" t="s">
        <v>1212</v>
      </c>
      <c r="C1189" s="6">
        <v>42</v>
      </c>
      <c r="D1189" s="6" t="s">
        <v>17</v>
      </c>
      <c r="E1189" s="6" t="s">
        <v>15</v>
      </c>
      <c r="F1189" s="6" t="s">
        <v>45</v>
      </c>
      <c r="G1189" s="19">
        <v>13348</v>
      </c>
      <c r="H1189" s="11">
        <v>13</v>
      </c>
      <c r="I1189" s="6">
        <v>1</v>
      </c>
      <c r="J1189" s="6" t="s">
        <v>14</v>
      </c>
      <c r="K1189" s="5" t="s">
        <v>14</v>
      </c>
      <c r="L1189" s="3" t="str">
        <f>IF(Table1[[#This Row],[Monthly Income]]&lt;3000,"Low",IF(Table1[[#This Row],[Monthly Income]]&lt;7000,"Medium","High"))</f>
        <v>High</v>
      </c>
      <c r="AK1189" s="6"/>
      <c r="AL1189" s="6"/>
      <c r="AM1189" s="6"/>
      <c r="AN1189" s="6"/>
      <c r="AO1189" s="6"/>
      <c r="AP1189" s="6"/>
      <c r="AQ1189" s="6"/>
      <c r="AR1189" s="6"/>
      <c r="AS1189" s="6"/>
      <c r="AU1189" s="6"/>
      <c r="AV1189" s="6"/>
      <c r="AW1189" s="6"/>
      <c r="AX1189" s="6"/>
      <c r="AY1189" s="6"/>
      <c r="AZ1189" s="6"/>
      <c r="BA1189" s="6"/>
      <c r="BB1189" s="6"/>
      <c r="BC1189" s="6"/>
      <c r="BD1189" s="6"/>
      <c r="BE1189" s="6"/>
    </row>
    <row r="1190" spans="2:57" x14ac:dyDescent="0.3">
      <c r="B1190" s="4" t="s">
        <v>1213</v>
      </c>
      <c r="C1190" s="4">
        <v>28</v>
      </c>
      <c r="D1190" s="4" t="s">
        <v>17</v>
      </c>
      <c r="E1190" s="4" t="s">
        <v>15</v>
      </c>
      <c r="F1190" s="4" t="s">
        <v>18</v>
      </c>
      <c r="G1190" s="18">
        <v>2044</v>
      </c>
      <c r="H1190" s="10">
        <v>5</v>
      </c>
      <c r="I1190" s="4">
        <v>4</v>
      </c>
      <c r="J1190" s="4" t="s">
        <v>14</v>
      </c>
      <c r="K1190" s="3" t="s">
        <v>14</v>
      </c>
      <c r="L1190" s="3" t="str">
        <f>IF(Table1[[#This Row],[Monthly Income]]&lt;3000,"Low",IF(Table1[[#This Row],[Monthly Income]]&lt;7000,"Medium","High"))</f>
        <v>Low</v>
      </c>
      <c r="AK1190" s="4"/>
      <c r="AL1190" s="4"/>
      <c r="AM1190" s="4"/>
      <c r="AN1190" s="4"/>
      <c r="AO1190" s="4"/>
      <c r="AP1190" s="4"/>
      <c r="AQ1190" s="4"/>
      <c r="AR1190" s="4"/>
      <c r="AS1190" s="4"/>
      <c r="AU1190" s="4"/>
      <c r="AV1190" s="4"/>
      <c r="AW1190" s="4"/>
      <c r="AX1190" s="4"/>
      <c r="AY1190" s="4"/>
      <c r="AZ1190" s="4"/>
      <c r="BA1190" s="4"/>
      <c r="BB1190" s="4"/>
      <c r="BC1190" s="4"/>
      <c r="BD1190" s="4"/>
      <c r="BE1190" s="4"/>
    </row>
    <row r="1191" spans="2:57" x14ac:dyDescent="0.3">
      <c r="B1191" s="6" t="s">
        <v>1214</v>
      </c>
      <c r="C1191" s="6">
        <v>30</v>
      </c>
      <c r="D1191" s="6" t="s">
        <v>17</v>
      </c>
      <c r="E1191" s="6" t="s">
        <v>15</v>
      </c>
      <c r="F1191" s="6" t="s">
        <v>29</v>
      </c>
      <c r="G1191" s="19">
        <v>5294</v>
      </c>
      <c r="H1191" s="11">
        <v>7</v>
      </c>
      <c r="I1191" s="6">
        <v>3</v>
      </c>
      <c r="J1191" s="6" t="s">
        <v>14</v>
      </c>
      <c r="K1191" s="5" t="s">
        <v>14</v>
      </c>
      <c r="L1191" s="3" t="str">
        <f>IF(Table1[[#This Row],[Monthly Income]]&lt;3000,"Low",IF(Table1[[#This Row],[Monthly Income]]&lt;7000,"Medium","High"))</f>
        <v>Medium</v>
      </c>
      <c r="AK1191" s="6"/>
      <c r="AL1191" s="6"/>
      <c r="AM1191" s="6"/>
      <c r="AN1191" s="6"/>
      <c r="AO1191" s="6"/>
      <c r="AP1191" s="6"/>
      <c r="AQ1191" s="6"/>
      <c r="AR1191" s="6"/>
      <c r="AS1191" s="6"/>
      <c r="AU1191" s="6"/>
      <c r="AV1191" s="6"/>
      <c r="AW1191" s="6"/>
      <c r="AX1191" s="6"/>
      <c r="AY1191" s="6"/>
      <c r="AZ1191" s="6"/>
      <c r="BA1191" s="6"/>
      <c r="BB1191" s="6"/>
      <c r="BC1191" s="6"/>
      <c r="BD1191" s="6"/>
      <c r="BE1191" s="6"/>
    </row>
    <row r="1192" spans="2:57" x14ac:dyDescent="0.3">
      <c r="B1192" s="4" t="s">
        <v>1215</v>
      </c>
      <c r="C1192" s="4">
        <v>24</v>
      </c>
      <c r="D1192" s="4" t="s">
        <v>17</v>
      </c>
      <c r="E1192" s="4" t="s">
        <v>15</v>
      </c>
      <c r="F1192" s="4" t="s">
        <v>18</v>
      </c>
      <c r="G1192" s="18">
        <v>4401</v>
      </c>
      <c r="H1192" s="10">
        <v>5</v>
      </c>
      <c r="I1192" s="4">
        <v>3</v>
      </c>
      <c r="J1192" s="4" t="s">
        <v>14</v>
      </c>
      <c r="K1192" s="3" t="s">
        <v>14</v>
      </c>
      <c r="L1192" s="3" t="str">
        <f>IF(Table1[[#This Row],[Monthly Income]]&lt;3000,"Low",IF(Table1[[#This Row],[Monthly Income]]&lt;7000,"Medium","High"))</f>
        <v>Medium</v>
      </c>
      <c r="AK1192" s="4"/>
      <c r="AL1192" s="4"/>
      <c r="AM1192" s="4"/>
      <c r="AN1192" s="4"/>
      <c r="AO1192" s="4"/>
      <c r="AP1192" s="4"/>
      <c r="AQ1192" s="4"/>
      <c r="AR1192" s="4"/>
      <c r="AS1192" s="4"/>
      <c r="AU1192" s="4"/>
      <c r="AV1192" s="4"/>
      <c r="AW1192" s="4"/>
      <c r="AX1192" s="4"/>
      <c r="AY1192" s="4"/>
      <c r="AZ1192" s="4"/>
      <c r="BA1192" s="4"/>
      <c r="BB1192" s="4"/>
      <c r="BC1192" s="4"/>
      <c r="BD1192" s="4"/>
      <c r="BE1192" s="4"/>
    </row>
    <row r="1193" spans="2:57" x14ac:dyDescent="0.3">
      <c r="B1193" s="6" t="s">
        <v>1216</v>
      </c>
      <c r="C1193" s="6">
        <v>39</v>
      </c>
      <c r="D1193" s="6" t="s">
        <v>17</v>
      </c>
      <c r="E1193" s="6" t="s">
        <v>15</v>
      </c>
      <c r="F1193" s="6" t="s">
        <v>29</v>
      </c>
      <c r="G1193" s="19">
        <v>9991</v>
      </c>
      <c r="H1193" s="11">
        <v>7</v>
      </c>
      <c r="I1193" s="6">
        <v>1</v>
      </c>
      <c r="J1193" s="6" t="s">
        <v>14</v>
      </c>
      <c r="K1193" s="5" t="s">
        <v>14</v>
      </c>
      <c r="L1193" s="3" t="str">
        <f>IF(Table1[[#This Row],[Monthly Income]]&lt;3000,"Low",IF(Table1[[#This Row],[Monthly Income]]&lt;7000,"Medium","High"))</f>
        <v>High</v>
      </c>
      <c r="AK1193" s="6"/>
      <c r="AL1193" s="6"/>
      <c r="AM1193" s="6"/>
      <c r="AN1193" s="6"/>
      <c r="AO1193" s="6"/>
      <c r="AP1193" s="6"/>
      <c r="AQ1193" s="6"/>
      <c r="AR1193" s="6"/>
      <c r="AS1193" s="6"/>
      <c r="AU1193" s="6"/>
      <c r="AV1193" s="6"/>
      <c r="AW1193" s="6"/>
      <c r="AX1193" s="6"/>
      <c r="AY1193" s="6"/>
      <c r="AZ1193" s="6"/>
      <c r="BA1193" s="6"/>
      <c r="BB1193" s="6"/>
      <c r="BC1193" s="6"/>
      <c r="BD1193" s="6"/>
      <c r="BE1193" s="6"/>
    </row>
    <row r="1194" spans="2:57" x14ac:dyDescent="0.3">
      <c r="B1194" s="4" t="s">
        <v>1217</v>
      </c>
      <c r="C1194" s="4">
        <v>44</v>
      </c>
      <c r="D1194" s="4" t="s">
        <v>17</v>
      </c>
      <c r="E1194" s="4" t="s">
        <v>15</v>
      </c>
      <c r="F1194" s="4" t="s">
        <v>45</v>
      </c>
      <c r="G1194" s="18">
        <v>16328</v>
      </c>
      <c r="H1194" s="10">
        <v>20</v>
      </c>
      <c r="I1194" s="4">
        <v>1</v>
      </c>
      <c r="J1194" s="4" t="s">
        <v>14</v>
      </c>
      <c r="K1194" s="3" t="s">
        <v>14</v>
      </c>
      <c r="L1194" s="3" t="str">
        <f>IF(Table1[[#This Row],[Monthly Income]]&lt;3000,"Low",IF(Table1[[#This Row],[Monthly Income]]&lt;7000,"Medium","High"))</f>
        <v>High</v>
      </c>
      <c r="AK1194" s="4"/>
      <c r="AL1194" s="4"/>
      <c r="AM1194" s="4"/>
      <c r="AN1194" s="4"/>
      <c r="AO1194" s="4"/>
      <c r="AP1194" s="4"/>
      <c r="AQ1194" s="4"/>
      <c r="AR1194" s="4"/>
      <c r="AS1194" s="4"/>
      <c r="AU1194" s="4"/>
      <c r="AV1194" s="4"/>
      <c r="AW1194" s="4"/>
      <c r="AX1194" s="4"/>
      <c r="AY1194" s="4"/>
      <c r="AZ1194" s="4"/>
      <c r="BA1194" s="4"/>
      <c r="BB1194" s="4"/>
      <c r="BC1194" s="4"/>
      <c r="BD1194" s="4"/>
      <c r="BE1194" s="4"/>
    </row>
    <row r="1195" spans="2:57" x14ac:dyDescent="0.3">
      <c r="B1195" s="6" t="s">
        <v>1218</v>
      </c>
      <c r="C1195" s="6">
        <v>35</v>
      </c>
      <c r="D1195" s="6" t="s">
        <v>17</v>
      </c>
      <c r="E1195" s="6" t="s">
        <v>15</v>
      </c>
      <c r="F1195" s="6" t="s">
        <v>27</v>
      </c>
      <c r="G1195" s="19">
        <v>6883</v>
      </c>
      <c r="H1195" s="11">
        <v>7</v>
      </c>
      <c r="I1195" s="6">
        <v>3</v>
      </c>
      <c r="J1195" s="6" t="s">
        <v>14</v>
      </c>
      <c r="K1195" s="5" t="s">
        <v>14</v>
      </c>
      <c r="L1195" s="3" t="str">
        <f>IF(Table1[[#This Row],[Monthly Income]]&lt;3000,"Low",IF(Table1[[#This Row],[Monthly Income]]&lt;7000,"Medium","High"))</f>
        <v>Medium</v>
      </c>
      <c r="AK1195" s="6"/>
      <c r="AL1195" s="6"/>
      <c r="AM1195" s="6"/>
      <c r="AN1195" s="6"/>
      <c r="AO1195" s="6"/>
      <c r="AP1195" s="6"/>
      <c r="AQ1195" s="6"/>
      <c r="AR1195" s="6"/>
      <c r="AS1195" s="6"/>
      <c r="AU1195" s="6"/>
      <c r="AV1195" s="6"/>
      <c r="AW1195" s="6"/>
      <c r="AX1195" s="6"/>
      <c r="AY1195" s="6"/>
      <c r="AZ1195" s="6"/>
      <c r="BA1195" s="6"/>
      <c r="BB1195" s="6"/>
      <c r="BC1195" s="6"/>
      <c r="BD1195" s="6"/>
      <c r="BE1195" s="6"/>
    </row>
    <row r="1196" spans="2:57" x14ac:dyDescent="0.3">
      <c r="B1196" s="4" t="s">
        <v>1219</v>
      </c>
      <c r="C1196" s="4">
        <v>33</v>
      </c>
      <c r="D1196" s="4" t="s">
        <v>17</v>
      </c>
      <c r="E1196" s="4" t="s">
        <v>15</v>
      </c>
      <c r="F1196" s="4" t="s">
        <v>18</v>
      </c>
      <c r="G1196" s="18">
        <v>3143</v>
      </c>
      <c r="H1196" s="10">
        <v>10</v>
      </c>
      <c r="I1196" s="4">
        <v>1</v>
      </c>
      <c r="J1196" s="4" t="s">
        <v>14</v>
      </c>
      <c r="K1196" s="3" t="s">
        <v>14</v>
      </c>
      <c r="L1196" s="3" t="str">
        <f>IF(Table1[[#This Row],[Monthly Income]]&lt;3000,"Low",IF(Table1[[#This Row],[Monthly Income]]&lt;7000,"Medium","High"))</f>
        <v>Medium</v>
      </c>
      <c r="AK1196" s="4"/>
      <c r="AL1196" s="4"/>
      <c r="AM1196" s="4"/>
      <c r="AN1196" s="4"/>
      <c r="AO1196" s="4"/>
      <c r="AP1196" s="4"/>
      <c r="AQ1196" s="4"/>
      <c r="AR1196" s="4"/>
      <c r="AS1196" s="4"/>
      <c r="AU1196" s="4"/>
      <c r="AV1196" s="4"/>
      <c r="AW1196" s="4"/>
      <c r="AX1196" s="4"/>
      <c r="AY1196" s="4"/>
      <c r="AZ1196" s="4"/>
      <c r="BA1196" s="4"/>
      <c r="BB1196" s="4"/>
      <c r="BC1196" s="4"/>
      <c r="BD1196" s="4"/>
      <c r="BE1196" s="4"/>
    </row>
    <row r="1197" spans="2:57" x14ac:dyDescent="0.3">
      <c r="B1197" s="6" t="s">
        <v>1220</v>
      </c>
      <c r="C1197" s="6">
        <v>23</v>
      </c>
      <c r="D1197" s="6" t="s">
        <v>17</v>
      </c>
      <c r="E1197" s="6" t="s">
        <v>15</v>
      </c>
      <c r="F1197" s="6" t="s">
        <v>18</v>
      </c>
      <c r="G1197" s="19">
        <v>2073</v>
      </c>
      <c r="H1197" s="11">
        <v>2</v>
      </c>
      <c r="I1197" s="6">
        <v>3</v>
      </c>
      <c r="J1197" s="6" t="s">
        <v>14</v>
      </c>
      <c r="K1197" s="5" t="s">
        <v>14</v>
      </c>
      <c r="L1197" s="3" t="str">
        <f>IF(Table1[[#This Row],[Monthly Income]]&lt;3000,"Low",IF(Table1[[#This Row],[Monthly Income]]&lt;7000,"Medium","High"))</f>
        <v>Low</v>
      </c>
      <c r="AK1197" s="6"/>
      <c r="AL1197" s="6"/>
      <c r="AM1197" s="6"/>
      <c r="AN1197" s="6"/>
      <c r="AO1197" s="6"/>
      <c r="AP1197" s="6"/>
      <c r="AQ1197" s="6"/>
      <c r="AR1197" s="6"/>
      <c r="AS1197" s="6"/>
      <c r="AU1197" s="6"/>
      <c r="AV1197" s="6"/>
      <c r="AW1197" s="6"/>
      <c r="AX1197" s="6"/>
      <c r="AY1197" s="6"/>
      <c r="AZ1197" s="6"/>
      <c r="BA1197" s="6"/>
      <c r="BB1197" s="6"/>
      <c r="BC1197" s="6"/>
      <c r="BD1197" s="6"/>
      <c r="BE1197" s="6"/>
    </row>
    <row r="1198" spans="2:57" x14ac:dyDescent="0.3">
      <c r="B1198" s="4" t="s">
        <v>1221</v>
      </c>
      <c r="C1198" s="4">
        <v>36</v>
      </c>
      <c r="D1198" s="4" t="s">
        <v>17</v>
      </c>
      <c r="E1198" s="4" t="s">
        <v>15</v>
      </c>
      <c r="F1198" s="4" t="s">
        <v>29</v>
      </c>
      <c r="G1198" s="18">
        <v>5347</v>
      </c>
      <c r="H1198" s="10">
        <v>3</v>
      </c>
      <c r="I1198" s="4">
        <v>3</v>
      </c>
      <c r="J1198" s="4" t="s">
        <v>14</v>
      </c>
      <c r="K1198" s="3" t="s">
        <v>14</v>
      </c>
      <c r="L1198" s="3" t="str">
        <f>IF(Table1[[#This Row],[Monthly Income]]&lt;3000,"Low",IF(Table1[[#This Row],[Monthly Income]]&lt;7000,"Medium","High"))</f>
        <v>Medium</v>
      </c>
      <c r="AK1198" s="4"/>
      <c r="AL1198" s="4"/>
      <c r="AM1198" s="4"/>
      <c r="AN1198" s="4"/>
      <c r="AO1198" s="4"/>
      <c r="AP1198" s="4"/>
      <c r="AQ1198" s="4"/>
      <c r="AR1198" s="4"/>
      <c r="AS1198" s="4"/>
      <c r="AU1198" s="4"/>
      <c r="AV1198" s="4"/>
      <c r="AW1198" s="4"/>
      <c r="AX1198" s="4"/>
      <c r="AY1198" s="4"/>
      <c r="AZ1198" s="4"/>
      <c r="BA1198" s="4"/>
      <c r="BB1198" s="4"/>
      <c r="BC1198" s="4"/>
      <c r="BD1198" s="4"/>
      <c r="BE1198" s="4"/>
    </row>
    <row r="1199" spans="2:57" x14ac:dyDescent="0.3">
      <c r="B1199" s="6" t="s">
        <v>1222</v>
      </c>
      <c r="C1199" s="6">
        <v>40</v>
      </c>
      <c r="D1199" s="6" t="s">
        <v>17</v>
      </c>
      <c r="E1199" s="6" t="s">
        <v>15</v>
      </c>
      <c r="F1199" s="6" t="s">
        <v>20</v>
      </c>
      <c r="G1199" s="19">
        <v>2406</v>
      </c>
      <c r="H1199" s="11">
        <v>1</v>
      </c>
      <c r="I1199" s="6">
        <v>4</v>
      </c>
      <c r="J1199" s="6" t="s">
        <v>14</v>
      </c>
      <c r="K1199" s="5" t="s">
        <v>14</v>
      </c>
      <c r="L1199" s="3" t="str">
        <f>IF(Table1[[#This Row],[Monthly Income]]&lt;3000,"Low",IF(Table1[[#This Row],[Monthly Income]]&lt;7000,"Medium","High"))</f>
        <v>Low</v>
      </c>
      <c r="AK1199" s="6"/>
      <c r="AL1199" s="6"/>
      <c r="AM1199" s="6"/>
      <c r="AN1199" s="6"/>
      <c r="AO1199" s="6"/>
      <c r="AP1199" s="6"/>
      <c r="AQ1199" s="6"/>
      <c r="AR1199" s="6"/>
      <c r="AS1199" s="6"/>
      <c r="AU1199" s="6"/>
      <c r="AV1199" s="6"/>
      <c r="AW1199" s="6"/>
      <c r="AX1199" s="6"/>
      <c r="AY1199" s="6"/>
      <c r="AZ1199" s="6"/>
      <c r="BA1199" s="6"/>
      <c r="BB1199" s="6"/>
      <c r="BC1199" s="6"/>
      <c r="BD1199" s="6"/>
      <c r="BE1199" s="6"/>
    </row>
    <row r="1200" spans="2:57" x14ac:dyDescent="0.3">
      <c r="B1200" s="4" t="s">
        <v>1223</v>
      </c>
      <c r="C1200" s="4">
        <v>42</v>
      </c>
      <c r="D1200" s="4" t="s">
        <v>17</v>
      </c>
      <c r="E1200" s="4" t="s">
        <v>15</v>
      </c>
      <c r="F1200" s="4" t="s">
        <v>29</v>
      </c>
      <c r="G1200" s="18">
        <v>5538</v>
      </c>
      <c r="H1200" s="10">
        <v>0</v>
      </c>
      <c r="I1200" s="4">
        <v>1</v>
      </c>
      <c r="J1200" s="4" t="s">
        <v>14</v>
      </c>
      <c r="K1200" s="3" t="s">
        <v>14</v>
      </c>
      <c r="L1200" s="3" t="str">
        <f>IF(Table1[[#This Row],[Monthly Income]]&lt;3000,"Low",IF(Table1[[#This Row],[Monthly Income]]&lt;7000,"Medium","High"))</f>
        <v>Medium</v>
      </c>
      <c r="AK1200" s="4"/>
      <c r="AL1200" s="4"/>
      <c r="AM1200" s="4"/>
      <c r="AN1200" s="4"/>
      <c r="AO1200" s="4"/>
      <c r="AP1200" s="4"/>
      <c r="AQ1200" s="4"/>
      <c r="AR1200" s="4"/>
      <c r="AS1200" s="4"/>
      <c r="AU1200" s="4"/>
      <c r="AV1200" s="4"/>
      <c r="AW1200" s="4"/>
      <c r="AX1200" s="4"/>
      <c r="AY1200" s="4"/>
      <c r="AZ1200" s="4"/>
      <c r="BA1200" s="4"/>
      <c r="BB1200" s="4"/>
      <c r="BC1200" s="4"/>
      <c r="BD1200" s="4"/>
      <c r="BE1200" s="4"/>
    </row>
    <row r="1201" spans="2:57" x14ac:dyDescent="0.3">
      <c r="B1201" s="6" t="s">
        <v>1224</v>
      </c>
      <c r="C1201" s="6">
        <v>35</v>
      </c>
      <c r="D1201" s="6" t="s">
        <v>17</v>
      </c>
      <c r="E1201" s="6" t="s">
        <v>15</v>
      </c>
      <c r="F1201" s="6" t="s">
        <v>20</v>
      </c>
      <c r="G1201" s="19">
        <v>3407</v>
      </c>
      <c r="H1201" s="11">
        <v>10</v>
      </c>
      <c r="I1201" s="6">
        <v>3</v>
      </c>
      <c r="J1201" s="6" t="s">
        <v>14</v>
      </c>
      <c r="K1201" s="5" t="s">
        <v>14</v>
      </c>
      <c r="L1201" s="3" t="str">
        <f>IF(Table1[[#This Row],[Monthly Income]]&lt;3000,"Low",IF(Table1[[#This Row],[Monthly Income]]&lt;7000,"Medium","High"))</f>
        <v>Medium</v>
      </c>
      <c r="AK1201" s="6"/>
      <c r="AL1201" s="6"/>
      <c r="AM1201" s="6"/>
      <c r="AN1201" s="6"/>
      <c r="AO1201" s="6"/>
      <c r="AP1201" s="6"/>
      <c r="AQ1201" s="6"/>
      <c r="AR1201" s="6"/>
      <c r="AS1201" s="6"/>
      <c r="AU1201" s="6"/>
      <c r="AV1201" s="6"/>
      <c r="AW1201" s="6"/>
      <c r="AX1201" s="6"/>
      <c r="AY1201" s="6"/>
      <c r="AZ1201" s="6"/>
      <c r="BA1201" s="6"/>
      <c r="BB1201" s="6"/>
      <c r="BC1201" s="6"/>
      <c r="BD1201" s="6"/>
      <c r="BE1201" s="6"/>
    </row>
    <row r="1202" spans="2:57" x14ac:dyDescent="0.3">
      <c r="B1202" s="4" t="s">
        <v>1225</v>
      </c>
      <c r="C1202" s="4">
        <v>28</v>
      </c>
      <c r="D1202" s="4" t="s">
        <v>17</v>
      </c>
      <c r="E1202" s="4" t="s">
        <v>15</v>
      </c>
      <c r="F1202" s="4" t="s">
        <v>27</v>
      </c>
      <c r="G1202" s="18">
        <v>6549</v>
      </c>
      <c r="H1202" s="10">
        <v>8</v>
      </c>
      <c r="I1202" s="4">
        <v>2</v>
      </c>
      <c r="J1202" s="4" t="s">
        <v>14</v>
      </c>
      <c r="K1202" s="3" t="s">
        <v>14</v>
      </c>
      <c r="L1202" s="3" t="str">
        <f>IF(Table1[[#This Row],[Monthly Income]]&lt;3000,"Low",IF(Table1[[#This Row],[Monthly Income]]&lt;7000,"Medium","High"))</f>
        <v>Medium</v>
      </c>
      <c r="AK1202" s="4"/>
      <c r="AL1202" s="4"/>
      <c r="AM1202" s="4"/>
      <c r="AN1202" s="4"/>
      <c r="AO1202" s="4"/>
      <c r="AP1202" s="4"/>
      <c r="AQ1202" s="4"/>
      <c r="AR1202" s="4"/>
      <c r="AS1202" s="4"/>
      <c r="AU1202" s="4"/>
      <c r="AV1202" s="4"/>
      <c r="AW1202" s="4"/>
      <c r="AX1202" s="4"/>
      <c r="AY1202" s="4"/>
      <c r="AZ1202" s="4"/>
      <c r="BA1202" s="4"/>
      <c r="BB1202" s="4"/>
      <c r="BC1202" s="4"/>
      <c r="BD1202" s="4"/>
      <c r="BE1202" s="4"/>
    </row>
    <row r="1203" spans="2:57" x14ac:dyDescent="0.3">
      <c r="B1203" s="6" t="s">
        <v>1226</v>
      </c>
      <c r="C1203" s="6">
        <v>29</v>
      </c>
      <c r="D1203" s="6" t="s">
        <v>17</v>
      </c>
      <c r="E1203" s="6" t="s">
        <v>15</v>
      </c>
      <c r="F1203" s="6" t="s">
        <v>18</v>
      </c>
      <c r="G1203" s="19">
        <v>2451</v>
      </c>
      <c r="H1203" s="11">
        <v>1</v>
      </c>
      <c r="I1203" s="6">
        <v>3</v>
      </c>
      <c r="J1203" s="6" t="s">
        <v>14</v>
      </c>
      <c r="K1203" s="5" t="s">
        <v>14</v>
      </c>
      <c r="L1203" s="3" t="str">
        <f>IF(Table1[[#This Row],[Monthly Income]]&lt;3000,"Low",IF(Table1[[#This Row],[Monthly Income]]&lt;7000,"Medium","High"))</f>
        <v>Low</v>
      </c>
      <c r="AK1203" s="6"/>
      <c r="AL1203" s="6"/>
      <c r="AM1203" s="6"/>
      <c r="AN1203" s="6"/>
      <c r="AO1203" s="6"/>
      <c r="AP1203" s="6"/>
      <c r="AQ1203" s="6"/>
      <c r="AR1203" s="6"/>
      <c r="AS1203" s="6"/>
      <c r="AU1203" s="6"/>
      <c r="AV1203" s="6"/>
      <c r="AW1203" s="6"/>
      <c r="AX1203" s="6"/>
      <c r="AY1203" s="6"/>
      <c r="AZ1203" s="6"/>
      <c r="BA1203" s="6"/>
      <c r="BB1203" s="6"/>
      <c r="BC1203" s="6"/>
      <c r="BD1203" s="6"/>
      <c r="BE1203" s="6"/>
    </row>
    <row r="1204" spans="2:57" x14ac:dyDescent="0.3">
      <c r="B1204" s="4" t="s">
        <v>1227</v>
      </c>
      <c r="C1204" s="4">
        <v>39</v>
      </c>
      <c r="D1204" s="4" t="s">
        <v>17</v>
      </c>
      <c r="E1204" s="4" t="s">
        <v>15</v>
      </c>
      <c r="F1204" s="4" t="s">
        <v>27</v>
      </c>
      <c r="G1204" s="18">
        <v>5377</v>
      </c>
      <c r="H1204" s="10">
        <v>7</v>
      </c>
      <c r="I1204" s="4">
        <v>1</v>
      </c>
      <c r="J1204" s="4" t="s">
        <v>14</v>
      </c>
      <c r="K1204" s="3" t="s">
        <v>14</v>
      </c>
      <c r="L1204" s="3" t="str">
        <f>IF(Table1[[#This Row],[Monthly Income]]&lt;3000,"Low",IF(Table1[[#This Row],[Monthly Income]]&lt;7000,"Medium","High"))</f>
        <v>Medium</v>
      </c>
      <c r="AK1204" s="4"/>
      <c r="AL1204" s="4"/>
      <c r="AM1204" s="4"/>
      <c r="AN1204" s="4"/>
      <c r="AO1204" s="4"/>
      <c r="AP1204" s="4"/>
      <c r="AQ1204" s="4"/>
      <c r="AR1204" s="4"/>
      <c r="AS1204" s="4"/>
      <c r="AU1204" s="4"/>
      <c r="AV1204" s="4"/>
      <c r="AW1204" s="4"/>
      <c r="AX1204" s="4"/>
      <c r="AY1204" s="4"/>
      <c r="AZ1204" s="4"/>
      <c r="BA1204" s="4"/>
      <c r="BB1204" s="4"/>
      <c r="BC1204" s="4"/>
      <c r="BD1204" s="4"/>
      <c r="BE1204" s="4"/>
    </row>
    <row r="1205" spans="2:57" x14ac:dyDescent="0.3">
      <c r="B1205" s="6" t="s">
        <v>1228</v>
      </c>
      <c r="C1205" s="6">
        <v>33</v>
      </c>
      <c r="D1205" s="6" t="s">
        <v>17</v>
      </c>
      <c r="E1205" s="6" t="s">
        <v>15</v>
      </c>
      <c r="F1205" s="6" t="s">
        <v>20</v>
      </c>
      <c r="G1205" s="19">
        <v>2028</v>
      </c>
      <c r="H1205" s="11">
        <v>14</v>
      </c>
      <c r="I1205" s="6">
        <v>2</v>
      </c>
      <c r="J1205" s="6" t="s">
        <v>14</v>
      </c>
      <c r="K1205" s="5" t="s">
        <v>14</v>
      </c>
      <c r="L1205" s="3" t="str">
        <f>IF(Table1[[#This Row],[Monthly Income]]&lt;3000,"Low",IF(Table1[[#This Row],[Monthly Income]]&lt;7000,"Medium","High"))</f>
        <v>Low</v>
      </c>
      <c r="AK1205" s="6"/>
      <c r="AL1205" s="6"/>
      <c r="AM1205" s="6"/>
      <c r="AN1205" s="6"/>
      <c r="AO1205" s="6"/>
      <c r="AP1205" s="6"/>
      <c r="AQ1205" s="6"/>
      <c r="AR1205" s="6"/>
      <c r="AS1205" s="6"/>
      <c r="AU1205" s="6"/>
      <c r="AV1205" s="6"/>
      <c r="AW1205" s="6"/>
      <c r="AX1205" s="6"/>
      <c r="AY1205" s="6"/>
      <c r="AZ1205" s="6"/>
      <c r="BA1205" s="6"/>
      <c r="BB1205" s="6"/>
      <c r="BC1205" s="6"/>
      <c r="BD1205" s="6"/>
      <c r="BE1205" s="6"/>
    </row>
    <row r="1206" spans="2:57" x14ac:dyDescent="0.3">
      <c r="B1206" s="4" t="s">
        <v>1229</v>
      </c>
      <c r="C1206" s="4">
        <v>55</v>
      </c>
      <c r="D1206" s="4" t="s">
        <v>17</v>
      </c>
      <c r="E1206" s="4" t="s">
        <v>15</v>
      </c>
      <c r="F1206" s="4" t="s">
        <v>45</v>
      </c>
      <c r="G1206" s="18">
        <v>19038</v>
      </c>
      <c r="H1206" s="10">
        <v>1</v>
      </c>
      <c r="I1206" s="4">
        <v>1</v>
      </c>
      <c r="J1206" s="4" t="s">
        <v>14</v>
      </c>
      <c r="K1206" s="3" t="s">
        <v>14</v>
      </c>
      <c r="L1206" s="3" t="str">
        <f>IF(Table1[[#This Row],[Monthly Income]]&lt;3000,"Low",IF(Table1[[#This Row],[Monthly Income]]&lt;7000,"Medium","High"))</f>
        <v>High</v>
      </c>
      <c r="AK1206" s="4"/>
      <c r="AL1206" s="4"/>
      <c r="AM1206" s="4"/>
      <c r="AN1206" s="4"/>
      <c r="AO1206" s="4"/>
      <c r="AP1206" s="4"/>
      <c r="AQ1206" s="4"/>
      <c r="AR1206" s="4"/>
      <c r="AS1206" s="4"/>
      <c r="AU1206" s="4"/>
      <c r="AV1206" s="4"/>
      <c r="AW1206" s="4"/>
      <c r="AX1206" s="4"/>
      <c r="AY1206" s="4"/>
      <c r="AZ1206" s="4"/>
      <c r="BA1206" s="4"/>
      <c r="BB1206" s="4"/>
      <c r="BC1206" s="4"/>
      <c r="BD1206" s="4"/>
      <c r="BE1206" s="4"/>
    </row>
    <row r="1207" spans="2:57" x14ac:dyDescent="0.3">
      <c r="B1207" s="6" t="s">
        <v>1230</v>
      </c>
      <c r="C1207" s="6">
        <v>37</v>
      </c>
      <c r="D1207" s="6" t="s">
        <v>17</v>
      </c>
      <c r="E1207" s="6" t="s">
        <v>15</v>
      </c>
      <c r="F1207" s="6" t="s">
        <v>27</v>
      </c>
      <c r="G1207" s="19">
        <v>5768</v>
      </c>
      <c r="H1207" s="11">
        <v>4</v>
      </c>
      <c r="I1207" s="6">
        <v>3</v>
      </c>
      <c r="J1207" s="6" t="s">
        <v>14</v>
      </c>
      <c r="K1207" s="5" t="s">
        <v>14</v>
      </c>
      <c r="L1207" s="3" t="str">
        <f>IF(Table1[[#This Row],[Monthly Income]]&lt;3000,"Low",IF(Table1[[#This Row],[Monthly Income]]&lt;7000,"Medium","High"))</f>
        <v>Medium</v>
      </c>
      <c r="AK1207" s="6"/>
      <c r="AL1207" s="6"/>
      <c r="AM1207" s="6"/>
      <c r="AN1207" s="6"/>
      <c r="AO1207" s="6"/>
      <c r="AP1207" s="6"/>
      <c r="AQ1207" s="6"/>
      <c r="AR1207" s="6"/>
      <c r="AS1207" s="6"/>
      <c r="AU1207" s="6"/>
      <c r="AV1207" s="6"/>
      <c r="AW1207" s="6"/>
      <c r="AX1207" s="6"/>
      <c r="AY1207" s="6"/>
      <c r="AZ1207" s="6"/>
      <c r="BA1207" s="6"/>
      <c r="BB1207" s="6"/>
      <c r="BC1207" s="6"/>
      <c r="BD1207" s="6"/>
      <c r="BE1207" s="6"/>
    </row>
    <row r="1208" spans="2:57" x14ac:dyDescent="0.3">
      <c r="B1208" s="4" t="s">
        <v>1231</v>
      </c>
      <c r="C1208" s="4">
        <v>26</v>
      </c>
      <c r="D1208" s="4" t="s">
        <v>17</v>
      </c>
      <c r="E1208" s="4" t="s">
        <v>15</v>
      </c>
      <c r="F1208" s="4" t="s">
        <v>20</v>
      </c>
      <c r="G1208" s="18">
        <v>2305</v>
      </c>
      <c r="H1208" s="10">
        <v>3</v>
      </c>
      <c r="I1208" s="4">
        <v>3</v>
      </c>
      <c r="J1208" s="4" t="s">
        <v>14</v>
      </c>
      <c r="K1208" s="3" t="s">
        <v>14</v>
      </c>
      <c r="L1208" s="3" t="str">
        <f>IF(Table1[[#This Row],[Monthly Income]]&lt;3000,"Low",IF(Table1[[#This Row],[Monthly Income]]&lt;7000,"Medium","High"))</f>
        <v>Low</v>
      </c>
      <c r="AK1208" s="4"/>
      <c r="AL1208" s="4"/>
      <c r="AM1208" s="4"/>
      <c r="AN1208" s="4"/>
      <c r="AO1208" s="4"/>
      <c r="AP1208" s="4"/>
      <c r="AQ1208" s="4"/>
      <c r="AR1208" s="4"/>
      <c r="AS1208" s="4"/>
      <c r="AU1208" s="4"/>
      <c r="AV1208" s="4"/>
      <c r="AW1208" s="4"/>
      <c r="AX1208" s="4"/>
      <c r="AY1208" s="4"/>
      <c r="AZ1208" s="4"/>
      <c r="BA1208" s="4"/>
      <c r="BB1208" s="4"/>
      <c r="BC1208" s="4"/>
      <c r="BD1208" s="4"/>
      <c r="BE1208" s="4"/>
    </row>
    <row r="1209" spans="2:57" x14ac:dyDescent="0.3">
      <c r="B1209" s="6" t="s">
        <v>1232</v>
      </c>
      <c r="C1209" s="6">
        <v>36</v>
      </c>
      <c r="D1209" s="6" t="s">
        <v>17</v>
      </c>
      <c r="E1209" s="6" t="s">
        <v>15</v>
      </c>
      <c r="F1209" s="6" t="s">
        <v>20</v>
      </c>
      <c r="G1209" s="19">
        <v>5810</v>
      </c>
      <c r="H1209" s="11">
        <v>10</v>
      </c>
      <c r="I1209" s="6">
        <v>4</v>
      </c>
      <c r="J1209" s="6" t="s">
        <v>14</v>
      </c>
      <c r="K1209" s="5" t="s">
        <v>14</v>
      </c>
      <c r="L1209" s="3" t="str">
        <f>IF(Table1[[#This Row],[Monthly Income]]&lt;3000,"Low",IF(Table1[[#This Row],[Monthly Income]]&lt;7000,"Medium","High"))</f>
        <v>Medium</v>
      </c>
      <c r="AK1209" s="6"/>
      <c r="AL1209" s="6"/>
      <c r="AM1209" s="6"/>
      <c r="AN1209" s="6"/>
      <c r="AO1209" s="6"/>
      <c r="AP1209" s="6"/>
      <c r="AQ1209" s="6"/>
      <c r="AR1209" s="6"/>
      <c r="AS1209" s="6"/>
      <c r="AU1209" s="6"/>
      <c r="AV1209" s="6"/>
      <c r="AW1209" s="6"/>
      <c r="AX1209" s="6"/>
      <c r="AY1209" s="6"/>
      <c r="AZ1209" s="6"/>
      <c r="BA1209" s="6"/>
      <c r="BB1209" s="6"/>
      <c r="BC1209" s="6"/>
      <c r="BD1209" s="6"/>
      <c r="BE1209" s="6"/>
    </row>
    <row r="1210" spans="2:57" x14ac:dyDescent="0.3">
      <c r="B1210" s="4" t="s">
        <v>1233</v>
      </c>
      <c r="C1210" s="4">
        <v>36</v>
      </c>
      <c r="D1210" s="4" t="s">
        <v>17</v>
      </c>
      <c r="E1210" s="4" t="s">
        <v>15</v>
      </c>
      <c r="F1210" s="4" t="s">
        <v>20</v>
      </c>
      <c r="G1210" s="18">
        <v>2013</v>
      </c>
      <c r="H1210" s="10">
        <v>4</v>
      </c>
      <c r="I1210" s="4">
        <v>2</v>
      </c>
      <c r="J1210" s="4" t="s">
        <v>14</v>
      </c>
      <c r="K1210" s="3" t="s">
        <v>14</v>
      </c>
      <c r="L1210" s="3" t="str">
        <f>IF(Table1[[#This Row],[Monthly Income]]&lt;3000,"Low",IF(Table1[[#This Row],[Monthly Income]]&lt;7000,"Medium","High"))</f>
        <v>Low</v>
      </c>
      <c r="AK1210" s="4"/>
      <c r="AL1210" s="4"/>
      <c r="AM1210" s="4"/>
      <c r="AN1210" s="4"/>
      <c r="AO1210" s="4"/>
      <c r="AP1210" s="4"/>
      <c r="AQ1210" s="4"/>
      <c r="AR1210" s="4"/>
      <c r="AS1210" s="4"/>
      <c r="AU1210" s="4"/>
      <c r="AV1210" s="4"/>
      <c r="AW1210" s="4"/>
      <c r="AX1210" s="4"/>
      <c r="AY1210" s="4"/>
      <c r="AZ1210" s="4"/>
      <c r="BA1210" s="4"/>
      <c r="BB1210" s="4"/>
      <c r="BC1210" s="4"/>
      <c r="BD1210" s="4"/>
      <c r="BE1210" s="4"/>
    </row>
    <row r="1211" spans="2:57" x14ac:dyDescent="0.3">
      <c r="B1211" s="6" t="s">
        <v>1234</v>
      </c>
      <c r="C1211" s="6">
        <v>23</v>
      </c>
      <c r="D1211" s="6" t="s">
        <v>17</v>
      </c>
      <c r="E1211" s="6" t="s">
        <v>15</v>
      </c>
      <c r="F1211" s="6" t="s">
        <v>20</v>
      </c>
      <c r="G1211" s="19">
        <v>2272</v>
      </c>
      <c r="H1211" s="11">
        <v>4</v>
      </c>
      <c r="I1211" s="6">
        <v>3</v>
      </c>
      <c r="J1211" s="6" t="s">
        <v>14</v>
      </c>
      <c r="K1211" s="5" t="s">
        <v>14</v>
      </c>
      <c r="L1211" s="3" t="str">
        <f>IF(Table1[[#This Row],[Monthly Income]]&lt;3000,"Low",IF(Table1[[#This Row],[Monthly Income]]&lt;7000,"Medium","High"))</f>
        <v>Low</v>
      </c>
      <c r="AK1211" s="6"/>
      <c r="AL1211" s="6"/>
      <c r="AM1211" s="6"/>
      <c r="AN1211" s="6"/>
      <c r="AO1211" s="6"/>
      <c r="AP1211" s="6"/>
      <c r="AQ1211" s="6"/>
      <c r="AR1211" s="6"/>
      <c r="AS1211" s="6"/>
      <c r="AU1211" s="6"/>
      <c r="AV1211" s="6"/>
      <c r="AW1211" s="6"/>
      <c r="AX1211" s="6"/>
      <c r="AY1211" s="6"/>
      <c r="AZ1211" s="6"/>
      <c r="BA1211" s="6"/>
      <c r="BB1211" s="6"/>
      <c r="BC1211" s="6"/>
      <c r="BD1211" s="6"/>
      <c r="BE1211" s="6"/>
    </row>
    <row r="1212" spans="2:57" x14ac:dyDescent="0.3">
      <c r="B1212" s="4" t="s">
        <v>1235</v>
      </c>
      <c r="C1212" s="4">
        <v>34</v>
      </c>
      <c r="D1212" s="4" t="s">
        <v>17</v>
      </c>
      <c r="E1212" s="4" t="s">
        <v>15</v>
      </c>
      <c r="F1212" s="4" t="s">
        <v>18</v>
      </c>
      <c r="G1212" s="18">
        <v>2972</v>
      </c>
      <c r="H1212" s="10">
        <v>1</v>
      </c>
      <c r="I1212" s="4">
        <v>4</v>
      </c>
      <c r="J1212" s="4" t="s">
        <v>14</v>
      </c>
      <c r="K1212" s="3" t="s">
        <v>14</v>
      </c>
      <c r="L1212" s="3" t="str">
        <f>IF(Table1[[#This Row],[Monthly Income]]&lt;3000,"Low",IF(Table1[[#This Row],[Monthly Income]]&lt;7000,"Medium","High"))</f>
        <v>Low</v>
      </c>
      <c r="AK1212" s="4"/>
      <c r="AL1212" s="4"/>
      <c r="AM1212" s="4"/>
      <c r="AN1212" s="4"/>
      <c r="AO1212" s="4"/>
      <c r="AP1212" s="4"/>
      <c r="AQ1212" s="4"/>
      <c r="AR1212" s="4"/>
      <c r="AS1212" s="4"/>
      <c r="AU1212" s="4"/>
      <c r="AV1212" s="4"/>
      <c r="AW1212" s="4"/>
      <c r="AX1212" s="4"/>
      <c r="AY1212" s="4"/>
      <c r="AZ1212" s="4"/>
      <c r="BA1212" s="4"/>
      <c r="BB1212" s="4"/>
      <c r="BC1212" s="4"/>
      <c r="BD1212" s="4"/>
      <c r="BE1212" s="4"/>
    </row>
    <row r="1213" spans="2:57" x14ac:dyDescent="0.3">
      <c r="B1213" s="6" t="s">
        <v>1236</v>
      </c>
      <c r="C1213" s="6">
        <v>39</v>
      </c>
      <c r="D1213" s="6" t="s">
        <v>17</v>
      </c>
      <c r="E1213" s="6" t="s">
        <v>15</v>
      </c>
      <c r="F1213" s="6" t="s">
        <v>18</v>
      </c>
      <c r="G1213" s="19">
        <v>4108</v>
      </c>
      <c r="H1213" s="11">
        <v>7</v>
      </c>
      <c r="I1213" s="6">
        <v>4</v>
      </c>
      <c r="J1213" s="6" t="s">
        <v>14</v>
      </c>
      <c r="K1213" s="5" t="s">
        <v>14</v>
      </c>
      <c r="L1213" s="3" t="str">
        <f>IF(Table1[[#This Row],[Monthly Income]]&lt;3000,"Low",IF(Table1[[#This Row],[Monthly Income]]&lt;7000,"Medium","High"))</f>
        <v>Medium</v>
      </c>
      <c r="AK1213" s="6"/>
      <c r="AL1213" s="6"/>
      <c r="AM1213" s="6"/>
      <c r="AN1213" s="6"/>
      <c r="AO1213" s="6"/>
      <c r="AP1213" s="6"/>
      <c r="AQ1213" s="6"/>
      <c r="AR1213" s="6"/>
      <c r="AS1213" s="6"/>
      <c r="AU1213" s="6"/>
      <c r="AV1213" s="6"/>
      <c r="AW1213" s="6"/>
      <c r="AX1213" s="6"/>
      <c r="AY1213" s="6"/>
      <c r="AZ1213" s="6"/>
      <c r="BA1213" s="6"/>
      <c r="BB1213" s="6"/>
      <c r="BC1213" s="6"/>
      <c r="BD1213" s="6"/>
      <c r="BE1213" s="6"/>
    </row>
    <row r="1214" spans="2:57" x14ac:dyDescent="0.3">
      <c r="B1214" s="4" t="s">
        <v>1237</v>
      </c>
      <c r="C1214" s="4">
        <v>24</v>
      </c>
      <c r="D1214" s="4" t="s">
        <v>17</v>
      </c>
      <c r="E1214" s="4" t="s">
        <v>15</v>
      </c>
      <c r="F1214" s="4" t="s">
        <v>29</v>
      </c>
      <c r="G1214" s="18">
        <v>4617</v>
      </c>
      <c r="H1214" s="10">
        <v>4</v>
      </c>
      <c r="I1214" s="4">
        <v>3</v>
      </c>
      <c r="J1214" s="4" t="s">
        <v>14</v>
      </c>
      <c r="K1214" s="3" t="s">
        <v>14</v>
      </c>
      <c r="L1214" s="3" t="str">
        <f>IF(Table1[[#This Row],[Monthly Income]]&lt;3000,"Low",IF(Table1[[#This Row],[Monthly Income]]&lt;7000,"Medium","High"))</f>
        <v>Medium</v>
      </c>
      <c r="AK1214" s="4"/>
      <c r="AL1214" s="4"/>
      <c r="AM1214" s="4"/>
      <c r="AN1214" s="4"/>
      <c r="AO1214" s="4"/>
      <c r="AP1214" s="4"/>
      <c r="AQ1214" s="4"/>
      <c r="AR1214" s="4"/>
      <c r="AS1214" s="4"/>
      <c r="AU1214" s="4"/>
      <c r="AV1214" s="4"/>
      <c r="AW1214" s="4"/>
      <c r="AX1214" s="4"/>
      <c r="AY1214" s="4"/>
      <c r="AZ1214" s="4"/>
      <c r="BA1214" s="4"/>
      <c r="BB1214" s="4"/>
      <c r="BC1214" s="4"/>
      <c r="BD1214" s="4"/>
      <c r="BE1214" s="4"/>
    </row>
    <row r="1215" spans="2:57" x14ac:dyDescent="0.3">
      <c r="B1215" s="6" t="s">
        <v>1238</v>
      </c>
      <c r="C1215" s="6">
        <v>35</v>
      </c>
      <c r="D1215" s="6" t="s">
        <v>17</v>
      </c>
      <c r="E1215" s="6" t="s">
        <v>15</v>
      </c>
      <c r="F1215" s="6" t="s">
        <v>18</v>
      </c>
      <c r="G1215" s="19">
        <v>5098</v>
      </c>
      <c r="H1215" s="11">
        <v>10</v>
      </c>
      <c r="I1215" s="6">
        <v>3</v>
      </c>
      <c r="J1215" s="6" t="s">
        <v>14</v>
      </c>
      <c r="K1215" s="5" t="s">
        <v>14</v>
      </c>
      <c r="L1215" s="3" t="str">
        <f>IF(Table1[[#This Row],[Monthly Income]]&lt;3000,"Low",IF(Table1[[#This Row],[Monthly Income]]&lt;7000,"Medium","High"))</f>
        <v>Medium</v>
      </c>
      <c r="AK1215" s="6"/>
      <c r="AL1215" s="6"/>
      <c r="AM1215" s="6"/>
      <c r="AN1215" s="6"/>
      <c r="AO1215" s="6"/>
      <c r="AP1215" s="6"/>
      <c r="AQ1215" s="6"/>
      <c r="AR1215" s="6"/>
      <c r="AS1215" s="6"/>
      <c r="AU1215" s="6"/>
      <c r="AV1215" s="6"/>
      <c r="AW1215" s="6"/>
      <c r="AX1215" s="6"/>
      <c r="AY1215" s="6"/>
      <c r="AZ1215" s="6"/>
      <c r="BA1215" s="6"/>
      <c r="BB1215" s="6"/>
      <c r="BC1215" s="6"/>
      <c r="BD1215" s="6"/>
      <c r="BE1215" s="6"/>
    </row>
    <row r="1216" spans="2:57" x14ac:dyDescent="0.3">
      <c r="B1216" s="4" t="s">
        <v>1239</v>
      </c>
      <c r="C1216" s="4">
        <v>41</v>
      </c>
      <c r="D1216" s="4" t="s">
        <v>17</v>
      </c>
      <c r="E1216" s="4" t="s">
        <v>15</v>
      </c>
      <c r="F1216" s="4" t="s">
        <v>29</v>
      </c>
      <c r="G1216" s="18">
        <v>6870</v>
      </c>
      <c r="H1216" s="10">
        <v>3</v>
      </c>
      <c r="I1216" s="4">
        <v>2</v>
      </c>
      <c r="J1216" s="4" t="s">
        <v>14</v>
      </c>
      <c r="K1216" s="3" t="s">
        <v>14</v>
      </c>
      <c r="L1216" s="3" t="str">
        <f>IF(Table1[[#This Row],[Monthly Income]]&lt;3000,"Low",IF(Table1[[#This Row],[Monthly Income]]&lt;7000,"Medium","High"))</f>
        <v>Medium</v>
      </c>
      <c r="AK1216" s="4"/>
      <c r="AL1216" s="4"/>
      <c r="AM1216" s="4"/>
      <c r="AN1216" s="4"/>
      <c r="AO1216" s="4"/>
      <c r="AP1216" s="4"/>
      <c r="AQ1216" s="4"/>
      <c r="AR1216" s="4"/>
      <c r="AS1216" s="4"/>
      <c r="AU1216" s="4"/>
      <c r="AV1216" s="4"/>
      <c r="AW1216" s="4"/>
      <c r="AX1216" s="4"/>
      <c r="AY1216" s="4"/>
      <c r="AZ1216" s="4"/>
      <c r="BA1216" s="4"/>
      <c r="BB1216" s="4"/>
      <c r="BC1216" s="4"/>
      <c r="BD1216" s="4"/>
      <c r="BE1216" s="4"/>
    </row>
    <row r="1217" spans="2:57" x14ac:dyDescent="0.3">
      <c r="B1217" s="6" t="s">
        <v>1240</v>
      </c>
      <c r="C1217" s="6">
        <v>40</v>
      </c>
      <c r="D1217" s="6" t="s">
        <v>17</v>
      </c>
      <c r="E1217" s="6" t="s">
        <v>15</v>
      </c>
      <c r="F1217" s="6" t="s">
        <v>18</v>
      </c>
      <c r="G1217" s="19">
        <v>2809</v>
      </c>
      <c r="H1217" s="11">
        <v>2</v>
      </c>
      <c r="I1217" s="6">
        <v>3</v>
      </c>
      <c r="J1217" s="6" t="s">
        <v>14</v>
      </c>
      <c r="K1217" s="5" t="s">
        <v>14</v>
      </c>
      <c r="L1217" s="3" t="str">
        <f>IF(Table1[[#This Row],[Monthly Income]]&lt;3000,"Low",IF(Table1[[#This Row],[Monthly Income]]&lt;7000,"Medium","High"))</f>
        <v>Low</v>
      </c>
      <c r="AK1217" s="6"/>
      <c r="AL1217" s="6"/>
      <c r="AM1217" s="6"/>
      <c r="AN1217" s="6"/>
      <c r="AO1217" s="6"/>
      <c r="AP1217" s="6"/>
      <c r="AQ1217" s="6"/>
      <c r="AR1217" s="6"/>
      <c r="AS1217" s="6"/>
      <c r="AU1217" s="6"/>
      <c r="AV1217" s="6"/>
      <c r="AW1217" s="6"/>
      <c r="AX1217" s="6"/>
      <c r="AY1217" s="6"/>
      <c r="AZ1217" s="6"/>
      <c r="BA1217" s="6"/>
      <c r="BB1217" s="6"/>
      <c r="BC1217" s="6"/>
      <c r="BD1217" s="6"/>
      <c r="BE1217" s="6"/>
    </row>
    <row r="1218" spans="2:57" x14ac:dyDescent="0.3">
      <c r="B1218" s="4" t="s">
        <v>1241</v>
      </c>
      <c r="C1218" s="4">
        <v>26</v>
      </c>
      <c r="D1218" s="4" t="s">
        <v>17</v>
      </c>
      <c r="E1218" s="4" t="s">
        <v>15</v>
      </c>
      <c r="F1218" s="4" t="s">
        <v>20</v>
      </c>
      <c r="G1218" s="18">
        <v>2867</v>
      </c>
      <c r="H1218" s="10">
        <v>7</v>
      </c>
      <c r="I1218" s="4">
        <v>1</v>
      </c>
      <c r="J1218" s="4" t="s">
        <v>14</v>
      </c>
      <c r="K1218" s="3" t="s">
        <v>14</v>
      </c>
      <c r="L1218" s="3" t="str">
        <f>IF(Table1[[#This Row],[Monthly Income]]&lt;3000,"Low",IF(Table1[[#This Row],[Monthly Income]]&lt;7000,"Medium","High"))</f>
        <v>Low</v>
      </c>
      <c r="AK1218" s="4"/>
      <c r="AL1218" s="4"/>
      <c r="AM1218" s="4"/>
      <c r="AN1218" s="4"/>
      <c r="AO1218" s="4"/>
      <c r="AP1218" s="4"/>
      <c r="AQ1218" s="4"/>
      <c r="AR1218" s="4"/>
      <c r="AS1218" s="4"/>
      <c r="AU1218" s="4"/>
      <c r="AV1218" s="4"/>
      <c r="AW1218" s="4"/>
      <c r="AX1218" s="4"/>
      <c r="AY1218" s="4"/>
      <c r="AZ1218" s="4"/>
      <c r="BA1218" s="4"/>
      <c r="BB1218" s="4"/>
      <c r="BC1218" s="4"/>
      <c r="BD1218" s="4"/>
      <c r="BE1218" s="4"/>
    </row>
    <row r="1219" spans="2:57" x14ac:dyDescent="0.3">
      <c r="B1219" s="6" t="s">
        <v>1242</v>
      </c>
      <c r="C1219" s="6">
        <v>46</v>
      </c>
      <c r="D1219" s="6" t="s">
        <v>17</v>
      </c>
      <c r="E1219" s="6" t="s">
        <v>15</v>
      </c>
      <c r="F1219" s="6" t="s">
        <v>29</v>
      </c>
      <c r="G1219" s="19">
        <v>5562</v>
      </c>
      <c r="H1219" s="11">
        <v>10</v>
      </c>
      <c r="I1219" s="6">
        <v>2</v>
      </c>
      <c r="J1219" s="6" t="s">
        <v>14</v>
      </c>
      <c r="K1219" s="5" t="s">
        <v>14</v>
      </c>
      <c r="L1219" s="3" t="str">
        <f>IF(Table1[[#This Row],[Monthly Income]]&lt;3000,"Low",IF(Table1[[#This Row],[Monthly Income]]&lt;7000,"Medium","High"))</f>
        <v>Medium</v>
      </c>
      <c r="AK1219" s="6"/>
      <c r="AL1219" s="6"/>
      <c r="AM1219" s="6"/>
      <c r="AN1219" s="6"/>
      <c r="AO1219" s="6"/>
      <c r="AP1219" s="6"/>
      <c r="AQ1219" s="6"/>
      <c r="AR1219" s="6"/>
      <c r="AS1219" s="6"/>
      <c r="AU1219" s="6"/>
      <c r="AV1219" s="6"/>
      <c r="AW1219" s="6"/>
      <c r="AX1219" s="6"/>
      <c r="AY1219" s="6"/>
      <c r="AZ1219" s="6"/>
      <c r="BA1219" s="6"/>
      <c r="BB1219" s="6"/>
      <c r="BC1219" s="6"/>
      <c r="BD1219" s="6"/>
      <c r="BE1219" s="6"/>
    </row>
    <row r="1220" spans="2:57" x14ac:dyDescent="0.3">
      <c r="B1220" s="4" t="s">
        <v>1243</v>
      </c>
      <c r="C1220" s="4">
        <v>49</v>
      </c>
      <c r="D1220" s="4" t="s">
        <v>17</v>
      </c>
      <c r="E1220" s="4" t="s">
        <v>15</v>
      </c>
      <c r="F1220" s="4" t="s">
        <v>39</v>
      </c>
      <c r="G1220" s="18">
        <v>15379</v>
      </c>
      <c r="H1220" s="10">
        <v>8</v>
      </c>
      <c r="I1220" s="4">
        <v>3</v>
      </c>
      <c r="J1220" s="4" t="s">
        <v>14</v>
      </c>
      <c r="K1220" s="3" t="s">
        <v>14</v>
      </c>
      <c r="L1220" s="3" t="str">
        <f>IF(Table1[[#This Row],[Monthly Income]]&lt;3000,"Low",IF(Table1[[#This Row],[Monthly Income]]&lt;7000,"Medium","High"))</f>
        <v>High</v>
      </c>
      <c r="AK1220" s="4"/>
      <c r="AL1220" s="4"/>
      <c r="AM1220" s="4"/>
      <c r="AN1220" s="4"/>
      <c r="AO1220" s="4"/>
      <c r="AP1220" s="4"/>
      <c r="AQ1220" s="4"/>
      <c r="AR1220" s="4"/>
      <c r="AS1220" s="4"/>
      <c r="AU1220" s="4"/>
      <c r="AV1220" s="4"/>
      <c r="AW1220" s="4"/>
      <c r="AX1220" s="4"/>
      <c r="AY1220" s="4"/>
      <c r="AZ1220" s="4"/>
      <c r="BA1220" s="4"/>
      <c r="BB1220" s="4"/>
      <c r="BC1220" s="4"/>
      <c r="BD1220" s="4"/>
      <c r="BE1220" s="4"/>
    </row>
    <row r="1221" spans="2:57" x14ac:dyDescent="0.3">
      <c r="B1221" s="6" t="s">
        <v>1244</v>
      </c>
      <c r="C1221" s="6">
        <v>21</v>
      </c>
      <c r="D1221" s="6" t="s">
        <v>17</v>
      </c>
      <c r="E1221" s="6" t="s">
        <v>15</v>
      </c>
      <c r="F1221" s="6" t="s">
        <v>18</v>
      </c>
      <c r="G1221" s="19">
        <v>3117</v>
      </c>
      <c r="H1221" s="11">
        <v>2</v>
      </c>
      <c r="I1221" s="6">
        <v>4</v>
      </c>
      <c r="J1221" s="6" t="s">
        <v>14</v>
      </c>
      <c r="K1221" s="5" t="s">
        <v>14</v>
      </c>
      <c r="L1221" s="3" t="str">
        <f>IF(Table1[[#This Row],[Monthly Income]]&lt;3000,"Low",IF(Table1[[#This Row],[Monthly Income]]&lt;7000,"Medium","High"))</f>
        <v>Medium</v>
      </c>
      <c r="AK1221" s="6"/>
      <c r="AL1221" s="6"/>
      <c r="AM1221" s="6"/>
      <c r="AN1221" s="6"/>
      <c r="AO1221" s="6"/>
      <c r="AP1221" s="6"/>
      <c r="AQ1221" s="6"/>
      <c r="AR1221" s="6"/>
      <c r="AS1221" s="6"/>
      <c r="AU1221" s="6"/>
      <c r="AV1221" s="6"/>
      <c r="AW1221" s="6"/>
      <c r="AX1221" s="6"/>
      <c r="AY1221" s="6"/>
      <c r="AZ1221" s="6"/>
      <c r="BA1221" s="6"/>
      <c r="BB1221" s="6"/>
      <c r="BC1221" s="6"/>
      <c r="BD1221" s="6"/>
      <c r="BE1221" s="6"/>
    </row>
    <row r="1222" spans="2:57" x14ac:dyDescent="0.3">
      <c r="B1222" s="4" t="s">
        <v>1245</v>
      </c>
      <c r="C1222" s="4">
        <v>26</v>
      </c>
      <c r="D1222" s="4" t="s">
        <v>17</v>
      </c>
      <c r="E1222" s="4" t="s">
        <v>15</v>
      </c>
      <c r="F1222" s="4" t="s">
        <v>20</v>
      </c>
      <c r="G1222" s="18">
        <v>3578</v>
      </c>
      <c r="H1222" s="10">
        <v>7</v>
      </c>
      <c r="I1222" s="4">
        <v>1</v>
      </c>
      <c r="J1222" s="4" t="s">
        <v>14</v>
      </c>
      <c r="K1222" s="3" t="s">
        <v>14</v>
      </c>
      <c r="L1222" s="3" t="str">
        <f>IF(Table1[[#This Row],[Monthly Income]]&lt;3000,"Low",IF(Table1[[#This Row],[Monthly Income]]&lt;7000,"Medium","High"))</f>
        <v>Medium</v>
      </c>
      <c r="AK1222" s="4"/>
      <c r="AL1222" s="4"/>
      <c r="AM1222" s="4"/>
      <c r="AN1222" s="4"/>
      <c r="AO1222" s="4"/>
      <c r="AP1222" s="4"/>
      <c r="AQ1222" s="4"/>
      <c r="AR1222" s="4"/>
      <c r="AS1222" s="4"/>
      <c r="AU1222" s="4"/>
      <c r="AV1222" s="4"/>
      <c r="AW1222" s="4"/>
      <c r="AX1222" s="4"/>
      <c r="AY1222" s="4"/>
      <c r="AZ1222" s="4"/>
      <c r="BA1222" s="4"/>
      <c r="BB1222" s="4"/>
      <c r="BC1222" s="4"/>
      <c r="BD1222" s="4"/>
      <c r="BE1222" s="4"/>
    </row>
    <row r="1223" spans="2:57" x14ac:dyDescent="0.3">
      <c r="B1223" s="6" t="s">
        <v>1246</v>
      </c>
      <c r="C1223" s="6">
        <v>35</v>
      </c>
      <c r="D1223" s="6" t="s">
        <v>17</v>
      </c>
      <c r="E1223" s="6" t="s">
        <v>15</v>
      </c>
      <c r="F1223" s="6" t="s">
        <v>20</v>
      </c>
      <c r="G1223" s="19">
        <v>2450</v>
      </c>
      <c r="H1223" s="11">
        <v>3</v>
      </c>
      <c r="I1223" s="6">
        <v>1</v>
      </c>
      <c r="J1223" s="6" t="s">
        <v>14</v>
      </c>
      <c r="K1223" s="5" t="s">
        <v>14</v>
      </c>
      <c r="L1223" s="3" t="str">
        <f>IF(Table1[[#This Row],[Monthly Income]]&lt;3000,"Low",IF(Table1[[#This Row],[Monthly Income]]&lt;7000,"Medium","High"))</f>
        <v>Low</v>
      </c>
      <c r="AK1223" s="6"/>
      <c r="AL1223" s="6"/>
      <c r="AM1223" s="6"/>
      <c r="AN1223" s="6"/>
      <c r="AO1223" s="6"/>
      <c r="AP1223" s="6"/>
      <c r="AQ1223" s="6"/>
      <c r="AR1223" s="6"/>
      <c r="AS1223" s="6"/>
      <c r="AU1223" s="6"/>
      <c r="AV1223" s="6"/>
      <c r="AW1223" s="6"/>
      <c r="AX1223" s="6"/>
      <c r="AY1223" s="6"/>
      <c r="AZ1223" s="6"/>
      <c r="BA1223" s="6"/>
      <c r="BB1223" s="6"/>
      <c r="BC1223" s="6"/>
      <c r="BD1223" s="6"/>
      <c r="BE1223" s="6"/>
    </row>
    <row r="1224" spans="2:57" x14ac:dyDescent="0.3">
      <c r="B1224" s="4" t="s">
        <v>1247</v>
      </c>
      <c r="C1224" s="4">
        <v>33</v>
      </c>
      <c r="D1224" s="4" t="s">
        <v>17</v>
      </c>
      <c r="E1224" s="4" t="s">
        <v>15</v>
      </c>
      <c r="F1224" s="4" t="s">
        <v>27</v>
      </c>
      <c r="G1224" s="18">
        <v>4320</v>
      </c>
      <c r="H1224" s="10">
        <v>5</v>
      </c>
      <c r="I1224" s="4">
        <v>2</v>
      </c>
      <c r="J1224" s="4" t="s">
        <v>14</v>
      </c>
      <c r="K1224" s="3" t="s">
        <v>14</v>
      </c>
      <c r="L1224" s="3" t="str">
        <f>IF(Table1[[#This Row],[Monthly Income]]&lt;3000,"Low",IF(Table1[[#This Row],[Monthly Income]]&lt;7000,"Medium","High"))</f>
        <v>Medium</v>
      </c>
      <c r="AK1224" s="4"/>
      <c r="AL1224" s="4"/>
      <c r="AM1224" s="4"/>
      <c r="AN1224" s="4"/>
      <c r="AO1224" s="4"/>
      <c r="AP1224" s="4"/>
      <c r="AQ1224" s="4"/>
      <c r="AR1224" s="4"/>
      <c r="AS1224" s="4"/>
      <c r="AU1224" s="4"/>
      <c r="AV1224" s="4"/>
      <c r="AW1224" s="4"/>
      <c r="AX1224" s="4"/>
      <c r="AY1224" s="4"/>
      <c r="AZ1224" s="4"/>
      <c r="BA1224" s="4"/>
      <c r="BB1224" s="4"/>
      <c r="BC1224" s="4"/>
      <c r="BD1224" s="4"/>
      <c r="BE1224" s="4"/>
    </row>
    <row r="1225" spans="2:57" x14ac:dyDescent="0.3">
      <c r="B1225" s="6" t="s">
        <v>1248</v>
      </c>
      <c r="C1225" s="6">
        <v>29</v>
      </c>
      <c r="D1225" s="6" t="s">
        <v>17</v>
      </c>
      <c r="E1225" s="6" t="s">
        <v>15</v>
      </c>
      <c r="F1225" s="6" t="s">
        <v>20</v>
      </c>
      <c r="G1225" s="19">
        <v>2062</v>
      </c>
      <c r="H1225" s="11">
        <v>3</v>
      </c>
      <c r="I1225" s="6">
        <v>1</v>
      </c>
      <c r="J1225" s="6" t="s">
        <v>14</v>
      </c>
      <c r="K1225" s="5" t="s">
        <v>14</v>
      </c>
      <c r="L1225" s="3" t="str">
        <f>IF(Table1[[#This Row],[Monthly Income]]&lt;3000,"Low",IF(Table1[[#This Row],[Monthly Income]]&lt;7000,"Medium","High"))</f>
        <v>Low</v>
      </c>
      <c r="AK1225" s="6"/>
      <c r="AL1225" s="6"/>
      <c r="AM1225" s="6"/>
      <c r="AN1225" s="6"/>
      <c r="AO1225" s="6"/>
      <c r="AP1225" s="6"/>
      <c r="AQ1225" s="6"/>
      <c r="AR1225" s="6"/>
      <c r="AS1225" s="6"/>
      <c r="AU1225" s="6"/>
      <c r="AV1225" s="6"/>
      <c r="AW1225" s="6"/>
      <c r="AX1225" s="6"/>
      <c r="AY1225" s="6"/>
      <c r="AZ1225" s="6"/>
      <c r="BA1225" s="6"/>
      <c r="BB1225" s="6"/>
      <c r="BC1225" s="6"/>
      <c r="BD1225" s="6"/>
      <c r="BE1225" s="6"/>
    </row>
    <row r="1226" spans="2:57" x14ac:dyDescent="0.3">
      <c r="B1226" s="4" t="s">
        <v>1249</v>
      </c>
      <c r="C1226" s="4">
        <v>32</v>
      </c>
      <c r="D1226" s="4" t="s">
        <v>17</v>
      </c>
      <c r="E1226" s="4" t="s">
        <v>15</v>
      </c>
      <c r="F1226" s="4" t="s">
        <v>18</v>
      </c>
      <c r="G1226" s="18">
        <v>2439</v>
      </c>
      <c r="H1226" s="10">
        <v>4</v>
      </c>
      <c r="I1226" s="4">
        <v>1</v>
      </c>
      <c r="J1226" s="4" t="s">
        <v>14</v>
      </c>
      <c r="K1226" s="3" t="s">
        <v>14</v>
      </c>
      <c r="L1226" s="3" t="str">
        <f>IF(Table1[[#This Row],[Monthly Income]]&lt;3000,"Low",IF(Table1[[#This Row],[Monthly Income]]&lt;7000,"Medium","High"))</f>
        <v>Low</v>
      </c>
      <c r="AK1226" s="4"/>
      <c r="AL1226" s="4"/>
      <c r="AM1226" s="4"/>
      <c r="AN1226" s="4"/>
      <c r="AO1226" s="4"/>
      <c r="AP1226" s="4"/>
      <c r="AQ1226" s="4"/>
      <c r="AR1226" s="4"/>
      <c r="AS1226" s="4"/>
      <c r="AU1226" s="4"/>
      <c r="AV1226" s="4"/>
      <c r="AW1226" s="4"/>
      <c r="AX1226" s="4"/>
      <c r="AY1226" s="4"/>
      <c r="AZ1226" s="4"/>
      <c r="BA1226" s="4"/>
      <c r="BB1226" s="4"/>
      <c r="BC1226" s="4"/>
      <c r="BD1226" s="4"/>
      <c r="BE1226" s="4"/>
    </row>
    <row r="1227" spans="2:57" x14ac:dyDescent="0.3">
      <c r="B1227" s="6" t="s">
        <v>1250</v>
      </c>
      <c r="C1227" s="6">
        <v>44</v>
      </c>
      <c r="D1227" s="6" t="s">
        <v>17</v>
      </c>
      <c r="E1227" s="6" t="s">
        <v>15</v>
      </c>
      <c r="F1227" s="6" t="s">
        <v>18</v>
      </c>
      <c r="G1227" s="19">
        <v>3420</v>
      </c>
      <c r="H1227" s="11">
        <v>5</v>
      </c>
      <c r="I1227" s="6">
        <v>2</v>
      </c>
      <c r="J1227" s="6" t="s">
        <v>14</v>
      </c>
      <c r="K1227" s="5" t="s">
        <v>14</v>
      </c>
      <c r="L1227" s="3" t="str">
        <f>IF(Table1[[#This Row],[Monthly Income]]&lt;3000,"Low",IF(Table1[[#This Row],[Monthly Income]]&lt;7000,"Medium","High"))</f>
        <v>Medium</v>
      </c>
      <c r="AK1227" s="6"/>
      <c r="AL1227" s="6"/>
      <c r="AM1227" s="6"/>
      <c r="AN1227" s="6"/>
      <c r="AO1227" s="6"/>
      <c r="AP1227" s="6"/>
      <c r="AQ1227" s="6"/>
      <c r="AR1227" s="6"/>
      <c r="AS1227" s="6"/>
      <c r="AU1227" s="6"/>
      <c r="AV1227" s="6"/>
      <c r="AW1227" s="6"/>
      <c r="AX1227" s="6"/>
      <c r="AY1227" s="6"/>
      <c r="AZ1227" s="6"/>
      <c r="BA1227" s="6"/>
      <c r="BB1227" s="6"/>
      <c r="BC1227" s="6"/>
      <c r="BD1227" s="6"/>
      <c r="BE1227" s="6"/>
    </row>
    <row r="1228" spans="2:57" x14ac:dyDescent="0.3">
      <c r="B1228" s="4" t="s">
        <v>1251</v>
      </c>
      <c r="C1228" s="4">
        <v>42</v>
      </c>
      <c r="D1228" s="4" t="s">
        <v>17</v>
      </c>
      <c r="E1228" s="4" t="s">
        <v>15</v>
      </c>
      <c r="F1228" s="4" t="s">
        <v>20</v>
      </c>
      <c r="G1228" s="18">
        <v>3968</v>
      </c>
      <c r="H1228" s="10">
        <v>0</v>
      </c>
      <c r="I1228" s="4">
        <v>3</v>
      </c>
      <c r="J1228" s="4" t="s">
        <v>14</v>
      </c>
      <c r="K1228" s="3" t="s">
        <v>14</v>
      </c>
      <c r="L1228" s="3" t="str">
        <f>IF(Table1[[#This Row],[Monthly Income]]&lt;3000,"Low",IF(Table1[[#This Row],[Monthly Income]]&lt;7000,"Medium","High"))</f>
        <v>Medium</v>
      </c>
      <c r="AK1228" s="4"/>
      <c r="AL1228" s="4"/>
      <c r="AM1228" s="4"/>
      <c r="AN1228" s="4"/>
      <c r="AO1228" s="4"/>
      <c r="AP1228" s="4"/>
      <c r="AQ1228" s="4"/>
      <c r="AR1228" s="4"/>
      <c r="AS1228" s="4"/>
      <c r="AU1228" s="4"/>
      <c r="AV1228" s="4"/>
      <c r="AW1228" s="4"/>
      <c r="AX1228" s="4"/>
      <c r="AY1228" s="4"/>
      <c r="AZ1228" s="4"/>
      <c r="BA1228" s="4"/>
      <c r="BB1228" s="4"/>
      <c r="BC1228" s="4"/>
      <c r="BD1228" s="4"/>
      <c r="BE1228" s="4"/>
    </row>
    <row r="1229" spans="2:57" x14ac:dyDescent="0.3">
      <c r="B1229" s="6" t="s">
        <v>1252</v>
      </c>
      <c r="C1229" s="6">
        <v>22</v>
      </c>
      <c r="D1229" s="6" t="s">
        <v>17</v>
      </c>
      <c r="E1229" s="6" t="s">
        <v>15</v>
      </c>
      <c r="F1229" s="6" t="s">
        <v>18</v>
      </c>
      <c r="G1229" s="19">
        <v>3375</v>
      </c>
      <c r="H1229" s="11">
        <v>3</v>
      </c>
      <c r="I1229" s="6">
        <v>3</v>
      </c>
      <c r="J1229" s="6" t="s">
        <v>14</v>
      </c>
      <c r="K1229" s="5" t="s">
        <v>14</v>
      </c>
      <c r="L1229" s="3" t="str">
        <f>IF(Table1[[#This Row],[Monthly Income]]&lt;3000,"Low",IF(Table1[[#This Row],[Monthly Income]]&lt;7000,"Medium","High"))</f>
        <v>Medium</v>
      </c>
      <c r="AK1229" s="6"/>
      <c r="AL1229" s="6"/>
      <c r="AM1229" s="6"/>
      <c r="AN1229" s="6"/>
      <c r="AO1229" s="6"/>
      <c r="AP1229" s="6"/>
      <c r="AQ1229" s="6"/>
      <c r="AR1229" s="6"/>
      <c r="AS1229" s="6"/>
      <c r="AU1229" s="6"/>
      <c r="AV1229" s="6"/>
      <c r="AW1229" s="6"/>
      <c r="AX1229" s="6"/>
      <c r="AY1229" s="6"/>
      <c r="AZ1229" s="6"/>
      <c r="BA1229" s="6"/>
      <c r="BB1229" s="6"/>
      <c r="BC1229" s="6"/>
      <c r="BD1229" s="6"/>
      <c r="BE1229" s="6"/>
    </row>
    <row r="1230" spans="2:57" x14ac:dyDescent="0.3">
      <c r="B1230" s="4" t="s">
        <v>1253</v>
      </c>
      <c r="C1230" s="4">
        <v>23</v>
      </c>
      <c r="D1230" s="4" t="s">
        <v>17</v>
      </c>
      <c r="E1230" s="4" t="s">
        <v>15</v>
      </c>
      <c r="F1230" s="4" t="s">
        <v>20</v>
      </c>
      <c r="G1230" s="18">
        <v>2647</v>
      </c>
      <c r="H1230" s="10">
        <v>5</v>
      </c>
      <c r="I1230" s="4">
        <v>4</v>
      </c>
      <c r="J1230" s="4" t="s">
        <v>14</v>
      </c>
      <c r="K1230" s="3" t="s">
        <v>14</v>
      </c>
      <c r="L1230" s="3" t="str">
        <f>IF(Table1[[#This Row],[Monthly Income]]&lt;3000,"Low",IF(Table1[[#This Row],[Monthly Income]]&lt;7000,"Medium","High"))</f>
        <v>Low</v>
      </c>
      <c r="AK1230" s="4"/>
      <c r="AL1230" s="4"/>
      <c r="AM1230" s="4"/>
      <c r="AN1230" s="4"/>
      <c r="AO1230" s="4"/>
      <c r="AP1230" s="4"/>
      <c r="AQ1230" s="4"/>
      <c r="AR1230" s="4"/>
      <c r="AS1230" s="4"/>
      <c r="AU1230" s="4"/>
      <c r="AV1230" s="4"/>
      <c r="AW1230" s="4"/>
      <c r="AX1230" s="4"/>
      <c r="AY1230" s="4"/>
      <c r="AZ1230" s="4"/>
      <c r="BA1230" s="4"/>
      <c r="BB1230" s="4"/>
      <c r="BC1230" s="4"/>
      <c r="BD1230" s="4"/>
      <c r="BE1230" s="4"/>
    </row>
    <row r="1231" spans="2:57" x14ac:dyDescent="0.3">
      <c r="B1231" s="6" t="s">
        <v>1254</v>
      </c>
      <c r="C1231" s="6">
        <v>53</v>
      </c>
      <c r="D1231" s="6" t="s">
        <v>17</v>
      </c>
      <c r="E1231" s="6" t="s">
        <v>15</v>
      </c>
      <c r="F1231" s="6" t="s">
        <v>45</v>
      </c>
      <c r="G1231" s="19">
        <v>16598</v>
      </c>
      <c r="H1231" s="11">
        <v>9</v>
      </c>
      <c r="I1231" s="6">
        <v>2</v>
      </c>
      <c r="J1231" s="6" t="s">
        <v>14</v>
      </c>
      <c r="K1231" s="5" t="s">
        <v>14</v>
      </c>
      <c r="L1231" s="3" t="str">
        <f>IF(Table1[[#This Row],[Monthly Income]]&lt;3000,"Low",IF(Table1[[#This Row],[Monthly Income]]&lt;7000,"Medium","High"))</f>
        <v>High</v>
      </c>
      <c r="AK1231" s="6"/>
      <c r="AL1231" s="6"/>
      <c r="AM1231" s="6"/>
      <c r="AN1231" s="6"/>
      <c r="AO1231" s="6"/>
      <c r="AP1231" s="6"/>
      <c r="AQ1231" s="6"/>
      <c r="AR1231" s="6"/>
      <c r="AS1231" s="6"/>
      <c r="AU1231" s="6"/>
      <c r="AV1231" s="6"/>
      <c r="AW1231" s="6"/>
      <c r="AX1231" s="6"/>
      <c r="AY1231" s="6"/>
      <c r="AZ1231" s="6"/>
      <c r="BA1231" s="6"/>
      <c r="BB1231" s="6"/>
      <c r="BC1231" s="6"/>
      <c r="BD1231" s="6"/>
      <c r="BE1231" s="6"/>
    </row>
    <row r="1232" spans="2:57" x14ac:dyDescent="0.3">
      <c r="B1232" s="4" t="s">
        <v>1255</v>
      </c>
      <c r="C1232" s="4">
        <v>31</v>
      </c>
      <c r="D1232" s="4" t="s">
        <v>17</v>
      </c>
      <c r="E1232" s="4" t="s">
        <v>10</v>
      </c>
      <c r="F1232" s="4" t="s">
        <v>13</v>
      </c>
      <c r="G1232" s="18">
        <v>10793</v>
      </c>
      <c r="H1232" s="10">
        <v>13</v>
      </c>
      <c r="I1232" s="4">
        <v>4</v>
      </c>
      <c r="J1232" s="4" t="s">
        <v>14</v>
      </c>
      <c r="K1232" s="3" t="s">
        <v>14</v>
      </c>
      <c r="L1232" s="3" t="str">
        <f>IF(Table1[[#This Row],[Monthly Income]]&lt;3000,"Low",IF(Table1[[#This Row],[Monthly Income]]&lt;7000,"Medium","High"))</f>
        <v>High</v>
      </c>
      <c r="AK1232" s="4"/>
      <c r="AL1232" s="4"/>
      <c r="AM1232" s="4"/>
      <c r="AN1232" s="4"/>
      <c r="AO1232" s="4"/>
      <c r="AP1232" s="4"/>
      <c r="AQ1232" s="4"/>
      <c r="AR1232" s="4"/>
      <c r="AS1232" s="4"/>
      <c r="AU1232" s="4"/>
      <c r="AV1232" s="4"/>
      <c r="AW1232" s="4"/>
      <c r="AX1232" s="4"/>
      <c r="AY1232" s="4"/>
      <c r="AZ1232" s="4"/>
      <c r="BA1232" s="4"/>
      <c r="BB1232" s="4"/>
      <c r="BC1232" s="4"/>
      <c r="BD1232" s="4"/>
      <c r="BE1232" s="4"/>
    </row>
    <row r="1233" spans="2:57" x14ac:dyDescent="0.3">
      <c r="B1233" s="6" t="s">
        <v>1256</v>
      </c>
      <c r="C1233" s="6">
        <v>30</v>
      </c>
      <c r="D1233" s="6" t="s">
        <v>17</v>
      </c>
      <c r="E1233" s="6" t="s">
        <v>10</v>
      </c>
      <c r="F1233" s="6" t="s">
        <v>13</v>
      </c>
      <c r="G1233" s="19">
        <v>7140</v>
      </c>
      <c r="H1233" s="11">
        <v>7</v>
      </c>
      <c r="I1233" s="6">
        <v>1</v>
      </c>
      <c r="J1233" s="6" t="s">
        <v>14</v>
      </c>
      <c r="K1233" s="5" t="s">
        <v>14</v>
      </c>
      <c r="L1233" s="3" t="str">
        <f>IF(Table1[[#This Row],[Monthly Income]]&lt;3000,"Low",IF(Table1[[#This Row],[Monthly Income]]&lt;7000,"Medium","High"))</f>
        <v>High</v>
      </c>
      <c r="AK1233" s="6"/>
      <c r="AL1233" s="6"/>
      <c r="AM1233" s="6"/>
      <c r="AN1233" s="6"/>
      <c r="AO1233" s="6"/>
      <c r="AP1233" s="6"/>
      <c r="AQ1233" s="6"/>
      <c r="AR1233" s="6"/>
      <c r="AS1233" s="6"/>
      <c r="AU1233" s="6"/>
      <c r="AV1233" s="6"/>
      <c r="AW1233" s="6"/>
      <c r="AX1233" s="6"/>
      <c r="AY1233" s="6"/>
      <c r="AZ1233" s="6"/>
      <c r="BA1233" s="6"/>
      <c r="BB1233" s="6"/>
      <c r="BC1233" s="6"/>
      <c r="BD1233" s="6"/>
      <c r="BE1233" s="6"/>
    </row>
    <row r="1234" spans="2:57" x14ac:dyDescent="0.3">
      <c r="B1234" s="4" t="s">
        <v>1257</v>
      </c>
      <c r="C1234" s="4">
        <v>41</v>
      </c>
      <c r="D1234" s="4" t="s">
        <v>17</v>
      </c>
      <c r="E1234" s="4" t="s">
        <v>10</v>
      </c>
      <c r="F1234" s="4" t="s">
        <v>13</v>
      </c>
      <c r="G1234" s="18">
        <v>8938</v>
      </c>
      <c r="H1234" s="10">
        <v>5</v>
      </c>
      <c r="I1234" s="4">
        <v>2</v>
      </c>
      <c r="J1234" s="4" t="s">
        <v>14</v>
      </c>
      <c r="K1234" s="3" t="s">
        <v>14</v>
      </c>
      <c r="L1234" s="3" t="str">
        <f>IF(Table1[[#This Row],[Monthly Income]]&lt;3000,"Low",IF(Table1[[#This Row],[Monthly Income]]&lt;7000,"Medium","High"))</f>
        <v>High</v>
      </c>
      <c r="AK1234" s="4"/>
      <c r="AL1234" s="4"/>
      <c r="AM1234" s="4"/>
      <c r="AN1234" s="4"/>
      <c r="AO1234" s="4"/>
      <c r="AP1234" s="4"/>
      <c r="AQ1234" s="4"/>
      <c r="AR1234" s="4"/>
      <c r="AS1234" s="4"/>
      <c r="AU1234" s="4"/>
      <c r="AV1234" s="4"/>
      <c r="AW1234" s="4"/>
      <c r="AX1234" s="4"/>
      <c r="AY1234" s="4"/>
      <c r="AZ1234" s="4"/>
      <c r="BA1234" s="4"/>
      <c r="BB1234" s="4"/>
      <c r="BC1234" s="4"/>
      <c r="BD1234" s="4"/>
      <c r="BE1234" s="4"/>
    </row>
    <row r="1235" spans="2:57" x14ac:dyDescent="0.3">
      <c r="B1235" s="6" t="s">
        <v>1258</v>
      </c>
      <c r="C1235" s="6">
        <v>34</v>
      </c>
      <c r="D1235" s="6" t="s">
        <v>17</v>
      </c>
      <c r="E1235" s="6" t="s">
        <v>10</v>
      </c>
      <c r="F1235" s="6" t="s">
        <v>13</v>
      </c>
      <c r="G1235" s="19">
        <v>8628</v>
      </c>
      <c r="H1235" s="11">
        <v>8</v>
      </c>
      <c r="I1235" s="6">
        <v>3</v>
      </c>
      <c r="J1235" s="6" t="s">
        <v>14</v>
      </c>
      <c r="K1235" s="5" t="s">
        <v>14</v>
      </c>
      <c r="L1235" s="3" t="str">
        <f>IF(Table1[[#This Row],[Monthly Income]]&lt;3000,"Low",IF(Table1[[#This Row],[Monthly Income]]&lt;7000,"Medium","High"))</f>
        <v>High</v>
      </c>
      <c r="AK1235" s="6"/>
      <c r="AL1235" s="6"/>
      <c r="AM1235" s="6"/>
      <c r="AN1235" s="6"/>
      <c r="AO1235" s="6"/>
      <c r="AP1235" s="6"/>
      <c r="AQ1235" s="6"/>
      <c r="AR1235" s="6"/>
      <c r="AS1235" s="6"/>
      <c r="AU1235" s="6"/>
      <c r="AV1235" s="6"/>
      <c r="AW1235" s="6"/>
      <c r="AX1235" s="6"/>
      <c r="AY1235" s="6"/>
      <c r="AZ1235" s="6"/>
      <c r="BA1235" s="6"/>
      <c r="BB1235" s="6"/>
      <c r="BC1235" s="6"/>
      <c r="BD1235" s="6"/>
      <c r="BE1235" s="6"/>
    </row>
    <row r="1236" spans="2:57" x14ac:dyDescent="0.3">
      <c r="B1236" s="4" t="s">
        <v>1259</v>
      </c>
      <c r="C1236" s="4">
        <v>29</v>
      </c>
      <c r="D1236" s="4" t="s">
        <v>17</v>
      </c>
      <c r="E1236" s="4" t="s">
        <v>10</v>
      </c>
      <c r="F1236" s="4" t="s">
        <v>13</v>
      </c>
      <c r="G1236" s="18">
        <v>8620</v>
      </c>
      <c r="H1236" s="10">
        <v>10</v>
      </c>
      <c r="I1236" s="4">
        <v>3</v>
      </c>
      <c r="J1236" s="4" t="s">
        <v>14</v>
      </c>
      <c r="K1236" s="3" t="s">
        <v>14</v>
      </c>
      <c r="L1236" s="3" t="str">
        <f>IF(Table1[[#This Row],[Monthly Income]]&lt;3000,"Low",IF(Table1[[#This Row],[Monthly Income]]&lt;7000,"Medium","High"))</f>
        <v>High</v>
      </c>
      <c r="AK1236" s="4"/>
      <c r="AL1236" s="4"/>
      <c r="AM1236" s="4"/>
      <c r="AN1236" s="4"/>
      <c r="AO1236" s="4"/>
      <c r="AP1236" s="4"/>
      <c r="AQ1236" s="4"/>
      <c r="AR1236" s="4"/>
      <c r="AS1236" s="4"/>
      <c r="AU1236" s="4"/>
      <c r="AV1236" s="4"/>
      <c r="AW1236" s="4"/>
      <c r="AX1236" s="4"/>
      <c r="AY1236" s="4"/>
      <c r="AZ1236" s="4"/>
      <c r="BA1236" s="4"/>
      <c r="BB1236" s="4"/>
      <c r="BC1236" s="4"/>
      <c r="BD1236" s="4"/>
      <c r="BE1236" s="4"/>
    </row>
    <row r="1237" spans="2:57" x14ac:dyDescent="0.3">
      <c r="B1237" s="6" t="s">
        <v>1260</v>
      </c>
      <c r="C1237" s="6">
        <v>33</v>
      </c>
      <c r="D1237" s="6" t="s">
        <v>17</v>
      </c>
      <c r="E1237" s="6" t="s">
        <v>10</v>
      </c>
      <c r="F1237" s="6" t="s">
        <v>13</v>
      </c>
      <c r="G1237" s="19">
        <v>5505</v>
      </c>
      <c r="H1237" s="11">
        <v>6</v>
      </c>
      <c r="I1237" s="6">
        <v>4</v>
      </c>
      <c r="J1237" s="6" t="s">
        <v>14</v>
      </c>
      <c r="K1237" s="5" t="s">
        <v>14</v>
      </c>
      <c r="L1237" s="3" t="str">
        <f>IF(Table1[[#This Row],[Monthly Income]]&lt;3000,"Low",IF(Table1[[#This Row],[Monthly Income]]&lt;7000,"Medium","High"))</f>
        <v>Medium</v>
      </c>
      <c r="AK1237" s="6"/>
      <c r="AL1237" s="6"/>
      <c r="AM1237" s="6"/>
      <c r="AN1237" s="6"/>
      <c r="AO1237" s="6"/>
      <c r="AP1237" s="6"/>
      <c r="AQ1237" s="6"/>
      <c r="AR1237" s="6"/>
      <c r="AS1237" s="6"/>
      <c r="AU1237" s="6"/>
      <c r="AV1237" s="6"/>
      <c r="AW1237" s="6"/>
      <c r="AX1237" s="6"/>
      <c r="AY1237" s="6"/>
      <c r="AZ1237" s="6"/>
      <c r="BA1237" s="6"/>
      <c r="BB1237" s="6"/>
      <c r="BC1237" s="6"/>
      <c r="BD1237" s="6"/>
      <c r="BE1237" s="6"/>
    </row>
    <row r="1238" spans="2:57" x14ac:dyDescent="0.3">
      <c r="B1238" s="4" t="s">
        <v>1261</v>
      </c>
      <c r="C1238" s="4">
        <v>48</v>
      </c>
      <c r="D1238" s="4" t="s">
        <v>17</v>
      </c>
      <c r="E1238" s="4" t="s">
        <v>10</v>
      </c>
      <c r="F1238" s="4" t="s">
        <v>13</v>
      </c>
      <c r="G1238" s="18">
        <v>5486</v>
      </c>
      <c r="H1238" s="10">
        <v>2</v>
      </c>
      <c r="I1238" s="4">
        <v>1</v>
      </c>
      <c r="J1238" s="4" t="s">
        <v>14</v>
      </c>
      <c r="K1238" s="3" t="s">
        <v>14</v>
      </c>
      <c r="L1238" s="3" t="str">
        <f>IF(Table1[[#This Row],[Monthly Income]]&lt;3000,"Low",IF(Table1[[#This Row],[Monthly Income]]&lt;7000,"Medium","High"))</f>
        <v>Medium</v>
      </c>
      <c r="AK1238" s="4"/>
      <c r="AL1238" s="4"/>
      <c r="AM1238" s="4"/>
      <c r="AN1238" s="4"/>
      <c r="AO1238" s="4"/>
      <c r="AP1238" s="4"/>
      <c r="AQ1238" s="4"/>
      <c r="AR1238" s="4"/>
      <c r="AS1238" s="4"/>
      <c r="AU1238" s="4"/>
      <c r="AV1238" s="4"/>
      <c r="AW1238" s="4"/>
      <c r="AX1238" s="4"/>
      <c r="AY1238" s="4"/>
      <c r="AZ1238" s="4"/>
      <c r="BA1238" s="4"/>
      <c r="BB1238" s="4"/>
      <c r="BC1238" s="4"/>
      <c r="BD1238" s="4"/>
      <c r="BE1238" s="4"/>
    </row>
    <row r="1239" spans="2:57" x14ac:dyDescent="0.3">
      <c r="B1239" s="6" t="s">
        <v>1262</v>
      </c>
      <c r="C1239" s="6">
        <v>40</v>
      </c>
      <c r="D1239" s="6" t="s">
        <v>17</v>
      </c>
      <c r="E1239" s="6" t="s">
        <v>10</v>
      </c>
      <c r="F1239" s="6" t="s">
        <v>13</v>
      </c>
      <c r="G1239" s="19">
        <v>5473</v>
      </c>
      <c r="H1239" s="11">
        <v>8</v>
      </c>
      <c r="I1239" s="6">
        <v>1</v>
      </c>
      <c r="J1239" s="6" t="s">
        <v>14</v>
      </c>
      <c r="K1239" s="5" t="s">
        <v>14</v>
      </c>
      <c r="L1239" s="3" t="str">
        <f>IF(Table1[[#This Row],[Monthly Income]]&lt;3000,"Low",IF(Table1[[#This Row],[Monthly Income]]&lt;7000,"Medium","High"))</f>
        <v>Medium</v>
      </c>
      <c r="AK1239" s="6"/>
      <c r="AL1239" s="6"/>
      <c r="AM1239" s="6"/>
      <c r="AN1239" s="6"/>
      <c r="AO1239" s="6"/>
      <c r="AP1239" s="6"/>
      <c r="AQ1239" s="6"/>
      <c r="AR1239" s="6"/>
      <c r="AS1239" s="6"/>
      <c r="AU1239" s="6"/>
      <c r="AV1239" s="6"/>
      <c r="AW1239" s="6"/>
      <c r="AX1239" s="6"/>
      <c r="AY1239" s="6"/>
      <c r="AZ1239" s="6"/>
      <c r="BA1239" s="6"/>
      <c r="BB1239" s="6"/>
      <c r="BC1239" s="6"/>
      <c r="BD1239" s="6"/>
      <c r="BE1239" s="6"/>
    </row>
    <row r="1240" spans="2:57" x14ac:dyDescent="0.3">
      <c r="B1240" s="4" t="s">
        <v>1263</v>
      </c>
      <c r="C1240" s="4">
        <v>33</v>
      </c>
      <c r="D1240" s="4" t="s">
        <v>17</v>
      </c>
      <c r="E1240" s="4" t="s">
        <v>10</v>
      </c>
      <c r="F1240" s="4" t="s">
        <v>13</v>
      </c>
      <c r="G1240" s="18">
        <v>6392</v>
      </c>
      <c r="H1240" s="10">
        <v>2</v>
      </c>
      <c r="I1240" s="4">
        <v>1</v>
      </c>
      <c r="J1240" s="4" t="s">
        <v>14</v>
      </c>
      <c r="K1240" s="3" t="s">
        <v>14</v>
      </c>
      <c r="L1240" s="3" t="str">
        <f>IF(Table1[[#This Row],[Monthly Income]]&lt;3000,"Low",IF(Table1[[#This Row],[Monthly Income]]&lt;7000,"Medium","High"))</f>
        <v>Medium</v>
      </c>
      <c r="AK1240" s="4"/>
      <c r="AL1240" s="4"/>
      <c r="AM1240" s="4"/>
      <c r="AN1240" s="4"/>
      <c r="AO1240" s="4"/>
      <c r="AP1240" s="4"/>
      <c r="AQ1240" s="4"/>
      <c r="AR1240" s="4"/>
      <c r="AS1240" s="4"/>
      <c r="AU1240" s="4"/>
      <c r="AV1240" s="4"/>
      <c r="AW1240" s="4"/>
      <c r="AX1240" s="4"/>
      <c r="AY1240" s="4"/>
      <c r="AZ1240" s="4"/>
      <c r="BA1240" s="4"/>
      <c r="BB1240" s="4"/>
      <c r="BC1240" s="4"/>
      <c r="BD1240" s="4"/>
      <c r="BE1240" s="4"/>
    </row>
    <row r="1241" spans="2:57" x14ac:dyDescent="0.3">
      <c r="B1241" s="6" t="s">
        <v>1264</v>
      </c>
      <c r="C1241" s="6">
        <v>31</v>
      </c>
      <c r="D1241" s="6" t="s">
        <v>17</v>
      </c>
      <c r="E1241" s="6" t="s">
        <v>10</v>
      </c>
      <c r="F1241" s="6" t="s">
        <v>43</v>
      </c>
      <c r="G1241" s="19">
        <v>3067</v>
      </c>
      <c r="H1241" s="11">
        <v>2</v>
      </c>
      <c r="I1241" s="6">
        <v>3</v>
      </c>
      <c r="J1241" s="6" t="s">
        <v>14</v>
      </c>
      <c r="K1241" s="5" t="s">
        <v>14</v>
      </c>
      <c r="L1241" s="3" t="str">
        <f>IF(Table1[[#This Row],[Monthly Income]]&lt;3000,"Low",IF(Table1[[#This Row],[Monthly Income]]&lt;7000,"Medium","High"))</f>
        <v>Medium</v>
      </c>
      <c r="AK1241" s="6"/>
      <c r="AL1241" s="6"/>
      <c r="AM1241" s="6"/>
      <c r="AN1241" s="6"/>
      <c r="AO1241" s="6"/>
      <c r="AP1241" s="6"/>
      <c r="AQ1241" s="6"/>
      <c r="AR1241" s="6"/>
      <c r="AS1241" s="6"/>
      <c r="AU1241" s="6"/>
      <c r="AV1241" s="6"/>
      <c r="AW1241" s="6"/>
      <c r="AX1241" s="6"/>
      <c r="AY1241" s="6"/>
      <c r="AZ1241" s="6"/>
      <c r="BA1241" s="6"/>
      <c r="BB1241" s="6"/>
      <c r="BC1241" s="6"/>
      <c r="BD1241" s="6"/>
      <c r="BE1241" s="6"/>
    </row>
    <row r="1242" spans="2:57" x14ac:dyDescent="0.3">
      <c r="B1242" s="4" t="s">
        <v>1265</v>
      </c>
      <c r="C1242" s="4">
        <v>31</v>
      </c>
      <c r="D1242" s="4" t="s">
        <v>17</v>
      </c>
      <c r="E1242" s="4" t="s">
        <v>10</v>
      </c>
      <c r="F1242" s="4" t="s">
        <v>13</v>
      </c>
      <c r="G1242" s="18">
        <v>8346</v>
      </c>
      <c r="H1242" s="10">
        <v>5</v>
      </c>
      <c r="I1242" s="4">
        <v>3</v>
      </c>
      <c r="J1242" s="4" t="s">
        <v>14</v>
      </c>
      <c r="K1242" s="3" t="s">
        <v>14</v>
      </c>
      <c r="L1242" s="3" t="str">
        <f>IF(Table1[[#This Row],[Monthly Income]]&lt;3000,"Low",IF(Table1[[#This Row],[Monthly Income]]&lt;7000,"Medium","High"))</f>
        <v>High</v>
      </c>
      <c r="AK1242" s="4"/>
      <c r="AL1242" s="4"/>
      <c r="AM1242" s="4"/>
      <c r="AN1242" s="4"/>
      <c r="AO1242" s="4"/>
      <c r="AP1242" s="4"/>
      <c r="AQ1242" s="4"/>
      <c r="AR1242" s="4"/>
      <c r="AS1242" s="4"/>
      <c r="AU1242" s="4"/>
      <c r="AV1242" s="4"/>
      <c r="AW1242" s="4"/>
      <c r="AX1242" s="4"/>
      <c r="AY1242" s="4"/>
      <c r="AZ1242" s="4"/>
      <c r="BA1242" s="4"/>
      <c r="BB1242" s="4"/>
      <c r="BC1242" s="4"/>
      <c r="BD1242" s="4"/>
      <c r="BE1242" s="4"/>
    </row>
    <row r="1243" spans="2:57" x14ac:dyDescent="0.3">
      <c r="B1243" s="6" t="s">
        <v>1266</v>
      </c>
      <c r="C1243" s="6">
        <v>32</v>
      </c>
      <c r="D1243" s="6" t="s">
        <v>17</v>
      </c>
      <c r="E1243" s="6" t="s">
        <v>10</v>
      </c>
      <c r="F1243" s="6" t="s">
        <v>43</v>
      </c>
      <c r="G1243" s="19">
        <v>2269</v>
      </c>
      <c r="H1243" s="11">
        <v>2</v>
      </c>
      <c r="I1243" s="6">
        <v>2</v>
      </c>
      <c r="J1243" s="6" t="s">
        <v>14</v>
      </c>
      <c r="K1243" s="5" t="s">
        <v>14</v>
      </c>
      <c r="L1243" s="3" t="str">
        <f>IF(Table1[[#This Row],[Monthly Income]]&lt;3000,"Low",IF(Table1[[#This Row],[Monthly Income]]&lt;7000,"Medium","High"))</f>
        <v>Low</v>
      </c>
      <c r="AK1243" s="6"/>
      <c r="AL1243" s="6"/>
      <c r="AM1243" s="6"/>
      <c r="AN1243" s="6"/>
      <c r="AO1243" s="6"/>
      <c r="AP1243" s="6"/>
      <c r="AQ1243" s="6"/>
      <c r="AR1243" s="6"/>
      <c r="AS1243" s="6"/>
      <c r="AU1243" s="6"/>
      <c r="AV1243" s="6"/>
      <c r="AW1243" s="6"/>
      <c r="AX1243" s="6"/>
      <c r="AY1243" s="6"/>
      <c r="AZ1243" s="6"/>
      <c r="BA1243" s="6"/>
      <c r="BB1243" s="6"/>
      <c r="BC1243" s="6"/>
      <c r="BD1243" s="6"/>
      <c r="BE1243" s="6"/>
    </row>
    <row r="1244" spans="2:57" x14ac:dyDescent="0.3">
      <c r="B1244" s="4" t="s">
        <v>1267</v>
      </c>
      <c r="C1244" s="4">
        <v>35</v>
      </c>
      <c r="D1244" s="4" t="s">
        <v>17</v>
      </c>
      <c r="E1244" s="4" t="s">
        <v>10</v>
      </c>
      <c r="F1244" s="4" t="s">
        <v>13</v>
      </c>
      <c r="G1244" s="18">
        <v>5561</v>
      </c>
      <c r="H1244" s="10">
        <v>5</v>
      </c>
      <c r="I1244" s="4">
        <v>1</v>
      </c>
      <c r="J1244" s="4" t="s">
        <v>14</v>
      </c>
      <c r="K1244" s="3" t="s">
        <v>14</v>
      </c>
      <c r="L1244" s="3" t="str">
        <f>IF(Table1[[#This Row],[Monthly Income]]&lt;3000,"Low",IF(Table1[[#This Row],[Monthly Income]]&lt;7000,"Medium","High"))</f>
        <v>Medium</v>
      </c>
      <c r="AK1244" s="4"/>
      <c r="AL1244" s="4"/>
      <c r="AM1244" s="4"/>
      <c r="AN1244" s="4"/>
      <c r="AO1244" s="4"/>
      <c r="AP1244" s="4"/>
      <c r="AQ1244" s="4"/>
      <c r="AR1244" s="4"/>
      <c r="AS1244" s="4"/>
      <c r="AU1244" s="4"/>
      <c r="AV1244" s="4"/>
      <c r="AW1244" s="4"/>
      <c r="AX1244" s="4"/>
      <c r="AY1244" s="4"/>
      <c r="AZ1244" s="4"/>
      <c r="BA1244" s="4"/>
      <c r="BB1244" s="4"/>
      <c r="BC1244" s="4"/>
      <c r="BD1244" s="4"/>
      <c r="BE1244" s="4"/>
    </row>
    <row r="1245" spans="2:57" x14ac:dyDescent="0.3">
      <c r="B1245" s="6" t="s">
        <v>1268</v>
      </c>
      <c r="C1245" s="6">
        <v>30</v>
      </c>
      <c r="D1245" s="6" t="s">
        <v>17</v>
      </c>
      <c r="E1245" s="6" t="s">
        <v>10</v>
      </c>
      <c r="F1245" s="6" t="s">
        <v>13</v>
      </c>
      <c r="G1245" s="19">
        <v>9250</v>
      </c>
      <c r="H1245" s="11">
        <v>4</v>
      </c>
      <c r="I1245" s="6">
        <v>2</v>
      </c>
      <c r="J1245" s="6" t="s">
        <v>14</v>
      </c>
      <c r="K1245" s="5" t="s">
        <v>14</v>
      </c>
      <c r="L1245" s="3" t="str">
        <f>IF(Table1[[#This Row],[Monthly Income]]&lt;3000,"Low",IF(Table1[[#This Row],[Monthly Income]]&lt;7000,"Medium","High"))</f>
        <v>High</v>
      </c>
      <c r="AK1245" s="6"/>
      <c r="AL1245" s="6"/>
      <c r="AM1245" s="6"/>
      <c r="AN1245" s="6"/>
      <c r="AO1245" s="6"/>
      <c r="AP1245" s="6"/>
      <c r="AQ1245" s="6"/>
      <c r="AR1245" s="6"/>
      <c r="AS1245" s="6"/>
      <c r="AU1245" s="6"/>
      <c r="AV1245" s="6"/>
      <c r="AW1245" s="6"/>
      <c r="AX1245" s="6"/>
      <c r="AY1245" s="6"/>
      <c r="AZ1245" s="6"/>
      <c r="BA1245" s="6"/>
      <c r="BB1245" s="6"/>
      <c r="BC1245" s="6"/>
      <c r="BD1245" s="6"/>
      <c r="BE1245" s="6"/>
    </row>
    <row r="1246" spans="2:57" x14ac:dyDescent="0.3">
      <c r="B1246" s="4" t="s">
        <v>1269</v>
      </c>
      <c r="C1246" s="4">
        <v>38</v>
      </c>
      <c r="D1246" s="4" t="s">
        <v>17</v>
      </c>
      <c r="E1246" s="4" t="s">
        <v>10</v>
      </c>
      <c r="F1246" s="4" t="s">
        <v>13</v>
      </c>
      <c r="G1246" s="18">
        <v>9924</v>
      </c>
      <c r="H1246" s="10">
        <v>9</v>
      </c>
      <c r="I1246" s="4">
        <v>2</v>
      </c>
      <c r="J1246" s="4" t="s">
        <v>14</v>
      </c>
      <c r="K1246" s="3" t="s">
        <v>14</v>
      </c>
      <c r="L1246" s="3" t="str">
        <f>IF(Table1[[#This Row],[Monthly Income]]&lt;3000,"Low",IF(Table1[[#This Row],[Monthly Income]]&lt;7000,"Medium","High"))</f>
        <v>High</v>
      </c>
      <c r="AK1246" s="4"/>
      <c r="AL1246" s="4"/>
      <c r="AM1246" s="4"/>
      <c r="AN1246" s="4"/>
      <c r="AO1246" s="4"/>
      <c r="AP1246" s="4"/>
      <c r="AQ1246" s="4"/>
      <c r="AR1246" s="4"/>
      <c r="AS1246" s="4"/>
      <c r="AU1246" s="4"/>
      <c r="AV1246" s="4"/>
      <c r="AW1246" s="4"/>
      <c r="AX1246" s="4"/>
      <c r="AY1246" s="4"/>
      <c r="AZ1246" s="4"/>
      <c r="BA1246" s="4"/>
      <c r="BB1246" s="4"/>
      <c r="BC1246" s="4"/>
      <c r="BD1246" s="4"/>
      <c r="BE1246" s="4"/>
    </row>
    <row r="1247" spans="2:57" x14ac:dyDescent="0.3">
      <c r="B1247" s="6" t="s">
        <v>1270</v>
      </c>
      <c r="C1247" s="6">
        <v>32</v>
      </c>
      <c r="D1247" s="6" t="s">
        <v>17</v>
      </c>
      <c r="E1247" s="6" t="s">
        <v>10</v>
      </c>
      <c r="F1247" s="6" t="s">
        <v>13</v>
      </c>
      <c r="G1247" s="19">
        <v>9610</v>
      </c>
      <c r="H1247" s="11">
        <v>4</v>
      </c>
      <c r="I1247" s="6">
        <v>3</v>
      </c>
      <c r="J1247" s="6" t="s">
        <v>14</v>
      </c>
      <c r="K1247" s="5" t="s">
        <v>14</v>
      </c>
      <c r="L1247" s="3" t="str">
        <f>IF(Table1[[#This Row],[Monthly Income]]&lt;3000,"Low",IF(Table1[[#This Row],[Monthly Income]]&lt;7000,"Medium","High"))</f>
        <v>High</v>
      </c>
      <c r="AK1247" s="6"/>
      <c r="AL1247" s="6"/>
      <c r="AM1247" s="6"/>
      <c r="AN1247" s="6"/>
      <c r="AO1247" s="6"/>
      <c r="AP1247" s="6"/>
      <c r="AQ1247" s="6"/>
      <c r="AR1247" s="6"/>
      <c r="AS1247" s="6"/>
      <c r="AU1247" s="6"/>
      <c r="AV1247" s="6"/>
      <c r="AW1247" s="6"/>
      <c r="AX1247" s="6"/>
      <c r="AY1247" s="6"/>
      <c r="AZ1247" s="6"/>
      <c r="BA1247" s="6"/>
      <c r="BB1247" s="6"/>
      <c r="BC1247" s="6"/>
      <c r="BD1247" s="6"/>
      <c r="BE1247" s="6"/>
    </row>
    <row r="1248" spans="2:57" x14ac:dyDescent="0.3">
      <c r="B1248" s="4" t="s">
        <v>1271</v>
      </c>
      <c r="C1248" s="4">
        <v>35</v>
      </c>
      <c r="D1248" s="4" t="s">
        <v>17</v>
      </c>
      <c r="E1248" s="4" t="s">
        <v>10</v>
      </c>
      <c r="F1248" s="4" t="s">
        <v>43</v>
      </c>
      <c r="G1248" s="18">
        <v>2404</v>
      </c>
      <c r="H1248" s="10">
        <v>1</v>
      </c>
      <c r="I1248" s="4">
        <v>3</v>
      </c>
      <c r="J1248" s="4" t="s">
        <v>14</v>
      </c>
      <c r="K1248" s="3" t="s">
        <v>14</v>
      </c>
      <c r="L1248" s="3" t="str">
        <f>IF(Table1[[#This Row],[Monthly Income]]&lt;3000,"Low",IF(Table1[[#This Row],[Monthly Income]]&lt;7000,"Medium","High"))</f>
        <v>Low</v>
      </c>
      <c r="AK1248" s="4"/>
      <c r="AL1248" s="4"/>
      <c r="AM1248" s="4"/>
      <c r="AN1248" s="4"/>
      <c r="AO1248" s="4"/>
      <c r="AP1248" s="4"/>
      <c r="AQ1248" s="4"/>
      <c r="AR1248" s="4"/>
      <c r="AS1248" s="4"/>
      <c r="AU1248" s="4"/>
      <c r="AV1248" s="4"/>
      <c r="AW1248" s="4"/>
      <c r="AX1248" s="4"/>
      <c r="AY1248" s="4"/>
      <c r="AZ1248" s="4"/>
      <c r="BA1248" s="4"/>
      <c r="BB1248" s="4"/>
      <c r="BC1248" s="4"/>
      <c r="BD1248" s="4"/>
      <c r="BE1248" s="4"/>
    </row>
    <row r="1249" spans="2:57" x14ac:dyDescent="0.3">
      <c r="B1249" s="6" t="s">
        <v>1272</v>
      </c>
      <c r="C1249" s="6">
        <v>32</v>
      </c>
      <c r="D1249" s="6" t="s">
        <v>17</v>
      </c>
      <c r="E1249" s="6" t="s">
        <v>10</v>
      </c>
      <c r="F1249" s="6" t="s">
        <v>13</v>
      </c>
      <c r="G1249" s="19">
        <v>9204</v>
      </c>
      <c r="H1249" s="11">
        <v>4</v>
      </c>
      <c r="I1249" s="6">
        <v>4</v>
      </c>
      <c r="J1249" s="6" t="s">
        <v>14</v>
      </c>
      <c r="K1249" s="5" t="s">
        <v>14</v>
      </c>
      <c r="L1249" s="3" t="str">
        <f>IF(Table1[[#This Row],[Monthly Income]]&lt;3000,"Low",IF(Table1[[#This Row],[Monthly Income]]&lt;7000,"Medium","High"))</f>
        <v>High</v>
      </c>
      <c r="AK1249" s="6"/>
      <c r="AL1249" s="6"/>
      <c r="AM1249" s="6"/>
      <c r="AN1249" s="6"/>
      <c r="AO1249" s="6"/>
      <c r="AP1249" s="6"/>
      <c r="AQ1249" s="6"/>
      <c r="AR1249" s="6"/>
      <c r="AS1249" s="6"/>
      <c r="AU1249" s="6"/>
      <c r="AV1249" s="6"/>
      <c r="AW1249" s="6"/>
      <c r="AX1249" s="6"/>
      <c r="AY1249" s="6"/>
      <c r="AZ1249" s="6"/>
      <c r="BA1249" s="6"/>
      <c r="BB1249" s="6"/>
      <c r="BC1249" s="6"/>
      <c r="BD1249" s="6"/>
      <c r="BE1249" s="6"/>
    </row>
    <row r="1250" spans="2:57" x14ac:dyDescent="0.3">
      <c r="B1250" s="4" t="s">
        <v>1273</v>
      </c>
      <c r="C1250" s="4">
        <v>39</v>
      </c>
      <c r="D1250" s="4" t="s">
        <v>17</v>
      </c>
      <c r="E1250" s="4" t="s">
        <v>10</v>
      </c>
      <c r="F1250" s="4" t="s">
        <v>13</v>
      </c>
      <c r="G1250" s="18">
        <v>8237</v>
      </c>
      <c r="H1250" s="10">
        <v>7</v>
      </c>
      <c r="I1250" s="4">
        <v>3</v>
      </c>
      <c r="J1250" s="4" t="s">
        <v>14</v>
      </c>
      <c r="K1250" s="3" t="s">
        <v>14</v>
      </c>
      <c r="L1250" s="3" t="str">
        <f>IF(Table1[[#This Row],[Monthly Income]]&lt;3000,"Low",IF(Table1[[#This Row],[Monthly Income]]&lt;7000,"Medium","High"))</f>
        <v>High</v>
      </c>
      <c r="AK1250" s="4"/>
      <c r="AL1250" s="4"/>
      <c r="AM1250" s="4"/>
      <c r="AN1250" s="4"/>
      <c r="AO1250" s="4"/>
      <c r="AP1250" s="4"/>
      <c r="AQ1250" s="4"/>
      <c r="AR1250" s="4"/>
      <c r="AS1250" s="4"/>
      <c r="AU1250" s="4"/>
      <c r="AV1250" s="4"/>
      <c r="AW1250" s="4"/>
      <c r="AX1250" s="4"/>
      <c r="AY1250" s="4"/>
      <c r="AZ1250" s="4"/>
      <c r="BA1250" s="4"/>
      <c r="BB1250" s="4"/>
      <c r="BC1250" s="4"/>
      <c r="BD1250" s="4"/>
      <c r="BE1250" s="4"/>
    </row>
    <row r="1251" spans="2:57" x14ac:dyDescent="0.3">
      <c r="B1251" s="6" t="s">
        <v>1274</v>
      </c>
      <c r="C1251" s="6">
        <v>37</v>
      </c>
      <c r="D1251" s="6" t="s">
        <v>17</v>
      </c>
      <c r="E1251" s="6" t="s">
        <v>10</v>
      </c>
      <c r="F1251" s="6" t="s">
        <v>13</v>
      </c>
      <c r="G1251" s="19">
        <v>4189</v>
      </c>
      <c r="H1251" s="11">
        <v>5</v>
      </c>
      <c r="I1251" s="6">
        <v>2</v>
      </c>
      <c r="J1251" s="6" t="s">
        <v>14</v>
      </c>
      <c r="K1251" s="5" t="s">
        <v>14</v>
      </c>
      <c r="L1251" s="3" t="str">
        <f>IF(Table1[[#This Row],[Monthly Income]]&lt;3000,"Low",IF(Table1[[#This Row],[Monthly Income]]&lt;7000,"Medium","High"))</f>
        <v>Medium</v>
      </c>
      <c r="AK1251" s="6"/>
      <c r="AL1251" s="6"/>
      <c r="AM1251" s="6"/>
      <c r="AN1251" s="6"/>
      <c r="AO1251" s="6"/>
      <c r="AP1251" s="6"/>
      <c r="AQ1251" s="6"/>
      <c r="AR1251" s="6"/>
      <c r="AS1251" s="6"/>
      <c r="AU1251" s="6"/>
      <c r="AV1251" s="6"/>
      <c r="AW1251" s="6"/>
      <c r="AX1251" s="6"/>
      <c r="AY1251" s="6"/>
      <c r="AZ1251" s="6"/>
      <c r="BA1251" s="6"/>
      <c r="BB1251" s="6"/>
      <c r="BC1251" s="6"/>
      <c r="BD1251" s="6"/>
      <c r="BE1251" s="6"/>
    </row>
    <row r="1252" spans="2:57" x14ac:dyDescent="0.3">
      <c r="B1252" s="4" t="s">
        <v>1275</v>
      </c>
      <c r="C1252" s="4">
        <v>36</v>
      </c>
      <c r="D1252" s="4" t="s">
        <v>17</v>
      </c>
      <c r="E1252" s="4" t="s">
        <v>10</v>
      </c>
      <c r="F1252" s="4" t="s">
        <v>13</v>
      </c>
      <c r="G1252" s="18">
        <v>5507</v>
      </c>
      <c r="H1252" s="10">
        <v>4</v>
      </c>
      <c r="I1252" s="4">
        <v>2</v>
      </c>
      <c r="J1252" s="4" t="s">
        <v>14</v>
      </c>
      <c r="K1252" s="3" t="s">
        <v>14</v>
      </c>
      <c r="L1252" s="3" t="str">
        <f>IF(Table1[[#This Row],[Monthly Income]]&lt;3000,"Low",IF(Table1[[#This Row],[Monthly Income]]&lt;7000,"Medium","High"))</f>
        <v>Medium</v>
      </c>
      <c r="AK1252" s="4"/>
      <c r="AL1252" s="4"/>
      <c r="AM1252" s="4"/>
      <c r="AN1252" s="4"/>
      <c r="AO1252" s="4"/>
      <c r="AP1252" s="4"/>
      <c r="AQ1252" s="4"/>
      <c r="AR1252" s="4"/>
      <c r="AS1252" s="4"/>
      <c r="AU1252" s="4"/>
      <c r="AV1252" s="4"/>
      <c r="AW1252" s="4"/>
      <c r="AX1252" s="4"/>
      <c r="AY1252" s="4"/>
      <c r="AZ1252" s="4"/>
      <c r="BA1252" s="4"/>
      <c r="BB1252" s="4"/>
      <c r="BC1252" s="4"/>
      <c r="BD1252" s="4"/>
      <c r="BE1252" s="4"/>
    </row>
    <row r="1253" spans="2:57" x14ac:dyDescent="0.3">
      <c r="B1253" s="6" t="s">
        <v>1276</v>
      </c>
      <c r="C1253" s="6">
        <v>38</v>
      </c>
      <c r="D1253" s="6" t="s">
        <v>17</v>
      </c>
      <c r="E1253" s="6" t="s">
        <v>10</v>
      </c>
      <c r="F1253" s="6" t="s">
        <v>13</v>
      </c>
      <c r="G1253" s="19">
        <v>4440</v>
      </c>
      <c r="H1253" s="11">
        <v>15</v>
      </c>
      <c r="I1253" s="6">
        <v>2</v>
      </c>
      <c r="J1253" s="6" t="s">
        <v>14</v>
      </c>
      <c r="K1253" s="5" t="s">
        <v>14</v>
      </c>
      <c r="L1253" s="3" t="str">
        <f>IF(Table1[[#This Row],[Monthly Income]]&lt;3000,"Low",IF(Table1[[#This Row],[Monthly Income]]&lt;7000,"Medium","High"))</f>
        <v>Medium</v>
      </c>
      <c r="AK1253" s="6"/>
      <c r="AL1253" s="6"/>
      <c r="AM1253" s="6"/>
      <c r="AN1253" s="6"/>
      <c r="AO1253" s="6"/>
      <c r="AP1253" s="6"/>
      <c r="AQ1253" s="6"/>
      <c r="AR1253" s="6"/>
      <c r="AS1253" s="6"/>
      <c r="AU1253" s="6"/>
      <c r="AV1253" s="6"/>
      <c r="AW1253" s="6"/>
      <c r="AX1253" s="6"/>
      <c r="AY1253" s="6"/>
      <c r="AZ1253" s="6"/>
      <c r="BA1253" s="6"/>
      <c r="BB1253" s="6"/>
      <c r="BC1253" s="6"/>
      <c r="BD1253" s="6"/>
      <c r="BE1253" s="6"/>
    </row>
    <row r="1254" spans="2:57" x14ac:dyDescent="0.3">
      <c r="B1254" s="4" t="s">
        <v>1277</v>
      </c>
      <c r="C1254" s="4">
        <v>30</v>
      </c>
      <c r="D1254" s="4" t="s">
        <v>17</v>
      </c>
      <c r="E1254" s="4" t="s">
        <v>10</v>
      </c>
      <c r="F1254" s="4" t="s">
        <v>13</v>
      </c>
      <c r="G1254" s="18">
        <v>5301</v>
      </c>
      <c r="H1254" s="10">
        <v>2</v>
      </c>
      <c r="I1254" s="4">
        <v>3</v>
      </c>
      <c r="J1254" s="4" t="s">
        <v>14</v>
      </c>
      <c r="K1254" s="3" t="s">
        <v>14</v>
      </c>
      <c r="L1254" s="3" t="str">
        <f>IF(Table1[[#This Row],[Monthly Income]]&lt;3000,"Low",IF(Table1[[#This Row],[Monthly Income]]&lt;7000,"Medium","High"))</f>
        <v>Medium</v>
      </c>
      <c r="AK1254" s="4"/>
      <c r="AL1254" s="4"/>
      <c r="AM1254" s="4"/>
      <c r="AN1254" s="4"/>
      <c r="AO1254" s="4"/>
      <c r="AP1254" s="4"/>
      <c r="AQ1254" s="4"/>
      <c r="AR1254" s="4"/>
      <c r="AS1254" s="4"/>
      <c r="AU1254" s="4"/>
      <c r="AV1254" s="4"/>
      <c r="AW1254" s="4"/>
      <c r="AX1254" s="4"/>
      <c r="AY1254" s="4"/>
      <c r="AZ1254" s="4"/>
      <c r="BA1254" s="4"/>
      <c r="BB1254" s="4"/>
      <c r="BC1254" s="4"/>
      <c r="BD1254" s="4"/>
      <c r="BE1254" s="4"/>
    </row>
    <row r="1255" spans="2:57" x14ac:dyDescent="0.3">
      <c r="B1255" s="6" t="s">
        <v>1278</v>
      </c>
      <c r="C1255" s="6">
        <v>38</v>
      </c>
      <c r="D1255" s="6" t="s">
        <v>17</v>
      </c>
      <c r="E1255" s="6" t="s">
        <v>10</v>
      </c>
      <c r="F1255" s="6" t="s">
        <v>43</v>
      </c>
      <c r="G1255" s="19">
        <v>2858</v>
      </c>
      <c r="H1255" s="11">
        <v>1</v>
      </c>
      <c r="I1255" s="6">
        <v>1</v>
      </c>
      <c r="J1255" s="6" t="s">
        <v>14</v>
      </c>
      <c r="K1255" s="5" t="s">
        <v>14</v>
      </c>
      <c r="L1255" s="3" t="str">
        <f>IF(Table1[[#This Row],[Monthly Income]]&lt;3000,"Low",IF(Table1[[#This Row],[Monthly Income]]&lt;7000,"Medium","High"))</f>
        <v>Low</v>
      </c>
      <c r="AK1255" s="6"/>
      <c r="AL1255" s="6"/>
      <c r="AM1255" s="6"/>
      <c r="AN1255" s="6"/>
      <c r="AO1255" s="6"/>
      <c r="AP1255" s="6"/>
      <c r="AQ1255" s="6"/>
      <c r="AR1255" s="6"/>
      <c r="AS1255" s="6"/>
      <c r="AU1255" s="6"/>
      <c r="AV1255" s="6"/>
      <c r="AW1255" s="6"/>
      <c r="AX1255" s="6"/>
      <c r="AY1255" s="6"/>
      <c r="AZ1255" s="6"/>
      <c r="BA1255" s="6"/>
      <c r="BB1255" s="6"/>
      <c r="BC1255" s="6"/>
      <c r="BD1255" s="6"/>
      <c r="BE1255" s="6"/>
    </row>
    <row r="1256" spans="2:57" x14ac:dyDescent="0.3">
      <c r="B1256" s="4" t="s">
        <v>1279</v>
      </c>
      <c r="C1256" s="4">
        <v>39</v>
      </c>
      <c r="D1256" s="4" t="s">
        <v>17</v>
      </c>
      <c r="E1256" s="4" t="s">
        <v>10</v>
      </c>
      <c r="F1256" s="4" t="s">
        <v>13</v>
      </c>
      <c r="G1256" s="18">
        <v>13341</v>
      </c>
      <c r="H1256" s="10">
        <v>20</v>
      </c>
      <c r="I1256" s="4">
        <v>1</v>
      </c>
      <c r="J1256" s="4" t="s">
        <v>14</v>
      </c>
      <c r="K1256" s="3" t="s">
        <v>14</v>
      </c>
      <c r="L1256" s="3" t="str">
        <f>IF(Table1[[#This Row],[Monthly Income]]&lt;3000,"Low",IF(Table1[[#This Row],[Monthly Income]]&lt;7000,"Medium","High"))</f>
        <v>High</v>
      </c>
      <c r="AK1256" s="4"/>
      <c r="AL1256" s="4"/>
      <c r="AM1256" s="4"/>
      <c r="AN1256" s="4"/>
      <c r="AO1256" s="4"/>
      <c r="AP1256" s="4"/>
      <c r="AQ1256" s="4"/>
      <c r="AR1256" s="4"/>
      <c r="AS1256" s="4"/>
      <c r="AU1256" s="4"/>
      <c r="AV1256" s="4"/>
      <c r="AW1256" s="4"/>
      <c r="AX1256" s="4"/>
      <c r="AY1256" s="4"/>
      <c r="AZ1256" s="4"/>
      <c r="BA1256" s="4"/>
      <c r="BB1256" s="4"/>
      <c r="BC1256" s="4"/>
      <c r="BD1256" s="4"/>
      <c r="BE1256" s="4"/>
    </row>
    <row r="1257" spans="2:57" x14ac:dyDescent="0.3">
      <c r="B1257" s="6" t="s">
        <v>1280</v>
      </c>
      <c r="C1257" s="6">
        <v>40</v>
      </c>
      <c r="D1257" s="6" t="s">
        <v>17</v>
      </c>
      <c r="E1257" s="6" t="s">
        <v>10</v>
      </c>
      <c r="F1257" s="6" t="s">
        <v>39</v>
      </c>
      <c r="G1257" s="19">
        <v>19833</v>
      </c>
      <c r="H1257" s="11">
        <v>21</v>
      </c>
      <c r="I1257" s="6">
        <v>2</v>
      </c>
      <c r="J1257" s="6" t="s">
        <v>14</v>
      </c>
      <c r="K1257" s="5" t="s">
        <v>14</v>
      </c>
      <c r="L1257" s="3" t="str">
        <f>IF(Table1[[#This Row],[Monthly Income]]&lt;3000,"Low",IF(Table1[[#This Row],[Monthly Income]]&lt;7000,"Medium","High"))</f>
        <v>High</v>
      </c>
      <c r="AK1257" s="6"/>
      <c r="AL1257" s="6"/>
      <c r="AM1257" s="6"/>
      <c r="AN1257" s="6"/>
      <c r="AO1257" s="6"/>
      <c r="AP1257" s="6"/>
      <c r="AQ1257" s="6"/>
      <c r="AR1257" s="6"/>
      <c r="AS1257" s="6"/>
      <c r="AU1257" s="6"/>
      <c r="AV1257" s="6"/>
      <c r="AW1257" s="6"/>
      <c r="AX1257" s="6"/>
      <c r="AY1257" s="6"/>
      <c r="AZ1257" s="6"/>
      <c r="BA1257" s="6"/>
      <c r="BB1257" s="6"/>
      <c r="BC1257" s="6"/>
      <c r="BD1257" s="6"/>
      <c r="BE1257" s="6"/>
    </row>
    <row r="1258" spans="2:57" x14ac:dyDescent="0.3">
      <c r="B1258" s="4" t="s">
        <v>1281</v>
      </c>
      <c r="C1258" s="4">
        <v>33</v>
      </c>
      <c r="D1258" s="4" t="s">
        <v>17</v>
      </c>
      <c r="E1258" s="4" t="s">
        <v>10</v>
      </c>
      <c r="F1258" s="4" t="s">
        <v>13</v>
      </c>
      <c r="G1258" s="18">
        <v>5487</v>
      </c>
      <c r="H1258" s="10">
        <v>10</v>
      </c>
      <c r="I1258" s="4">
        <v>3</v>
      </c>
      <c r="J1258" s="4" t="s">
        <v>14</v>
      </c>
      <c r="K1258" s="3" t="s">
        <v>14</v>
      </c>
      <c r="L1258" s="3" t="str">
        <f>IF(Table1[[#This Row],[Monthly Income]]&lt;3000,"Low",IF(Table1[[#This Row],[Monthly Income]]&lt;7000,"Medium","High"))</f>
        <v>Medium</v>
      </c>
      <c r="AK1258" s="4"/>
      <c r="AL1258" s="4"/>
      <c r="AM1258" s="4"/>
      <c r="AN1258" s="4"/>
      <c r="AO1258" s="4"/>
      <c r="AP1258" s="4"/>
      <c r="AQ1258" s="4"/>
      <c r="AR1258" s="4"/>
      <c r="AS1258" s="4"/>
      <c r="AU1258" s="4"/>
      <c r="AV1258" s="4"/>
      <c r="AW1258" s="4"/>
      <c r="AX1258" s="4"/>
      <c r="AY1258" s="4"/>
      <c r="AZ1258" s="4"/>
      <c r="BA1258" s="4"/>
      <c r="BB1258" s="4"/>
      <c r="BC1258" s="4"/>
      <c r="BD1258" s="4"/>
      <c r="BE1258" s="4"/>
    </row>
    <row r="1259" spans="2:57" x14ac:dyDescent="0.3">
      <c r="B1259" s="6" t="s">
        <v>1282</v>
      </c>
      <c r="C1259" s="6">
        <v>29</v>
      </c>
      <c r="D1259" s="6" t="s">
        <v>17</v>
      </c>
      <c r="E1259" s="6" t="s">
        <v>10</v>
      </c>
      <c r="F1259" s="6" t="s">
        <v>13</v>
      </c>
      <c r="G1259" s="19">
        <v>5869</v>
      </c>
      <c r="H1259" s="11">
        <v>5</v>
      </c>
      <c r="I1259" s="6">
        <v>3</v>
      </c>
      <c r="J1259" s="6" t="s">
        <v>14</v>
      </c>
      <c r="K1259" s="5" t="s">
        <v>14</v>
      </c>
      <c r="L1259" s="3" t="str">
        <f>IF(Table1[[#This Row],[Monthly Income]]&lt;3000,"Low",IF(Table1[[#This Row],[Monthly Income]]&lt;7000,"Medium","High"))</f>
        <v>Medium</v>
      </c>
      <c r="AK1259" s="6"/>
      <c r="AL1259" s="6"/>
      <c r="AM1259" s="6"/>
      <c r="AN1259" s="6"/>
      <c r="AO1259" s="6"/>
      <c r="AP1259" s="6"/>
      <c r="AQ1259" s="6"/>
      <c r="AR1259" s="6"/>
      <c r="AS1259" s="6"/>
      <c r="AU1259" s="6"/>
      <c r="AV1259" s="6"/>
      <c r="AW1259" s="6"/>
      <c r="AX1259" s="6"/>
      <c r="AY1259" s="6"/>
      <c r="AZ1259" s="6"/>
      <c r="BA1259" s="6"/>
      <c r="BB1259" s="6"/>
      <c r="BC1259" s="6"/>
      <c r="BD1259" s="6"/>
      <c r="BE1259" s="6"/>
    </row>
    <row r="1260" spans="2:57" x14ac:dyDescent="0.3">
      <c r="B1260" s="4" t="s">
        <v>1283</v>
      </c>
      <c r="C1260" s="4">
        <v>26</v>
      </c>
      <c r="D1260" s="4" t="s">
        <v>17</v>
      </c>
      <c r="E1260" s="4" t="s">
        <v>10</v>
      </c>
      <c r="F1260" s="4" t="s">
        <v>13</v>
      </c>
      <c r="G1260" s="18">
        <v>4684</v>
      </c>
      <c r="H1260" s="10">
        <v>5</v>
      </c>
      <c r="I1260" s="4">
        <v>4</v>
      </c>
      <c r="J1260" s="4" t="s">
        <v>14</v>
      </c>
      <c r="K1260" s="3" t="s">
        <v>14</v>
      </c>
      <c r="L1260" s="3" t="str">
        <f>IF(Table1[[#This Row],[Monthly Income]]&lt;3000,"Low",IF(Table1[[#This Row],[Monthly Income]]&lt;7000,"Medium","High"))</f>
        <v>Medium</v>
      </c>
      <c r="AK1260" s="4"/>
      <c r="AL1260" s="4"/>
      <c r="AM1260" s="4"/>
      <c r="AN1260" s="4"/>
      <c r="AO1260" s="4"/>
      <c r="AP1260" s="4"/>
      <c r="AQ1260" s="4"/>
      <c r="AR1260" s="4"/>
      <c r="AS1260" s="4"/>
      <c r="AU1260" s="4"/>
      <c r="AV1260" s="4"/>
      <c r="AW1260" s="4"/>
      <c r="AX1260" s="4"/>
      <c r="AY1260" s="4"/>
      <c r="AZ1260" s="4"/>
      <c r="BA1260" s="4"/>
      <c r="BB1260" s="4"/>
      <c r="BC1260" s="4"/>
      <c r="BD1260" s="4"/>
      <c r="BE1260" s="4"/>
    </row>
    <row r="1261" spans="2:57" x14ac:dyDescent="0.3">
      <c r="B1261" s="6" t="s">
        <v>1284</v>
      </c>
      <c r="C1261" s="6">
        <v>34</v>
      </c>
      <c r="D1261" s="6" t="s">
        <v>17</v>
      </c>
      <c r="E1261" s="6" t="s">
        <v>10</v>
      </c>
      <c r="F1261" s="6" t="s">
        <v>13</v>
      </c>
      <c r="G1261" s="19">
        <v>4759</v>
      </c>
      <c r="H1261" s="11">
        <v>13</v>
      </c>
      <c r="I1261" s="6">
        <v>1</v>
      </c>
      <c r="J1261" s="6" t="s">
        <v>14</v>
      </c>
      <c r="K1261" s="5" t="s">
        <v>14</v>
      </c>
      <c r="L1261" s="3" t="str">
        <f>IF(Table1[[#This Row],[Monthly Income]]&lt;3000,"Low",IF(Table1[[#This Row],[Monthly Income]]&lt;7000,"Medium","High"))</f>
        <v>Medium</v>
      </c>
      <c r="AK1261" s="6"/>
      <c r="AL1261" s="6"/>
      <c r="AM1261" s="6"/>
      <c r="AN1261" s="6"/>
      <c r="AO1261" s="6"/>
      <c r="AP1261" s="6"/>
      <c r="AQ1261" s="6"/>
      <c r="AR1261" s="6"/>
      <c r="AS1261" s="6"/>
      <c r="AU1261" s="6"/>
      <c r="AV1261" s="6"/>
      <c r="AW1261" s="6"/>
      <c r="AX1261" s="6"/>
      <c r="AY1261" s="6"/>
      <c r="AZ1261" s="6"/>
      <c r="BA1261" s="6"/>
      <c r="BB1261" s="6"/>
      <c r="BC1261" s="6"/>
      <c r="BD1261" s="6"/>
      <c r="BE1261" s="6"/>
    </row>
    <row r="1262" spans="2:57" x14ac:dyDescent="0.3">
      <c r="B1262" s="4" t="s">
        <v>1285</v>
      </c>
      <c r="C1262" s="4">
        <v>20</v>
      </c>
      <c r="D1262" s="4" t="s">
        <v>17</v>
      </c>
      <c r="E1262" s="4" t="s">
        <v>10</v>
      </c>
      <c r="F1262" s="4" t="s">
        <v>43</v>
      </c>
      <c r="G1262" s="18">
        <v>2728</v>
      </c>
      <c r="H1262" s="10">
        <v>2</v>
      </c>
      <c r="I1262" s="4">
        <v>1</v>
      </c>
      <c r="J1262" s="4" t="s">
        <v>14</v>
      </c>
      <c r="K1262" s="3" t="s">
        <v>14</v>
      </c>
      <c r="L1262" s="3" t="str">
        <f>IF(Table1[[#This Row],[Monthly Income]]&lt;3000,"Low",IF(Table1[[#This Row],[Monthly Income]]&lt;7000,"Medium","High"))</f>
        <v>Low</v>
      </c>
      <c r="AK1262" s="4"/>
      <c r="AL1262" s="4"/>
      <c r="AM1262" s="4"/>
      <c r="AN1262" s="4"/>
      <c r="AO1262" s="4"/>
      <c r="AP1262" s="4"/>
      <c r="AQ1262" s="4"/>
      <c r="AR1262" s="4"/>
      <c r="AS1262" s="4"/>
      <c r="AU1262" s="4"/>
      <c r="AV1262" s="4"/>
      <c r="AW1262" s="4"/>
      <c r="AX1262" s="4"/>
      <c r="AY1262" s="4"/>
      <c r="AZ1262" s="4"/>
      <c r="BA1262" s="4"/>
      <c r="BB1262" s="4"/>
      <c r="BC1262" s="4"/>
      <c r="BD1262" s="4"/>
      <c r="BE1262" s="4"/>
    </row>
    <row r="1263" spans="2:57" x14ac:dyDescent="0.3">
      <c r="B1263" s="6" t="s">
        <v>1286</v>
      </c>
      <c r="C1263" s="6">
        <v>28</v>
      </c>
      <c r="D1263" s="6" t="s">
        <v>17</v>
      </c>
      <c r="E1263" s="6" t="s">
        <v>10</v>
      </c>
      <c r="F1263" s="6" t="s">
        <v>13</v>
      </c>
      <c r="G1263" s="19">
        <v>8463</v>
      </c>
      <c r="H1263" s="11">
        <v>5</v>
      </c>
      <c r="I1263" s="6">
        <v>1</v>
      </c>
      <c r="J1263" s="6" t="s">
        <v>14</v>
      </c>
      <c r="K1263" s="5" t="s">
        <v>14</v>
      </c>
      <c r="L1263" s="3" t="str">
        <f>IF(Table1[[#This Row],[Monthly Income]]&lt;3000,"Low",IF(Table1[[#This Row],[Monthly Income]]&lt;7000,"Medium","High"))</f>
        <v>High</v>
      </c>
      <c r="AK1263" s="6"/>
      <c r="AL1263" s="6"/>
      <c r="AM1263" s="6"/>
      <c r="AN1263" s="6"/>
      <c r="AO1263" s="6"/>
      <c r="AP1263" s="6"/>
      <c r="AQ1263" s="6"/>
      <c r="AR1263" s="6"/>
      <c r="AS1263" s="6"/>
      <c r="AU1263" s="6"/>
      <c r="AV1263" s="6"/>
      <c r="AW1263" s="6"/>
      <c r="AX1263" s="6"/>
      <c r="AY1263" s="6"/>
      <c r="AZ1263" s="6"/>
      <c r="BA1263" s="6"/>
      <c r="BB1263" s="6"/>
      <c r="BC1263" s="6"/>
      <c r="BD1263" s="6"/>
      <c r="BE1263" s="6"/>
    </row>
    <row r="1264" spans="2:57" x14ac:dyDescent="0.3">
      <c r="B1264" s="4" t="s">
        <v>1287</v>
      </c>
      <c r="C1264" s="4">
        <v>41</v>
      </c>
      <c r="D1264" s="4" t="s">
        <v>17</v>
      </c>
      <c r="E1264" s="4" t="s">
        <v>10</v>
      </c>
      <c r="F1264" s="4" t="s">
        <v>13</v>
      </c>
      <c r="G1264" s="18">
        <v>9241</v>
      </c>
      <c r="H1264" s="10">
        <v>10</v>
      </c>
      <c r="I1264" s="4">
        <v>3</v>
      </c>
      <c r="J1264" s="4" t="s">
        <v>14</v>
      </c>
      <c r="K1264" s="3" t="s">
        <v>14</v>
      </c>
      <c r="L1264" s="3" t="str">
        <f>IF(Table1[[#This Row],[Monthly Income]]&lt;3000,"Low",IF(Table1[[#This Row],[Monthly Income]]&lt;7000,"Medium","High"))</f>
        <v>High</v>
      </c>
      <c r="AK1264" s="4"/>
      <c r="AL1264" s="4"/>
      <c r="AM1264" s="4"/>
      <c r="AN1264" s="4"/>
      <c r="AO1264" s="4"/>
      <c r="AP1264" s="4"/>
      <c r="AQ1264" s="4"/>
      <c r="AR1264" s="4"/>
      <c r="AS1264" s="4"/>
      <c r="AU1264" s="4"/>
      <c r="AV1264" s="4"/>
      <c r="AW1264" s="4"/>
      <c r="AX1264" s="4"/>
      <c r="AY1264" s="4"/>
      <c r="AZ1264" s="4"/>
      <c r="BA1264" s="4"/>
      <c r="BB1264" s="4"/>
      <c r="BC1264" s="4"/>
      <c r="BD1264" s="4"/>
      <c r="BE1264" s="4"/>
    </row>
    <row r="1265" spans="2:57" x14ac:dyDescent="0.3">
      <c r="B1265" s="6" t="s">
        <v>1288</v>
      </c>
      <c r="C1265" s="6">
        <v>27</v>
      </c>
      <c r="D1265" s="6" t="s">
        <v>17</v>
      </c>
      <c r="E1265" s="6" t="s">
        <v>10</v>
      </c>
      <c r="F1265" s="6" t="s">
        <v>13</v>
      </c>
      <c r="G1265" s="19">
        <v>4105</v>
      </c>
      <c r="H1265" s="11">
        <v>7</v>
      </c>
      <c r="I1265" s="6">
        <v>4</v>
      </c>
      <c r="J1265" s="6" t="s">
        <v>14</v>
      </c>
      <c r="K1265" s="5" t="s">
        <v>14</v>
      </c>
      <c r="L1265" s="3" t="str">
        <f>IF(Table1[[#This Row],[Monthly Income]]&lt;3000,"Low",IF(Table1[[#This Row],[Monthly Income]]&lt;7000,"Medium","High"))</f>
        <v>Medium</v>
      </c>
      <c r="AK1265" s="6"/>
      <c r="AL1265" s="6"/>
      <c r="AM1265" s="6"/>
      <c r="AN1265" s="6"/>
      <c r="AO1265" s="6"/>
      <c r="AP1265" s="6"/>
      <c r="AQ1265" s="6"/>
      <c r="AR1265" s="6"/>
      <c r="AS1265" s="6"/>
      <c r="AU1265" s="6"/>
      <c r="AV1265" s="6"/>
      <c r="AW1265" s="6"/>
      <c r="AX1265" s="6"/>
      <c r="AY1265" s="6"/>
      <c r="AZ1265" s="6"/>
      <c r="BA1265" s="6"/>
      <c r="BB1265" s="6"/>
      <c r="BC1265" s="6"/>
      <c r="BD1265" s="6"/>
      <c r="BE1265" s="6"/>
    </row>
    <row r="1266" spans="2:57" x14ac:dyDescent="0.3">
      <c r="B1266" s="4" t="s">
        <v>1289</v>
      </c>
      <c r="C1266" s="4">
        <v>46</v>
      </c>
      <c r="D1266" s="4" t="s">
        <v>17</v>
      </c>
      <c r="E1266" s="4" t="s">
        <v>10</v>
      </c>
      <c r="F1266" s="4" t="s">
        <v>39</v>
      </c>
      <c r="G1266" s="18">
        <v>17567</v>
      </c>
      <c r="H1266" s="10">
        <v>26</v>
      </c>
      <c r="I1266" s="4">
        <v>1</v>
      </c>
      <c r="J1266" s="4" t="s">
        <v>14</v>
      </c>
      <c r="K1266" s="3" t="s">
        <v>14</v>
      </c>
      <c r="L1266" s="3" t="str">
        <f>IF(Table1[[#This Row],[Monthly Income]]&lt;3000,"Low",IF(Table1[[#This Row],[Monthly Income]]&lt;7000,"Medium","High"))</f>
        <v>High</v>
      </c>
      <c r="AK1266" s="4"/>
      <c r="AL1266" s="4"/>
      <c r="AM1266" s="4"/>
      <c r="AN1266" s="4"/>
      <c r="AO1266" s="4"/>
      <c r="AP1266" s="4"/>
      <c r="AQ1266" s="4"/>
      <c r="AR1266" s="4"/>
      <c r="AS1266" s="4"/>
      <c r="AU1266" s="4"/>
      <c r="AV1266" s="4"/>
      <c r="AW1266" s="4"/>
      <c r="AX1266" s="4"/>
      <c r="AY1266" s="4"/>
      <c r="AZ1266" s="4"/>
      <c r="BA1266" s="4"/>
      <c r="BB1266" s="4"/>
      <c r="BC1266" s="4"/>
      <c r="BD1266" s="4"/>
      <c r="BE1266" s="4"/>
    </row>
    <row r="1267" spans="2:57" x14ac:dyDescent="0.3">
      <c r="B1267" s="6" t="s">
        <v>1290</v>
      </c>
      <c r="C1267" s="6">
        <v>22</v>
      </c>
      <c r="D1267" s="6" t="s">
        <v>12</v>
      </c>
      <c r="E1267" s="6" t="s">
        <v>15</v>
      </c>
      <c r="F1267" s="6" t="s">
        <v>18</v>
      </c>
      <c r="G1267" s="19">
        <v>2814</v>
      </c>
      <c r="H1267" s="11">
        <v>4</v>
      </c>
      <c r="I1267" s="6">
        <v>3</v>
      </c>
      <c r="J1267" s="6" t="s">
        <v>9</v>
      </c>
      <c r="K1267" s="5" t="s">
        <v>14</v>
      </c>
      <c r="L1267" s="3" t="str">
        <f>IF(Table1[[#This Row],[Monthly Income]]&lt;3000,"Low",IF(Table1[[#This Row],[Monthly Income]]&lt;7000,"Medium","High"))</f>
        <v>Low</v>
      </c>
      <c r="AK1267" s="6"/>
      <c r="AL1267" s="6"/>
      <c r="AM1267" s="6"/>
      <c r="AN1267" s="6"/>
      <c r="AO1267" s="6"/>
      <c r="AP1267" s="6"/>
      <c r="AQ1267" s="6"/>
      <c r="AR1267" s="6"/>
      <c r="AS1267" s="6"/>
      <c r="AU1267" s="6"/>
      <c r="AV1267" s="6"/>
      <c r="AW1267" s="6"/>
      <c r="AX1267" s="6"/>
      <c r="AY1267" s="6"/>
      <c r="AZ1267" s="6"/>
      <c r="BA1267" s="6"/>
      <c r="BB1267" s="6"/>
      <c r="BC1267" s="6"/>
      <c r="BD1267" s="6"/>
      <c r="BE1267" s="6"/>
    </row>
    <row r="1268" spans="2:57" x14ac:dyDescent="0.3">
      <c r="B1268" s="4" t="s">
        <v>1291</v>
      </c>
      <c r="C1268" s="4">
        <v>38</v>
      </c>
      <c r="D1268" s="4" t="s">
        <v>12</v>
      </c>
      <c r="E1268" s="4" t="s">
        <v>15</v>
      </c>
      <c r="F1268" s="4" t="s">
        <v>18</v>
      </c>
      <c r="G1268" s="18">
        <v>2133</v>
      </c>
      <c r="H1268" s="10">
        <v>20</v>
      </c>
      <c r="I1268" s="4">
        <v>2</v>
      </c>
      <c r="J1268" s="4" t="s">
        <v>9</v>
      </c>
      <c r="K1268" s="3" t="s">
        <v>14</v>
      </c>
      <c r="L1268" s="3" t="str">
        <f>IF(Table1[[#This Row],[Monthly Income]]&lt;3000,"Low",IF(Table1[[#This Row],[Monthly Income]]&lt;7000,"Medium","High"))</f>
        <v>Low</v>
      </c>
      <c r="AK1268" s="4"/>
      <c r="AL1268" s="4"/>
      <c r="AM1268" s="4"/>
      <c r="AN1268" s="4"/>
      <c r="AO1268" s="4"/>
      <c r="AP1268" s="4"/>
      <c r="AQ1268" s="4"/>
      <c r="AR1268" s="4"/>
      <c r="AS1268" s="4"/>
      <c r="AU1268" s="4"/>
      <c r="AV1268" s="4"/>
      <c r="AW1268" s="4"/>
      <c r="AX1268" s="4"/>
      <c r="AY1268" s="4"/>
      <c r="AZ1268" s="4"/>
      <c r="BA1268" s="4"/>
      <c r="BB1268" s="4"/>
      <c r="BC1268" s="4"/>
      <c r="BD1268" s="4"/>
      <c r="BE1268" s="4"/>
    </row>
    <row r="1269" spans="2:57" x14ac:dyDescent="0.3">
      <c r="B1269" s="6" t="s">
        <v>1292</v>
      </c>
      <c r="C1269" s="6">
        <v>24</v>
      </c>
      <c r="D1269" s="6" t="s">
        <v>12</v>
      </c>
      <c r="E1269" s="6" t="s">
        <v>15</v>
      </c>
      <c r="F1269" s="6" t="s">
        <v>18</v>
      </c>
      <c r="G1269" s="19">
        <v>3760</v>
      </c>
      <c r="H1269" s="11">
        <v>6</v>
      </c>
      <c r="I1269" s="6">
        <v>4</v>
      </c>
      <c r="J1269" s="6" t="s">
        <v>9</v>
      </c>
      <c r="K1269" s="5" t="s">
        <v>14</v>
      </c>
      <c r="L1269" s="3" t="str">
        <f>IF(Table1[[#This Row],[Monthly Income]]&lt;3000,"Low",IF(Table1[[#This Row],[Monthly Income]]&lt;7000,"Medium","High"))</f>
        <v>Medium</v>
      </c>
      <c r="AK1269" s="6"/>
      <c r="AL1269" s="6"/>
      <c r="AM1269" s="6"/>
      <c r="AN1269" s="6"/>
      <c r="AO1269" s="6"/>
      <c r="AP1269" s="6"/>
      <c r="AQ1269" s="6"/>
      <c r="AR1269" s="6"/>
      <c r="AS1269" s="6"/>
      <c r="AU1269" s="6"/>
      <c r="AV1269" s="6"/>
      <c r="AW1269" s="6"/>
      <c r="AX1269" s="6"/>
      <c r="AY1269" s="6"/>
      <c r="AZ1269" s="6"/>
      <c r="BA1269" s="6"/>
      <c r="BB1269" s="6"/>
      <c r="BC1269" s="6"/>
      <c r="BD1269" s="6"/>
      <c r="BE1269" s="6"/>
    </row>
    <row r="1270" spans="2:57" x14ac:dyDescent="0.3">
      <c r="B1270" s="4" t="s">
        <v>1293</v>
      </c>
      <c r="C1270" s="4">
        <v>27</v>
      </c>
      <c r="D1270" s="4" t="s">
        <v>12</v>
      </c>
      <c r="E1270" s="4" t="s">
        <v>15</v>
      </c>
      <c r="F1270" s="4" t="s">
        <v>20</v>
      </c>
      <c r="G1270" s="18">
        <v>2379</v>
      </c>
      <c r="H1270" s="10">
        <v>5</v>
      </c>
      <c r="I1270" s="4">
        <v>4</v>
      </c>
      <c r="J1270" s="4" t="s">
        <v>9</v>
      </c>
      <c r="K1270" s="3" t="s">
        <v>14</v>
      </c>
      <c r="L1270" s="3" t="str">
        <f>IF(Table1[[#This Row],[Monthly Income]]&lt;3000,"Low",IF(Table1[[#This Row],[Monthly Income]]&lt;7000,"Medium","High"))</f>
        <v>Low</v>
      </c>
      <c r="AK1270" s="4"/>
      <c r="AL1270" s="4"/>
      <c r="AM1270" s="4"/>
      <c r="AN1270" s="4"/>
      <c r="AO1270" s="4"/>
      <c r="AP1270" s="4"/>
      <c r="AQ1270" s="4"/>
      <c r="AR1270" s="4"/>
      <c r="AS1270" s="4"/>
      <c r="AU1270" s="4"/>
      <c r="AV1270" s="4"/>
      <c r="AW1270" s="4"/>
      <c r="AX1270" s="4"/>
      <c r="AY1270" s="4"/>
      <c r="AZ1270" s="4"/>
      <c r="BA1270" s="4"/>
      <c r="BB1270" s="4"/>
      <c r="BC1270" s="4"/>
      <c r="BD1270" s="4"/>
      <c r="BE1270" s="4"/>
    </row>
    <row r="1271" spans="2:57" x14ac:dyDescent="0.3">
      <c r="B1271" s="6" t="s">
        <v>1294</v>
      </c>
      <c r="C1271" s="6">
        <v>44</v>
      </c>
      <c r="D1271" s="6" t="s">
        <v>12</v>
      </c>
      <c r="E1271" s="6" t="s">
        <v>102</v>
      </c>
      <c r="F1271" s="6" t="s">
        <v>104</v>
      </c>
      <c r="G1271" s="19">
        <v>3195</v>
      </c>
      <c r="H1271" s="11">
        <v>2</v>
      </c>
      <c r="I1271" s="6">
        <v>4</v>
      </c>
      <c r="J1271" s="6" t="s">
        <v>9</v>
      </c>
      <c r="K1271" s="5" t="s">
        <v>14</v>
      </c>
      <c r="L1271" s="3" t="str">
        <f>IF(Table1[[#This Row],[Monthly Income]]&lt;3000,"Low",IF(Table1[[#This Row],[Monthly Income]]&lt;7000,"Medium","High"))</f>
        <v>Medium</v>
      </c>
      <c r="AK1271" s="6"/>
      <c r="AL1271" s="6"/>
      <c r="AM1271" s="6"/>
      <c r="AN1271" s="6"/>
      <c r="AO1271" s="6"/>
      <c r="AP1271" s="6"/>
      <c r="AQ1271" s="6"/>
      <c r="AR1271" s="6"/>
      <c r="AS1271" s="6"/>
      <c r="AU1271" s="6"/>
      <c r="AV1271" s="6"/>
      <c r="AW1271" s="6"/>
      <c r="AX1271" s="6"/>
      <c r="AY1271" s="6"/>
      <c r="AZ1271" s="6"/>
      <c r="BA1271" s="6"/>
      <c r="BB1271" s="6"/>
      <c r="BC1271" s="6"/>
      <c r="BD1271" s="6"/>
      <c r="BE1271" s="6"/>
    </row>
    <row r="1272" spans="2:57" x14ac:dyDescent="0.3">
      <c r="B1272" s="4" t="s">
        <v>1295</v>
      </c>
      <c r="C1272" s="4">
        <v>35</v>
      </c>
      <c r="D1272" s="4" t="s">
        <v>12</v>
      </c>
      <c r="E1272" s="4" t="s">
        <v>102</v>
      </c>
      <c r="F1272" s="4" t="s">
        <v>104</v>
      </c>
      <c r="G1272" s="18">
        <v>8837</v>
      </c>
      <c r="H1272" s="10">
        <v>9</v>
      </c>
      <c r="I1272" s="4">
        <v>4</v>
      </c>
      <c r="J1272" s="4" t="s">
        <v>9</v>
      </c>
      <c r="K1272" s="3" t="s">
        <v>14</v>
      </c>
      <c r="L1272" s="3" t="str">
        <f>IF(Table1[[#This Row],[Monthly Income]]&lt;3000,"Low",IF(Table1[[#This Row],[Monthly Income]]&lt;7000,"Medium","High"))</f>
        <v>High</v>
      </c>
      <c r="AK1272" s="4"/>
      <c r="AL1272" s="4"/>
      <c r="AM1272" s="4"/>
      <c r="AN1272" s="4"/>
      <c r="AO1272" s="4"/>
      <c r="AP1272" s="4"/>
      <c r="AQ1272" s="4"/>
      <c r="AR1272" s="4"/>
      <c r="AS1272" s="4"/>
      <c r="AU1272" s="4"/>
      <c r="AV1272" s="4"/>
      <c r="AW1272" s="4"/>
      <c r="AX1272" s="4"/>
      <c r="AY1272" s="4"/>
      <c r="AZ1272" s="4"/>
      <c r="BA1272" s="4"/>
      <c r="BB1272" s="4"/>
      <c r="BC1272" s="4"/>
      <c r="BD1272" s="4"/>
      <c r="BE1272" s="4"/>
    </row>
    <row r="1273" spans="2:57" x14ac:dyDescent="0.3">
      <c r="B1273" s="6" t="s">
        <v>1296</v>
      </c>
      <c r="C1273" s="6">
        <v>44</v>
      </c>
      <c r="D1273" s="6" t="s">
        <v>12</v>
      </c>
      <c r="E1273" s="6" t="s">
        <v>15</v>
      </c>
      <c r="F1273" s="6" t="s">
        <v>45</v>
      </c>
      <c r="G1273" s="19">
        <v>19049</v>
      </c>
      <c r="H1273" s="11">
        <v>22</v>
      </c>
      <c r="I1273" s="6">
        <v>4</v>
      </c>
      <c r="J1273" s="6" t="s">
        <v>9</v>
      </c>
      <c r="K1273" s="5" t="s">
        <v>14</v>
      </c>
      <c r="L1273" s="3" t="str">
        <f>IF(Table1[[#This Row],[Monthly Income]]&lt;3000,"Low",IF(Table1[[#This Row],[Monthly Income]]&lt;7000,"Medium","High"))</f>
        <v>High</v>
      </c>
      <c r="AK1273" s="6"/>
      <c r="AL1273" s="6"/>
      <c r="AM1273" s="6"/>
      <c r="AN1273" s="6"/>
      <c r="AO1273" s="6"/>
      <c r="AP1273" s="6"/>
      <c r="AQ1273" s="6"/>
      <c r="AR1273" s="6"/>
      <c r="AS1273" s="6"/>
      <c r="AU1273" s="6"/>
      <c r="AV1273" s="6"/>
      <c r="AW1273" s="6"/>
      <c r="AX1273" s="6"/>
      <c r="AY1273" s="6"/>
      <c r="AZ1273" s="6"/>
      <c r="BA1273" s="6"/>
      <c r="BB1273" s="6"/>
      <c r="BC1273" s="6"/>
      <c r="BD1273" s="6"/>
      <c r="BE1273" s="6"/>
    </row>
    <row r="1274" spans="2:57" x14ac:dyDescent="0.3">
      <c r="B1274" s="4" t="s">
        <v>1297</v>
      </c>
      <c r="C1274" s="4">
        <v>47</v>
      </c>
      <c r="D1274" s="4" t="s">
        <v>12</v>
      </c>
      <c r="E1274" s="4" t="s">
        <v>15</v>
      </c>
      <c r="F1274" s="4" t="s">
        <v>27</v>
      </c>
      <c r="G1274" s="18">
        <v>10333</v>
      </c>
      <c r="H1274" s="10">
        <v>22</v>
      </c>
      <c r="I1274" s="4">
        <v>2</v>
      </c>
      <c r="J1274" s="4" t="s">
        <v>9</v>
      </c>
      <c r="K1274" s="3" t="s">
        <v>14</v>
      </c>
      <c r="L1274" s="3" t="str">
        <f>IF(Table1[[#This Row],[Monthly Income]]&lt;3000,"Low",IF(Table1[[#This Row],[Monthly Income]]&lt;7000,"Medium","High"))</f>
        <v>High</v>
      </c>
      <c r="AK1274" s="4"/>
      <c r="AL1274" s="4"/>
      <c r="AM1274" s="4"/>
      <c r="AN1274" s="4"/>
      <c r="AO1274" s="4"/>
      <c r="AP1274" s="4"/>
      <c r="AQ1274" s="4"/>
      <c r="AR1274" s="4"/>
      <c r="AS1274" s="4"/>
      <c r="AU1274" s="4"/>
      <c r="AV1274" s="4"/>
      <c r="AW1274" s="4"/>
      <c r="AX1274" s="4"/>
      <c r="AY1274" s="4"/>
      <c r="AZ1274" s="4"/>
      <c r="BA1274" s="4"/>
      <c r="BB1274" s="4"/>
      <c r="BC1274" s="4"/>
      <c r="BD1274" s="4"/>
      <c r="BE1274" s="4"/>
    </row>
    <row r="1275" spans="2:57" x14ac:dyDescent="0.3">
      <c r="B1275" s="6" t="s">
        <v>1298</v>
      </c>
      <c r="C1275" s="6">
        <v>49</v>
      </c>
      <c r="D1275" s="6" t="s">
        <v>12</v>
      </c>
      <c r="E1275" s="6" t="s">
        <v>15</v>
      </c>
      <c r="F1275" s="6" t="s">
        <v>20</v>
      </c>
      <c r="G1275" s="19">
        <v>2587</v>
      </c>
      <c r="H1275" s="11">
        <v>2</v>
      </c>
      <c r="I1275" s="6">
        <v>1</v>
      </c>
      <c r="J1275" s="6" t="s">
        <v>9</v>
      </c>
      <c r="K1275" s="5" t="s">
        <v>14</v>
      </c>
      <c r="L1275" s="3" t="str">
        <f>IF(Table1[[#This Row],[Monthly Income]]&lt;3000,"Low",IF(Table1[[#This Row],[Monthly Income]]&lt;7000,"Medium","High"))</f>
        <v>Low</v>
      </c>
      <c r="AK1275" s="6"/>
      <c r="AL1275" s="6"/>
      <c r="AM1275" s="6"/>
      <c r="AN1275" s="6"/>
      <c r="AO1275" s="6"/>
      <c r="AP1275" s="6"/>
      <c r="AQ1275" s="6"/>
      <c r="AR1275" s="6"/>
      <c r="AS1275" s="6"/>
      <c r="AU1275" s="6"/>
      <c r="AV1275" s="6"/>
      <c r="AW1275" s="6"/>
      <c r="AX1275" s="6"/>
      <c r="AY1275" s="6"/>
      <c r="AZ1275" s="6"/>
      <c r="BA1275" s="6"/>
      <c r="BB1275" s="6"/>
      <c r="BC1275" s="6"/>
      <c r="BD1275" s="6"/>
      <c r="BE1275" s="6"/>
    </row>
    <row r="1276" spans="2:57" x14ac:dyDescent="0.3">
      <c r="B1276" s="4" t="s">
        <v>1299</v>
      </c>
      <c r="C1276" s="4">
        <v>31</v>
      </c>
      <c r="D1276" s="4" t="s">
        <v>12</v>
      </c>
      <c r="E1276" s="4" t="s">
        <v>15</v>
      </c>
      <c r="F1276" s="4" t="s">
        <v>20</v>
      </c>
      <c r="G1276" s="18">
        <v>1129</v>
      </c>
      <c r="H1276" s="10">
        <v>1</v>
      </c>
      <c r="I1276" s="4">
        <v>4</v>
      </c>
      <c r="J1276" s="4" t="s">
        <v>9</v>
      </c>
      <c r="K1276" s="3" t="s">
        <v>14</v>
      </c>
      <c r="L1276" s="3" t="str">
        <f>IF(Table1[[#This Row],[Monthly Income]]&lt;3000,"Low",IF(Table1[[#This Row],[Monthly Income]]&lt;7000,"Medium","High"))</f>
        <v>Low</v>
      </c>
      <c r="AK1276" s="4"/>
      <c r="AL1276" s="4"/>
      <c r="AM1276" s="4"/>
      <c r="AN1276" s="4"/>
      <c r="AO1276" s="4"/>
      <c r="AP1276" s="4"/>
      <c r="AQ1276" s="4"/>
      <c r="AR1276" s="4"/>
      <c r="AS1276" s="4"/>
      <c r="AU1276" s="4"/>
      <c r="AV1276" s="4"/>
      <c r="AW1276" s="4"/>
      <c r="AX1276" s="4"/>
      <c r="AY1276" s="4"/>
      <c r="AZ1276" s="4"/>
      <c r="BA1276" s="4"/>
      <c r="BB1276" s="4"/>
      <c r="BC1276" s="4"/>
      <c r="BD1276" s="4"/>
      <c r="BE1276" s="4"/>
    </row>
    <row r="1277" spans="2:57" x14ac:dyDescent="0.3">
      <c r="B1277" s="6" t="s">
        <v>1300</v>
      </c>
      <c r="C1277" s="6">
        <v>35</v>
      </c>
      <c r="D1277" s="6" t="s">
        <v>12</v>
      </c>
      <c r="E1277" s="6" t="s">
        <v>15</v>
      </c>
      <c r="F1277" s="6" t="s">
        <v>27</v>
      </c>
      <c r="G1277" s="19">
        <v>4788</v>
      </c>
      <c r="H1277" s="11">
        <v>3</v>
      </c>
      <c r="I1277" s="6">
        <v>2</v>
      </c>
      <c r="J1277" s="6" t="s">
        <v>9</v>
      </c>
      <c r="K1277" s="5" t="s">
        <v>14</v>
      </c>
      <c r="L1277" s="3" t="str">
        <f>IF(Table1[[#This Row],[Monthly Income]]&lt;3000,"Low",IF(Table1[[#This Row],[Monthly Income]]&lt;7000,"Medium","High"))</f>
        <v>Medium</v>
      </c>
      <c r="AK1277" s="6"/>
      <c r="AL1277" s="6"/>
      <c r="AM1277" s="6"/>
      <c r="AN1277" s="6"/>
      <c r="AO1277" s="6"/>
      <c r="AP1277" s="6"/>
      <c r="AQ1277" s="6"/>
      <c r="AR1277" s="6"/>
      <c r="AS1277" s="6"/>
      <c r="AU1277" s="6"/>
      <c r="AV1277" s="6"/>
      <c r="AW1277" s="6"/>
      <c r="AX1277" s="6"/>
      <c r="AY1277" s="6"/>
      <c r="AZ1277" s="6"/>
      <c r="BA1277" s="6"/>
      <c r="BB1277" s="6"/>
      <c r="BC1277" s="6"/>
      <c r="BD1277" s="6"/>
      <c r="BE1277" s="6"/>
    </row>
    <row r="1278" spans="2:57" x14ac:dyDescent="0.3">
      <c r="B1278" s="4" t="s">
        <v>1301</v>
      </c>
      <c r="C1278" s="4">
        <v>26</v>
      </c>
      <c r="D1278" s="4" t="s">
        <v>12</v>
      </c>
      <c r="E1278" s="4" t="s">
        <v>15</v>
      </c>
      <c r="F1278" s="4" t="s">
        <v>18</v>
      </c>
      <c r="G1278" s="18">
        <v>2933</v>
      </c>
      <c r="H1278" s="10">
        <v>1</v>
      </c>
      <c r="I1278" s="4">
        <v>3</v>
      </c>
      <c r="J1278" s="4" t="s">
        <v>9</v>
      </c>
      <c r="K1278" s="3" t="s">
        <v>14</v>
      </c>
      <c r="L1278" s="3" t="str">
        <f>IF(Table1[[#This Row],[Monthly Income]]&lt;3000,"Low",IF(Table1[[#This Row],[Monthly Income]]&lt;7000,"Medium","High"))</f>
        <v>Low</v>
      </c>
      <c r="AK1278" s="4"/>
      <c r="AL1278" s="4"/>
      <c r="AM1278" s="4"/>
      <c r="AN1278" s="4"/>
      <c r="AO1278" s="4"/>
      <c r="AP1278" s="4"/>
      <c r="AQ1278" s="4"/>
      <c r="AR1278" s="4"/>
      <c r="AS1278" s="4"/>
      <c r="AU1278" s="4"/>
      <c r="AV1278" s="4"/>
      <c r="AW1278" s="4"/>
      <c r="AX1278" s="4"/>
      <c r="AY1278" s="4"/>
      <c r="AZ1278" s="4"/>
      <c r="BA1278" s="4"/>
      <c r="BB1278" s="4"/>
      <c r="BC1278" s="4"/>
      <c r="BD1278" s="4"/>
      <c r="BE1278" s="4"/>
    </row>
    <row r="1279" spans="2:57" x14ac:dyDescent="0.3">
      <c r="B1279" s="6" t="s">
        <v>1302</v>
      </c>
      <c r="C1279" s="6">
        <v>40</v>
      </c>
      <c r="D1279" s="6" t="s">
        <v>12</v>
      </c>
      <c r="E1279" s="6" t="s">
        <v>15</v>
      </c>
      <c r="F1279" s="6" t="s">
        <v>27</v>
      </c>
      <c r="G1279" s="19">
        <v>6516</v>
      </c>
      <c r="H1279" s="11">
        <v>1</v>
      </c>
      <c r="I1279" s="6">
        <v>1</v>
      </c>
      <c r="J1279" s="6" t="s">
        <v>9</v>
      </c>
      <c r="K1279" s="5" t="s">
        <v>14</v>
      </c>
      <c r="L1279" s="3" t="str">
        <f>IF(Table1[[#This Row],[Monthly Income]]&lt;3000,"Low",IF(Table1[[#This Row],[Monthly Income]]&lt;7000,"Medium","High"))</f>
        <v>Medium</v>
      </c>
      <c r="AK1279" s="6"/>
      <c r="AL1279" s="6"/>
      <c r="AM1279" s="6"/>
      <c r="AN1279" s="6"/>
      <c r="AO1279" s="6"/>
      <c r="AP1279" s="6"/>
      <c r="AQ1279" s="6"/>
      <c r="AR1279" s="6"/>
      <c r="AS1279" s="6"/>
      <c r="AU1279" s="6"/>
      <c r="AV1279" s="6"/>
      <c r="AW1279" s="6"/>
      <c r="AX1279" s="6"/>
      <c r="AY1279" s="6"/>
      <c r="AZ1279" s="6"/>
      <c r="BA1279" s="6"/>
      <c r="BB1279" s="6"/>
      <c r="BC1279" s="6"/>
      <c r="BD1279" s="6"/>
      <c r="BE1279" s="6"/>
    </row>
    <row r="1280" spans="2:57" x14ac:dyDescent="0.3">
      <c r="B1280" s="4" t="s">
        <v>1303</v>
      </c>
      <c r="C1280" s="4">
        <v>33</v>
      </c>
      <c r="D1280" s="4" t="s">
        <v>12</v>
      </c>
      <c r="E1280" s="4" t="s">
        <v>15</v>
      </c>
      <c r="F1280" s="4" t="s">
        <v>29</v>
      </c>
      <c r="G1280" s="18">
        <v>4878</v>
      </c>
      <c r="H1280" s="10">
        <v>9</v>
      </c>
      <c r="I1280" s="4">
        <v>4</v>
      </c>
      <c r="J1280" s="4" t="s">
        <v>9</v>
      </c>
      <c r="K1280" s="3" t="s">
        <v>14</v>
      </c>
      <c r="L1280" s="3" t="str">
        <f>IF(Table1[[#This Row],[Monthly Income]]&lt;3000,"Low",IF(Table1[[#This Row],[Monthly Income]]&lt;7000,"Medium","High"))</f>
        <v>Medium</v>
      </c>
      <c r="AK1280" s="4"/>
      <c r="AL1280" s="4"/>
      <c r="AM1280" s="4"/>
      <c r="AN1280" s="4"/>
      <c r="AO1280" s="4"/>
      <c r="AP1280" s="4"/>
      <c r="AQ1280" s="4"/>
      <c r="AR1280" s="4"/>
      <c r="AS1280" s="4"/>
      <c r="AU1280" s="4"/>
      <c r="AV1280" s="4"/>
      <c r="AW1280" s="4"/>
      <c r="AX1280" s="4"/>
      <c r="AY1280" s="4"/>
      <c r="AZ1280" s="4"/>
      <c r="BA1280" s="4"/>
      <c r="BB1280" s="4"/>
      <c r="BC1280" s="4"/>
      <c r="BD1280" s="4"/>
      <c r="BE1280" s="4"/>
    </row>
    <row r="1281" spans="2:57" x14ac:dyDescent="0.3">
      <c r="B1281" s="6" t="s">
        <v>1304</v>
      </c>
      <c r="C1281" s="6">
        <v>49</v>
      </c>
      <c r="D1281" s="6" t="s">
        <v>12</v>
      </c>
      <c r="E1281" s="6" t="s">
        <v>15</v>
      </c>
      <c r="F1281" s="6" t="s">
        <v>29</v>
      </c>
      <c r="G1281" s="19">
        <v>13966</v>
      </c>
      <c r="H1281" s="11">
        <v>15</v>
      </c>
      <c r="I1281" s="6">
        <v>3</v>
      </c>
      <c r="J1281" s="6" t="s">
        <v>9</v>
      </c>
      <c r="K1281" s="5" t="s">
        <v>14</v>
      </c>
      <c r="L1281" s="3" t="str">
        <f>IF(Table1[[#This Row],[Monthly Income]]&lt;3000,"Low",IF(Table1[[#This Row],[Monthly Income]]&lt;7000,"Medium","High"))</f>
        <v>High</v>
      </c>
      <c r="AK1281" s="6"/>
      <c r="AL1281" s="6"/>
      <c r="AM1281" s="6"/>
      <c r="AN1281" s="6"/>
      <c r="AO1281" s="6"/>
      <c r="AP1281" s="6"/>
      <c r="AQ1281" s="6"/>
      <c r="AR1281" s="6"/>
      <c r="AS1281" s="6"/>
      <c r="AU1281" s="6"/>
      <c r="AV1281" s="6"/>
      <c r="AW1281" s="6"/>
      <c r="AX1281" s="6"/>
      <c r="AY1281" s="6"/>
      <c r="AZ1281" s="6"/>
      <c r="BA1281" s="6"/>
      <c r="BB1281" s="6"/>
      <c r="BC1281" s="6"/>
      <c r="BD1281" s="6"/>
      <c r="BE1281" s="6"/>
    </row>
    <row r="1282" spans="2:57" x14ac:dyDescent="0.3">
      <c r="B1282" s="4" t="s">
        <v>1305</v>
      </c>
      <c r="C1282" s="4">
        <v>44</v>
      </c>
      <c r="D1282" s="4" t="s">
        <v>12</v>
      </c>
      <c r="E1282" s="4" t="s">
        <v>15</v>
      </c>
      <c r="F1282" s="4" t="s">
        <v>29</v>
      </c>
      <c r="G1282" s="18">
        <v>7879</v>
      </c>
      <c r="H1282" s="10">
        <v>8</v>
      </c>
      <c r="I1282" s="4">
        <v>4</v>
      </c>
      <c r="J1282" s="4" t="s">
        <v>9</v>
      </c>
      <c r="K1282" s="3" t="s">
        <v>14</v>
      </c>
      <c r="L1282" s="3" t="str">
        <f>IF(Table1[[#This Row],[Monthly Income]]&lt;3000,"Low",IF(Table1[[#This Row],[Monthly Income]]&lt;7000,"Medium","High"))</f>
        <v>High</v>
      </c>
      <c r="AK1282" s="4"/>
      <c r="AL1282" s="4"/>
      <c r="AM1282" s="4"/>
      <c r="AN1282" s="4"/>
      <c r="AO1282" s="4"/>
      <c r="AP1282" s="4"/>
      <c r="AQ1282" s="4"/>
      <c r="AR1282" s="4"/>
      <c r="AS1282" s="4"/>
      <c r="AU1282" s="4"/>
      <c r="AV1282" s="4"/>
      <c r="AW1282" s="4"/>
      <c r="AX1282" s="4"/>
      <c r="AY1282" s="4"/>
      <c r="AZ1282" s="4"/>
      <c r="BA1282" s="4"/>
      <c r="BB1282" s="4"/>
      <c r="BC1282" s="4"/>
      <c r="BD1282" s="4"/>
      <c r="BE1282" s="4"/>
    </row>
    <row r="1283" spans="2:57" x14ac:dyDescent="0.3">
      <c r="B1283" s="6" t="s">
        <v>1306</v>
      </c>
      <c r="C1283" s="6">
        <v>38</v>
      </c>
      <c r="D1283" s="6" t="s">
        <v>12</v>
      </c>
      <c r="E1283" s="6" t="s">
        <v>15</v>
      </c>
      <c r="F1283" s="6" t="s">
        <v>27</v>
      </c>
      <c r="G1283" s="19">
        <v>7756</v>
      </c>
      <c r="H1283" s="11">
        <v>5</v>
      </c>
      <c r="I1283" s="6">
        <v>3</v>
      </c>
      <c r="J1283" s="6" t="s">
        <v>9</v>
      </c>
      <c r="K1283" s="5" t="s">
        <v>14</v>
      </c>
      <c r="L1283" s="3" t="str">
        <f>IF(Table1[[#This Row],[Monthly Income]]&lt;3000,"Low",IF(Table1[[#This Row],[Monthly Income]]&lt;7000,"Medium","High"))</f>
        <v>High</v>
      </c>
      <c r="AK1283" s="6"/>
      <c r="AL1283" s="6"/>
      <c r="AM1283" s="6"/>
      <c r="AN1283" s="6"/>
      <c r="AO1283" s="6"/>
      <c r="AP1283" s="6"/>
      <c r="AQ1283" s="6"/>
      <c r="AR1283" s="6"/>
      <c r="AS1283" s="6"/>
      <c r="AU1283" s="6"/>
      <c r="AV1283" s="6"/>
      <c r="AW1283" s="6"/>
      <c r="AX1283" s="6"/>
      <c r="AY1283" s="6"/>
      <c r="AZ1283" s="6"/>
      <c r="BA1283" s="6"/>
      <c r="BB1283" s="6"/>
      <c r="BC1283" s="6"/>
      <c r="BD1283" s="6"/>
      <c r="BE1283" s="6"/>
    </row>
    <row r="1284" spans="2:57" x14ac:dyDescent="0.3">
      <c r="B1284" s="4" t="s">
        <v>1307</v>
      </c>
      <c r="C1284" s="4">
        <v>36</v>
      </c>
      <c r="D1284" s="4" t="s">
        <v>12</v>
      </c>
      <c r="E1284" s="4" t="s">
        <v>15</v>
      </c>
      <c r="F1284" s="4" t="s">
        <v>27</v>
      </c>
      <c r="G1284" s="18">
        <v>4663</v>
      </c>
      <c r="H1284" s="10">
        <v>3</v>
      </c>
      <c r="I1284" s="4">
        <v>3</v>
      </c>
      <c r="J1284" s="4" t="s">
        <v>9</v>
      </c>
      <c r="K1284" s="3" t="s">
        <v>14</v>
      </c>
      <c r="L1284" s="3" t="str">
        <f>IF(Table1[[#This Row],[Monthly Income]]&lt;3000,"Low",IF(Table1[[#This Row],[Monthly Income]]&lt;7000,"Medium","High"))</f>
        <v>Medium</v>
      </c>
      <c r="AK1284" s="4"/>
      <c r="AL1284" s="4"/>
      <c r="AM1284" s="4"/>
      <c r="AN1284" s="4"/>
      <c r="AO1284" s="4"/>
      <c r="AP1284" s="4"/>
      <c r="AQ1284" s="4"/>
      <c r="AR1284" s="4"/>
      <c r="AS1284" s="4"/>
      <c r="AU1284" s="4"/>
      <c r="AV1284" s="4"/>
      <c r="AW1284" s="4"/>
      <c r="AX1284" s="4"/>
      <c r="AY1284" s="4"/>
      <c r="AZ1284" s="4"/>
      <c r="BA1284" s="4"/>
      <c r="BB1284" s="4"/>
      <c r="BC1284" s="4"/>
      <c r="BD1284" s="4"/>
      <c r="BE1284" s="4"/>
    </row>
    <row r="1285" spans="2:57" x14ac:dyDescent="0.3">
      <c r="B1285" s="6" t="s">
        <v>1308</v>
      </c>
      <c r="C1285" s="6">
        <v>35</v>
      </c>
      <c r="D1285" s="6" t="s">
        <v>12</v>
      </c>
      <c r="E1285" s="6" t="s">
        <v>15</v>
      </c>
      <c r="F1285" s="6" t="s">
        <v>29</v>
      </c>
      <c r="G1285" s="19">
        <v>6142</v>
      </c>
      <c r="H1285" s="11">
        <v>5</v>
      </c>
      <c r="I1285" s="6">
        <v>3</v>
      </c>
      <c r="J1285" s="6" t="s">
        <v>9</v>
      </c>
      <c r="K1285" s="5" t="s">
        <v>14</v>
      </c>
      <c r="L1285" s="3" t="str">
        <f>IF(Table1[[#This Row],[Monthly Income]]&lt;3000,"Low",IF(Table1[[#This Row],[Monthly Income]]&lt;7000,"Medium","High"))</f>
        <v>Medium</v>
      </c>
      <c r="AK1285" s="6"/>
      <c r="AL1285" s="6"/>
      <c r="AM1285" s="6"/>
      <c r="AN1285" s="6"/>
      <c r="AO1285" s="6"/>
      <c r="AP1285" s="6"/>
      <c r="AQ1285" s="6"/>
      <c r="AR1285" s="6"/>
      <c r="AS1285" s="6"/>
      <c r="AU1285" s="6"/>
      <c r="AV1285" s="6"/>
      <c r="AW1285" s="6"/>
      <c r="AX1285" s="6"/>
      <c r="AY1285" s="6"/>
      <c r="AZ1285" s="6"/>
      <c r="BA1285" s="6"/>
      <c r="BB1285" s="6"/>
      <c r="BC1285" s="6"/>
      <c r="BD1285" s="6"/>
      <c r="BE1285" s="6"/>
    </row>
    <row r="1286" spans="2:57" x14ac:dyDescent="0.3">
      <c r="B1286" s="4" t="s">
        <v>1309</v>
      </c>
      <c r="C1286" s="4">
        <v>45</v>
      </c>
      <c r="D1286" s="4" t="s">
        <v>12</v>
      </c>
      <c r="E1286" s="4" t="s">
        <v>15</v>
      </c>
      <c r="F1286" s="4" t="s">
        <v>20</v>
      </c>
      <c r="G1286" s="18">
        <v>5769</v>
      </c>
      <c r="H1286" s="10">
        <v>10</v>
      </c>
      <c r="I1286" s="4">
        <v>1</v>
      </c>
      <c r="J1286" s="4" t="s">
        <v>9</v>
      </c>
      <c r="K1286" s="3" t="s">
        <v>14</v>
      </c>
      <c r="L1286" s="3" t="str">
        <f>IF(Table1[[#This Row],[Monthly Income]]&lt;3000,"Low",IF(Table1[[#This Row],[Monthly Income]]&lt;7000,"Medium","High"))</f>
        <v>Medium</v>
      </c>
      <c r="AK1286" s="4"/>
      <c r="AL1286" s="4"/>
      <c r="AM1286" s="4"/>
      <c r="AN1286" s="4"/>
      <c r="AO1286" s="4"/>
      <c r="AP1286" s="4"/>
      <c r="AQ1286" s="4"/>
      <c r="AR1286" s="4"/>
      <c r="AS1286" s="4"/>
      <c r="AU1286" s="4"/>
      <c r="AV1286" s="4"/>
      <c r="AW1286" s="4"/>
      <c r="AX1286" s="4"/>
      <c r="AY1286" s="4"/>
      <c r="AZ1286" s="4"/>
      <c r="BA1286" s="4"/>
      <c r="BB1286" s="4"/>
      <c r="BC1286" s="4"/>
      <c r="BD1286" s="4"/>
      <c r="BE1286" s="4"/>
    </row>
    <row r="1287" spans="2:57" x14ac:dyDescent="0.3">
      <c r="B1287" s="6" t="s">
        <v>1310</v>
      </c>
      <c r="C1287" s="6">
        <v>54</v>
      </c>
      <c r="D1287" s="6" t="s">
        <v>12</v>
      </c>
      <c r="E1287" s="6" t="s">
        <v>15</v>
      </c>
      <c r="F1287" s="6" t="s">
        <v>27</v>
      </c>
      <c r="G1287" s="19">
        <v>4440</v>
      </c>
      <c r="H1287" s="11">
        <v>5</v>
      </c>
      <c r="I1287" s="6">
        <v>1</v>
      </c>
      <c r="J1287" s="6" t="s">
        <v>9</v>
      </c>
      <c r="K1287" s="5" t="s">
        <v>14</v>
      </c>
      <c r="L1287" s="3" t="str">
        <f>IF(Table1[[#This Row],[Monthly Income]]&lt;3000,"Low",IF(Table1[[#This Row],[Monthly Income]]&lt;7000,"Medium","High"))</f>
        <v>Medium</v>
      </c>
      <c r="AK1287" s="6"/>
      <c r="AL1287" s="6"/>
      <c r="AM1287" s="6"/>
      <c r="AN1287" s="6"/>
      <c r="AO1287" s="6"/>
      <c r="AP1287" s="6"/>
      <c r="AQ1287" s="6"/>
      <c r="AR1287" s="6"/>
      <c r="AS1287" s="6"/>
      <c r="AU1287" s="6"/>
      <c r="AV1287" s="6"/>
      <c r="AW1287" s="6"/>
      <c r="AX1287" s="6"/>
      <c r="AY1287" s="6"/>
      <c r="AZ1287" s="6"/>
      <c r="BA1287" s="6"/>
      <c r="BB1287" s="6"/>
      <c r="BC1287" s="6"/>
      <c r="BD1287" s="6"/>
      <c r="BE1287" s="6"/>
    </row>
    <row r="1288" spans="2:57" x14ac:dyDescent="0.3">
      <c r="B1288" s="4" t="s">
        <v>1311</v>
      </c>
      <c r="C1288" s="4">
        <v>40</v>
      </c>
      <c r="D1288" s="4" t="s">
        <v>12</v>
      </c>
      <c r="E1288" s="4" t="s">
        <v>15</v>
      </c>
      <c r="F1288" s="4" t="s">
        <v>27</v>
      </c>
      <c r="G1288" s="18">
        <v>7945</v>
      </c>
      <c r="H1288" s="10">
        <v>4</v>
      </c>
      <c r="I1288" s="4">
        <v>4</v>
      </c>
      <c r="J1288" s="4" t="s">
        <v>9</v>
      </c>
      <c r="K1288" s="3" t="s">
        <v>14</v>
      </c>
      <c r="L1288" s="3" t="str">
        <f>IF(Table1[[#This Row],[Monthly Income]]&lt;3000,"Low",IF(Table1[[#This Row],[Monthly Income]]&lt;7000,"Medium","High"))</f>
        <v>High</v>
      </c>
      <c r="AK1288" s="4"/>
      <c r="AL1288" s="4"/>
      <c r="AM1288" s="4"/>
      <c r="AN1288" s="4"/>
      <c r="AO1288" s="4"/>
      <c r="AP1288" s="4"/>
      <c r="AQ1288" s="4"/>
      <c r="AR1288" s="4"/>
      <c r="AS1288" s="4"/>
      <c r="AU1288" s="4"/>
      <c r="AV1288" s="4"/>
      <c r="AW1288" s="4"/>
      <c r="AX1288" s="4"/>
      <c r="AY1288" s="4"/>
      <c r="AZ1288" s="4"/>
      <c r="BA1288" s="4"/>
      <c r="BB1288" s="4"/>
      <c r="BC1288" s="4"/>
      <c r="BD1288" s="4"/>
      <c r="BE1288" s="4"/>
    </row>
    <row r="1289" spans="2:57" x14ac:dyDescent="0.3">
      <c r="B1289" s="6" t="s">
        <v>1312</v>
      </c>
      <c r="C1289" s="6">
        <v>41</v>
      </c>
      <c r="D1289" s="6" t="s">
        <v>12</v>
      </c>
      <c r="E1289" s="6" t="s">
        <v>10</v>
      </c>
      <c r="F1289" s="6" t="s">
        <v>13</v>
      </c>
      <c r="G1289" s="19">
        <v>10447</v>
      </c>
      <c r="H1289" s="11">
        <v>22</v>
      </c>
      <c r="I1289" s="6">
        <v>3</v>
      </c>
      <c r="J1289" s="6" t="s">
        <v>9</v>
      </c>
      <c r="K1289" s="5" t="s">
        <v>14</v>
      </c>
      <c r="L1289" s="3" t="str">
        <f>IF(Table1[[#This Row],[Monthly Income]]&lt;3000,"Low",IF(Table1[[#This Row],[Monthly Income]]&lt;7000,"Medium","High"))</f>
        <v>High</v>
      </c>
      <c r="AK1289" s="6"/>
      <c r="AL1289" s="6"/>
      <c r="AM1289" s="6"/>
      <c r="AN1289" s="6"/>
      <c r="AO1289" s="6"/>
      <c r="AP1289" s="6"/>
      <c r="AQ1289" s="6"/>
      <c r="AR1289" s="6"/>
      <c r="AS1289" s="6"/>
      <c r="AU1289" s="6"/>
      <c r="AV1289" s="6"/>
      <c r="AW1289" s="6"/>
      <c r="AX1289" s="6"/>
      <c r="AY1289" s="6"/>
      <c r="AZ1289" s="6"/>
      <c r="BA1289" s="6"/>
      <c r="BB1289" s="6"/>
      <c r="BC1289" s="6"/>
      <c r="BD1289" s="6"/>
      <c r="BE1289" s="6"/>
    </row>
    <row r="1290" spans="2:57" x14ac:dyDescent="0.3">
      <c r="B1290" s="4" t="s">
        <v>1313</v>
      </c>
      <c r="C1290" s="4">
        <v>31</v>
      </c>
      <c r="D1290" s="4" t="s">
        <v>12</v>
      </c>
      <c r="E1290" s="4" t="s">
        <v>10</v>
      </c>
      <c r="F1290" s="4" t="s">
        <v>13</v>
      </c>
      <c r="G1290" s="18">
        <v>6583</v>
      </c>
      <c r="H1290" s="10">
        <v>5</v>
      </c>
      <c r="I1290" s="4">
        <v>4</v>
      </c>
      <c r="J1290" s="4" t="s">
        <v>9</v>
      </c>
      <c r="K1290" s="3" t="s">
        <v>14</v>
      </c>
      <c r="L1290" s="3" t="str">
        <f>IF(Table1[[#This Row],[Monthly Income]]&lt;3000,"Low",IF(Table1[[#This Row],[Monthly Income]]&lt;7000,"Medium","High"))</f>
        <v>Medium</v>
      </c>
      <c r="AK1290" s="4"/>
      <c r="AL1290" s="4"/>
      <c r="AM1290" s="4"/>
      <c r="AN1290" s="4"/>
      <c r="AO1290" s="4"/>
      <c r="AP1290" s="4"/>
      <c r="AQ1290" s="4"/>
      <c r="AR1290" s="4"/>
      <c r="AS1290" s="4"/>
      <c r="AU1290" s="4"/>
      <c r="AV1290" s="4"/>
      <c r="AW1290" s="4"/>
      <c r="AX1290" s="4"/>
      <c r="AY1290" s="4"/>
      <c r="AZ1290" s="4"/>
      <c r="BA1290" s="4"/>
      <c r="BB1290" s="4"/>
      <c r="BC1290" s="4"/>
      <c r="BD1290" s="4"/>
      <c r="BE1290" s="4"/>
    </row>
    <row r="1291" spans="2:57" x14ac:dyDescent="0.3">
      <c r="B1291" s="6" t="s">
        <v>1314</v>
      </c>
      <c r="C1291" s="6">
        <v>35</v>
      </c>
      <c r="D1291" s="6" t="s">
        <v>12</v>
      </c>
      <c r="E1291" s="6" t="s">
        <v>10</v>
      </c>
      <c r="F1291" s="6" t="s">
        <v>13</v>
      </c>
      <c r="G1291" s="19">
        <v>5204</v>
      </c>
      <c r="H1291" s="11">
        <v>10</v>
      </c>
      <c r="I1291" s="6">
        <v>4</v>
      </c>
      <c r="J1291" s="6" t="s">
        <v>9</v>
      </c>
      <c r="K1291" s="5" t="s">
        <v>14</v>
      </c>
      <c r="L1291" s="3" t="str">
        <f>IF(Table1[[#This Row],[Monthly Income]]&lt;3000,"Low",IF(Table1[[#This Row],[Monthly Income]]&lt;7000,"Medium","High"))</f>
        <v>Medium</v>
      </c>
      <c r="AK1291" s="6"/>
      <c r="AL1291" s="6"/>
      <c r="AM1291" s="6"/>
      <c r="AN1291" s="6"/>
      <c r="AO1291" s="6"/>
      <c r="AP1291" s="6"/>
      <c r="AQ1291" s="6"/>
      <c r="AR1291" s="6"/>
      <c r="AS1291" s="6"/>
      <c r="AU1291" s="6"/>
      <c r="AV1291" s="6"/>
      <c r="AW1291" s="6"/>
      <c r="AX1291" s="6"/>
      <c r="AY1291" s="6"/>
      <c r="AZ1291" s="6"/>
      <c r="BA1291" s="6"/>
      <c r="BB1291" s="6"/>
      <c r="BC1291" s="6"/>
      <c r="BD1291" s="6"/>
      <c r="BE1291" s="6"/>
    </row>
    <row r="1292" spans="2:57" x14ac:dyDescent="0.3">
      <c r="B1292" s="4" t="s">
        <v>1315</v>
      </c>
      <c r="C1292" s="4">
        <v>34</v>
      </c>
      <c r="D1292" s="4" t="s">
        <v>12</v>
      </c>
      <c r="E1292" s="4" t="s">
        <v>10</v>
      </c>
      <c r="F1292" s="4" t="s">
        <v>13</v>
      </c>
      <c r="G1292" s="18">
        <v>8103</v>
      </c>
      <c r="H1292" s="10">
        <v>4</v>
      </c>
      <c r="I1292" s="4">
        <v>4</v>
      </c>
      <c r="J1292" s="4" t="s">
        <v>9</v>
      </c>
      <c r="K1292" s="3" t="s">
        <v>14</v>
      </c>
      <c r="L1292" s="3" t="str">
        <f>IF(Table1[[#This Row],[Monthly Income]]&lt;3000,"Low",IF(Table1[[#This Row],[Monthly Income]]&lt;7000,"Medium","High"))</f>
        <v>High</v>
      </c>
      <c r="AK1292" s="4"/>
      <c r="AL1292" s="4"/>
      <c r="AM1292" s="4"/>
      <c r="AN1292" s="4"/>
      <c r="AO1292" s="4"/>
      <c r="AP1292" s="4"/>
      <c r="AQ1292" s="4"/>
      <c r="AR1292" s="4"/>
      <c r="AS1292" s="4"/>
      <c r="AU1292" s="4"/>
      <c r="AV1292" s="4"/>
      <c r="AW1292" s="4"/>
      <c r="AX1292" s="4"/>
      <c r="AY1292" s="4"/>
      <c r="AZ1292" s="4"/>
      <c r="BA1292" s="4"/>
      <c r="BB1292" s="4"/>
      <c r="BC1292" s="4"/>
      <c r="BD1292" s="4"/>
      <c r="BE1292" s="4"/>
    </row>
    <row r="1293" spans="2:57" x14ac:dyDescent="0.3">
      <c r="B1293" s="6" t="s">
        <v>1316</v>
      </c>
      <c r="C1293" s="6">
        <v>36</v>
      </c>
      <c r="D1293" s="6" t="s">
        <v>12</v>
      </c>
      <c r="E1293" s="6" t="s">
        <v>10</v>
      </c>
      <c r="F1293" s="6" t="s">
        <v>13</v>
      </c>
      <c r="G1293" s="19">
        <v>5673</v>
      </c>
      <c r="H1293" s="11">
        <v>10</v>
      </c>
      <c r="I1293" s="6">
        <v>3</v>
      </c>
      <c r="J1293" s="6" t="s">
        <v>9</v>
      </c>
      <c r="K1293" s="5" t="s">
        <v>14</v>
      </c>
      <c r="L1293" s="3" t="str">
        <f>IF(Table1[[#This Row],[Monthly Income]]&lt;3000,"Low",IF(Table1[[#This Row],[Monthly Income]]&lt;7000,"Medium","High"))</f>
        <v>Medium</v>
      </c>
      <c r="AK1293" s="6"/>
      <c r="AL1293" s="6"/>
      <c r="AM1293" s="6"/>
      <c r="AN1293" s="6"/>
      <c r="AO1293" s="6"/>
      <c r="AP1293" s="6"/>
      <c r="AQ1293" s="6"/>
      <c r="AR1293" s="6"/>
      <c r="AS1293" s="6"/>
      <c r="AU1293" s="6"/>
      <c r="AV1293" s="6"/>
      <c r="AW1293" s="6"/>
      <c r="AX1293" s="6"/>
      <c r="AY1293" s="6"/>
      <c r="AZ1293" s="6"/>
      <c r="BA1293" s="6"/>
      <c r="BB1293" s="6"/>
      <c r="BC1293" s="6"/>
      <c r="BD1293" s="6"/>
      <c r="BE1293" s="6"/>
    </row>
    <row r="1294" spans="2:57" x14ac:dyDescent="0.3">
      <c r="B1294" s="4" t="s">
        <v>1317</v>
      </c>
      <c r="C1294" s="4">
        <v>47</v>
      </c>
      <c r="D1294" s="4" t="s">
        <v>12</v>
      </c>
      <c r="E1294" s="4" t="s">
        <v>10</v>
      </c>
      <c r="F1294" s="4" t="s">
        <v>13</v>
      </c>
      <c r="G1294" s="18">
        <v>4591</v>
      </c>
      <c r="H1294" s="10">
        <v>5</v>
      </c>
      <c r="I1294" s="4">
        <v>3</v>
      </c>
      <c r="J1294" s="4" t="s">
        <v>9</v>
      </c>
      <c r="K1294" s="3" t="s">
        <v>14</v>
      </c>
      <c r="L1294" s="3" t="str">
        <f>IF(Table1[[#This Row],[Monthly Income]]&lt;3000,"Low",IF(Table1[[#This Row],[Monthly Income]]&lt;7000,"Medium","High"))</f>
        <v>Medium</v>
      </c>
      <c r="AK1294" s="4"/>
      <c r="AL1294" s="4"/>
      <c r="AM1294" s="4"/>
      <c r="AN1294" s="4"/>
      <c r="AO1294" s="4"/>
      <c r="AP1294" s="4"/>
      <c r="AQ1294" s="4"/>
      <c r="AR1294" s="4"/>
      <c r="AS1294" s="4"/>
      <c r="AU1294" s="4"/>
      <c r="AV1294" s="4"/>
      <c r="AW1294" s="4"/>
      <c r="AX1294" s="4"/>
      <c r="AY1294" s="4"/>
      <c r="AZ1294" s="4"/>
      <c r="BA1294" s="4"/>
      <c r="BB1294" s="4"/>
      <c r="BC1294" s="4"/>
      <c r="BD1294" s="4"/>
      <c r="BE1294" s="4"/>
    </row>
    <row r="1295" spans="2:57" x14ac:dyDescent="0.3">
      <c r="B1295" s="6" t="s">
        <v>1318</v>
      </c>
      <c r="C1295" s="6">
        <v>58</v>
      </c>
      <c r="D1295" s="6" t="s">
        <v>12</v>
      </c>
      <c r="E1295" s="6" t="s">
        <v>10</v>
      </c>
      <c r="F1295" s="6" t="s">
        <v>39</v>
      </c>
      <c r="G1295" s="19">
        <v>17875</v>
      </c>
      <c r="H1295" s="11">
        <v>1</v>
      </c>
      <c r="I1295" s="6">
        <v>4</v>
      </c>
      <c r="J1295" s="6" t="s">
        <v>9</v>
      </c>
      <c r="K1295" s="5" t="s">
        <v>14</v>
      </c>
      <c r="L1295" s="3" t="str">
        <f>IF(Table1[[#This Row],[Monthly Income]]&lt;3000,"Low",IF(Table1[[#This Row],[Monthly Income]]&lt;7000,"Medium","High"))</f>
        <v>High</v>
      </c>
      <c r="AK1295" s="6"/>
      <c r="AL1295" s="6"/>
      <c r="AM1295" s="6"/>
      <c r="AN1295" s="6"/>
      <c r="AO1295" s="6"/>
      <c r="AP1295" s="6"/>
      <c r="AQ1295" s="6"/>
      <c r="AR1295" s="6"/>
      <c r="AS1295" s="6"/>
      <c r="AU1295" s="6"/>
      <c r="AV1295" s="6"/>
      <c r="AW1295" s="6"/>
      <c r="AX1295" s="6"/>
      <c r="AY1295" s="6"/>
      <c r="AZ1295" s="6"/>
      <c r="BA1295" s="6"/>
      <c r="BB1295" s="6"/>
      <c r="BC1295" s="6"/>
      <c r="BD1295" s="6"/>
      <c r="BE1295" s="6"/>
    </row>
    <row r="1296" spans="2:57" x14ac:dyDescent="0.3">
      <c r="B1296" s="4" t="s">
        <v>1319</v>
      </c>
      <c r="C1296" s="4">
        <v>24</v>
      </c>
      <c r="D1296" s="4" t="s">
        <v>12</v>
      </c>
      <c r="E1296" s="4" t="s">
        <v>10</v>
      </c>
      <c r="F1296" s="4" t="s">
        <v>13</v>
      </c>
      <c r="G1296" s="18">
        <v>4162</v>
      </c>
      <c r="H1296" s="10">
        <v>5</v>
      </c>
      <c r="I1296" s="4">
        <v>3</v>
      </c>
      <c r="J1296" s="4" t="s">
        <v>9</v>
      </c>
      <c r="K1296" s="3" t="s">
        <v>14</v>
      </c>
      <c r="L1296" s="3" t="str">
        <f>IF(Table1[[#This Row],[Monthly Income]]&lt;3000,"Low",IF(Table1[[#This Row],[Monthly Income]]&lt;7000,"Medium","High"))</f>
        <v>Medium</v>
      </c>
      <c r="AK1296" s="4"/>
      <c r="AL1296" s="4"/>
      <c r="AM1296" s="4"/>
      <c r="AN1296" s="4"/>
      <c r="AO1296" s="4"/>
      <c r="AP1296" s="4"/>
      <c r="AQ1296" s="4"/>
      <c r="AR1296" s="4"/>
      <c r="AS1296" s="4"/>
      <c r="AU1296" s="4"/>
      <c r="AV1296" s="4"/>
      <c r="AW1296" s="4"/>
      <c r="AX1296" s="4"/>
      <c r="AY1296" s="4"/>
      <c r="AZ1296" s="4"/>
      <c r="BA1296" s="4"/>
      <c r="BB1296" s="4"/>
      <c r="BC1296" s="4"/>
      <c r="BD1296" s="4"/>
      <c r="BE1296" s="4"/>
    </row>
    <row r="1297" spans="2:57" x14ac:dyDescent="0.3">
      <c r="B1297" s="6" t="s">
        <v>1320</v>
      </c>
      <c r="C1297" s="6">
        <v>36</v>
      </c>
      <c r="D1297" s="6" t="s">
        <v>12</v>
      </c>
      <c r="E1297" s="6" t="s">
        <v>10</v>
      </c>
      <c r="F1297" s="6" t="s">
        <v>13</v>
      </c>
      <c r="G1297" s="19">
        <v>9278</v>
      </c>
      <c r="H1297" s="11">
        <v>5</v>
      </c>
      <c r="I1297" s="6">
        <v>2</v>
      </c>
      <c r="J1297" s="6" t="s">
        <v>9</v>
      </c>
      <c r="K1297" s="5" t="s">
        <v>14</v>
      </c>
      <c r="L1297" s="3" t="str">
        <f>IF(Table1[[#This Row],[Monthly Income]]&lt;3000,"Low",IF(Table1[[#This Row],[Monthly Income]]&lt;7000,"Medium","High"))</f>
        <v>High</v>
      </c>
      <c r="AK1297" s="6"/>
      <c r="AL1297" s="6"/>
      <c r="AM1297" s="6"/>
      <c r="AN1297" s="6"/>
      <c r="AO1297" s="6"/>
      <c r="AP1297" s="6"/>
      <c r="AQ1297" s="6"/>
      <c r="AR1297" s="6"/>
      <c r="AS1297" s="6"/>
      <c r="AU1297" s="6"/>
      <c r="AV1297" s="6"/>
      <c r="AW1297" s="6"/>
      <c r="AX1297" s="6"/>
      <c r="AY1297" s="6"/>
      <c r="AZ1297" s="6"/>
      <c r="BA1297" s="6"/>
      <c r="BB1297" s="6"/>
      <c r="BC1297" s="6"/>
      <c r="BD1297" s="6"/>
      <c r="BE1297" s="6"/>
    </row>
    <row r="1298" spans="2:57" x14ac:dyDescent="0.3">
      <c r="B1298" s="4" t="s">
        <v>1321</v>
      </c>
      <c r="C1298" s="4">
        <v>40</v>
      </c>
      <c r="D1298" s="4" t="s">
        <v>17</v>
      </c>
      <c r="E1298" s="4" t="s">
        <v>15</v>
      </c>
      <c r="F1298" s="4" t="s">
        <v>29</v>
      </c>
      <c r="G1298" s="18">
        <v>4069</v>
      </c>
      <c r="H1298" s="10">
        <v>2</v>
      </c>
      <c r="I1298" s="4">
        <v>4</v>
      </c>
      <c r="J1298" s="4" t="s">
        <v>9</v>
      </c>
      <c r="K1298" s="3" t="s">
        <v>14</v>
      </c>
      <c r="L1298" s="3" t="str">
        <f>IF(Table1[[#This Row],[Monthly Income]]&lt;3000,"Low",IF(Table1[[#This Row],[Monthly Income]]&lt;7000,"Medium","High"))</f>
        <v>Medium</v>
      </c>
      <c r="AK1298" s="4"/>
      <c r="AL1298" s="4"/>
      <c r="AM1298" s="4"/>
      <c r="AN1298" s="4"/>
      <c r="AO1298" s="4"/>
      <c r="AP1298" s="4"/>
      <c r="AQ1298" s="4"/>
      <c r="AR1298" s="4"/>
      <c r="AS1298" s="4"/>
      <c r="AU1298" s="4"/>
      <c r="AV1298" s="4"/>
      <c r="AW1298" s="4"/>
      <c r="AX1298" s="4"/>
      <c r="AY1298" s="4"/>
      <c r="AZ1298" s="4"/>
      <c r="BA1298" s="4"/>
      <c r="BB1298" s="4"/>
      <c r="BC1298" s="4"/>
      <c r="BD1298" s="4"/>
      <c r="BE1298" s="4"/>
    </row>
    <row r="1299" spans="2:57" x14ac:dyDescent="0.3">
      <c r="B1299" s="6" t="s">
        <v>1322</v>
      </c>
      <c r="C1299" s="6">
        <v>31</v>
      </c>
      <c r="D1299" s="6" t="s">
        <v>17</v>
      </c>
      <c r="E1299" s="6" t="s">
        <v>15</v>
      </c>
      <c r="F1299" s="6" t="s">
        <v>18</v>
      </c>
      <c r="G1299" s="19">
        <v>3065</v>
      </c>
      <c r="H1299" s="11">
        <v>4</v>
      </c>
      <c r="I1299" s="6">
        <v>1</v>
      </c>
      <c r="J1299" s="6" t="s">
        <v>9</v>
      </c>
      <c r="K1299" s="5" t="s">
        <v>14</v>
      </c>
      <c r="L1299" s="3" t="str">
        <f>IF(Table1[[#This Row],[Monthly Income]]&lt;3000,"Low",IF(Table1[[#This Row],[Monthly Income]]&lt;7000,"Medium","High"))</f>
        <v>Medium</v>
      </c>
      <c r="AK1299" s="6"/>
      <c r="AL1299" s="6"/>
      <c r="AM1299" s="6"/>
      <c r="AN1299" s="6"/>
      <c r="AO1299" s="6"/>
      <c r="AP1299" s="6"/>
      <c r="AQ1299" s="6"/>
      <c r="AR1299" s="6"/>
      <c r="AS1299" s="6"/>
      <c r="AU1299" s="6"/>
      <c r="AV1299" s="6"/>
      <c r="AW1299" s="6"/>
      <c r="AX1299" s="6"/>
      <c r="AY1299" s="6"/>
      <c r="AZ1299" s="6"/>
      <c r="BA1299" s="6"/>
      <c r="BB1299" s="6"/>
      <c r="BC1299" s="6"/>
      <c r="BD1299" s="6"/>
      <c r="BE1299" s="6"/>
    </row>
    <row r="1300" spans="2:57" x14ac:dyDescent="0.3">
      <c r="B1300" s="4" t="s">
        <v>1323</v>
      </c>
      <c r="C1300" s="4">
        <v>39</v>
      </c>
      <c r="D1300" s="4" t="s">
        <v>17</v>
      </c>
      <c r="E1300" s="4" t="s">
        <v>15</v>
      </c>
      <c r="F1300" s="4" t="s">
        <v>20</v>
      </c>
      <c r="G1300" s="18">
        <v>6472</v>
      </c>
      <c r="H1300" s="10">
        <v>9</v>
      </c>
      <c r="I1300" s="4">
        <v>4</v>
      </c>
      <c r="J1300" s="4" t="s">
        <v>9</v>
      </c>
      <c r="K1300" s="3" t="s">
        <v>14</v>
      </c>
      <c r="L1300" s="3" t="str">
        <f>IF(Table1[[#This Row],[Monthly Income]]&lt;3000,"Low",IF(Table1[[#This Row],[Monthly Income]]&lt;7000,"Medium","High"))</f>
        <v>Medium</v>
      </c>
      <c r="AK1300" s="4"/>
      <c r="AL1300" s="4"/>
      <c r="AM1300" s="4"/>
      <c r="AN1300" s="4"/>
      <c r="AO1300" s="4"/>
      <c r="AP1300" s="4"/>
      <c r="AQ1300" s="4"/>
      <c r="AR1300" s="4"/>
      <c r="AS1300" s="4"/>
      <c r="AU1300" s="4"/>
      <c r="AV1300" s="4"/>
      <c r="AW1300" s="4"/>
      <c r="AX1300" s="4"/>
      <c r="AY1300" s="4"/>
      <c r="AZ1300" s="4"/>
      <c r="BA1300" s="4"/>
      <c r="BB1300" s="4"/>
      <c r="BC1300" s="4"/>
      <c r="BD1300" s="4"/>
      <c r="BE1300" s="4"/>
    </row>
    <row r="1301" spans="2:57" x14ac:dyDescent="0.3">
      <c r="B1301" s="6" t="s">
        <v>1324</v>
      </c>
      <c r="C1301" s="6">
        <v>34</v>
      </c>
      <c r="D1301" s="6" t="s">
        <v>17</v>
      </c>
      <c r="E1301" s="6" t="s">
        <v>10</v>
      </c>
      <c r="F1301" s="6" t="s">
        <v>13</v>
      </c>
      <c r="G1301" s="19">
        <v>4001</v>
      </c>
      <c r="H1301" s="11">
        <v>15</v>
      </c>
      <c r="I1301" s="6">
        <v>3</v>
      </c>
      <c r="J1301" s="6" t="s">
        <v>9</v>
      </c>
      <c r="K1301" s="5" t="s">
        <v>14</v>
      </c>
      <c r="L1301" s="3" t="str">
        <f>IF(Table1[[#This Row],[Monthly Income]]&lt;3000,"Low",IF(Table1[[#This Row],[Monthly Income]]&lt;7000,"Medium","High"))</f>
        <v>Medium</v>
      </c>
      <c r="AK1301" s="6"/>
      <c r="AL1301" s="6"/>
      <c r="AM1301" s="6"/>
      <c r="AN1301" s="6"/>
      <c r="AO1301" s="6"/>
      <c r="AP1301" s="6"/>
      <c r="AQ1301" s="6"/>
      <c r="AR1301" s="6"/>
      <c r="AS1301" s="6"/>
      <c r="AU1301" s="6"/>
      <c r="AV1301" s="6"/>
      <c r="AW1301" s="6"/>
      <c r="AX1301" s="6"/>
      <c r="AY1301" s="6"/>
      <c r="AZ1301" s="6"/>
      <c r="BA1301" s="6"/>
      <c r="BB1301" s="6"/>
      <c r="BC1301" s="6"/>
      <c r="BD1301" s="6"/>
      <c r="BE1301" s="6"/>
    </row>
    <row r="1302" spans="2:57" x14ac:dyDescent="0.3">
      <c r="B1302" s="4" t="s">
        <v>1325</v>
      </c>
      <c r="C1302" s="4">
        <v>44</v>
      </c>
      <c r="D1302" s="4" t="s">
        <v>17</v>
      </c>
      <c r="E1302" s="4" t="s">
        <v>102</v>
      </c>
      <c r="F1302" s="4" t="s">
        <v>104</v>
      </c>
      <c r="G1302" s="18">
        <v>5743</v>
      </c>
      <c r="H1302" s="10">
        <v>10</v>
      </c>
      <c r="I1302" s="4">
        <v>4</v>
      </c>
      <c r="J1302" s="4" t="s">
        <v>9</v>
      </c>
      <c r="K1302" s="3" t="s">
        <v>14</v>
      </c>
      <c r="L1302" s="3" t="str">
        <f>IF(Table1[[#This Row],[Monthly Income]]&lt;3000,"Low",IF(Table1[[#This Row],[Monthly Income]]&lt;7000,"Medium","High"))</f>
        <v>Medium</v>
      </c>
      <c r="AK1302" s="4"/>
      <c r="AL1302" s="4"/>
      <c r="AM1302" s="4"/>
      <c r="AN1302" s="4"/>
      <c r="AO1302" s="4"/>
      <c r="AP1302" s="4"/>
      <c r="AQ1302" s="4"/>
      <c r="AR1302" s="4"/>
      <c r="AS1302" s="4"/>
      <c r="AU1302" s="4"/>
      <c r="AV1302" s="4"/>
      <c r="AW1302" s="4"/>
      <c r="AX1302" s="4"/>
      <c r="AY1302" s="4"/>
      <c r="AZ1302" s="4"/>
      <c r="BA1302" s="4"/>
      <c r="BB1302" s="4"/>
      <c r="BC1302" s="4"/>
      <c r="BD1302" s="4"/>
      <c r="BE1302" s="4"/>
    </row>
    <row r="1303" spans="2:57" x14ac:dyDescent="0.3">
      <c r="B1303" s="6" t="s">
        <v>1326</v>
      </c>
      <c r="C1303" s="6">
        <v>38</v>
      </c>
      <c r="D1303" s="6" t="s">
        <v>17</v>
      </c>
      <c r="E1303" s="6" t="s">
        <v>102</v>
      </c>
      <c r="F1303" s="6" t="s">
        <v>104</v>
      </c>
      <c r="G1303" s="19">
        <v>2991</v>
      </c>
      <c r="H1303" s="11">
        <v>6</v>
      </c>
      <c r="I1303" s="6">
        <v>2</v>
      </c>
      <c r="J1303" s="6" t="s">
        <v>9</v>
      </c>
      <c r="K1303" s="5" t="s">
        <v>14</v>
      </c>
      <c r="L1303" s="3" t="str">
        <f>IF(Table1[[#This Row],[Monthly Income]]&lt;3000,"Low",IF(Table1[[#This Row],[Monthly Income]]&lt;7000,"Medium","High"))</f>
        <v>Low</v>
      </c>
      <c r="AK1303" s="6"/>
      <c r="AL1303" s="6"/>
      <c r="AM1303" s="6"/>
      <c r="AN1303" s="6"/>
      <c r="AO1303" s="6"/>
      <c r="AP1303" s="6"/>
      <c r="AQ1303" s="6"/>
      <c r="AR1303" s="6"/>
      <c r="AS1303" s="6"/>
      <c r="AU1303" s="6"/>
      <c r="AV1303" s="6"/>
      <c r="AW1303" s="6"/>
      <c r="AX1303" s="6"/>
      <c r="AY1303" s="6"/>
      <c r="AZ1303" s="6"/>
      <c r="BA1303" s="6"/>
      <c r="BB1303" s="6"/>
      <c r="BC1303" s="6"/>
      <c r="BD1303" s="6"/>
      <c r="BE1303" s="6"/>
    </row>
    <row r="1304" spans="2:57" x14ac:dyDescent="0.3">
      <c r="B1304" s="4" t="s">
        <v>1327</v>
      </c>
      <c r="C1304" s="4">
        <v>58</v>
      </c>
      <c r="D1304" s="4" t="s">
        <v>17</v>
      </c>
      <c r="E1304" s="4" t="s">
        <v>15</v>
      </c>
      <c r="F1304" s="4" t="s">
        <v>45</v>
      </c>
      <c r="G1304" s="18">
        <v>15787</v>
      </c>
      <c r="H1304" s="10">
        <v>2</v>
      </c>
      <c r="I1304" s="4">
        <v>3</v>
      </c>
      <c r="J1304" s="4" t="s">
        <v>9</v>
      </c>
      <c r="K1304" s="3" t="s">
        <v>14</v>
      </c>
      <c r="L1304" s="3" t="str">
        <f>IF(Table1[[#This Row],[Monthly Income]]&lt;3000,"Low",IF(Table1[[#This Row],[Monthly Income]]&lt;7000,"Medium","High"))</f>
        <v>High</v>
      </c>
      <c r="AK1304" s="4"/>
      <c r="AL1304" s="4"/>
      <c r="AM1304" s="4"/>
      <c r="AN1304" s="4"/>
      <c r="AO1304" s="4"/>
      <c r="AP1304" s="4"/>
      <c r="AQ1304" s="4"/>
      <c r="AR1304" s="4"/>
      <c r="AS1304" s="4"/>
      <c r="AU1304" s="4"/>
      <c r="AV1304" s="4"/>
      <c r="AW1304" s="4"/>
      <c r="AX1304" s="4"/>
      <c r="AY1304" s="4"/>
      <c r="AZ1304" s="4"/>
      <c r="BA1304" s="4"/>
      <c r="BB1304" s="4"/>
      <c r="BC1304" s="4"/>
      <c r="BD1304" s="4"/>
      <c r="BE1304" s="4"/>
    </row>
    <row r="1305" spans="2:57" x14ac:dyDescent="0.3">
      <c r="B1305" s="6" t="s">
        <v>1328</v>
      </c>
      <c r="C1305" s="6">
        <v>34</v>
      </c>
      <c r="D1305" s="6" t="s">
        <v>17</v>
      </c>
      <c r="E1305" s="6" t="s">
        <v>15</v>
      </c>
      <c r="F1305" s="6" t="s">
        <v>18</v>
      </c>
      <c r="G1305" s="19">
        <v>5747</v>
      </c>
      <c r="H1305" s="11">
        <v>15</v>
      </c>
      <c r="I1305" s="6">
        <v>4</v>
      </c>
      <c r="J1305" s="6" t="s">
        <v>9</v>
      </c>
      <c r="K1305" s="5" t="s">
        <v>14</v>
      </c>
      <c r="L1305" s="3" t="str">
        <f>IF(Table1[[#This Row],[Monthly Income]]&lt;3000,"Low",IF(Table1[[#This Row],[Monthly Income]]&lt;7000,"Medium","High"))</f>
        <v>Medium</v>
      </c>
      <c r="AK1305" s="6"/>
      <c r="AL1305" s="6"/>
      <c r="AM1305" s="6"/>
      <c r="AN1305" s="6"/>
      <c r="AO1305" s="6"/>
      <c r="AP1305" s="6"/>
      <c r="AQ1305" s="6"/>
      <c r="AR1305" s="6"/>
      <c r="AS1305" s="6"/>
      <c r="AU1305" s="6"/>
      <c r="AV1305" s="6"/>
      <c r="AW1305" s="6"/>
      <c r="AX1305" s="6"/>
      <c r="AY1305" s="6"/>
      <c r="AZ1305" s="6"/>
      <c r="BA1305" s="6"/>
      <c r="BB1305" s="6"/>
      <c r="BC1305" s="6"/>
      <c r="BD1305" s="6"/>
      <c r="BE1305" s="6"/>
    </row>
    <row r="1306" spans="2:57" x14ac:dyDescent="0.3">
      <c r="B1306" s="4" t="s">
        <v>1329</v>
      </c>
      <c r="C1306" s="4">
        <v>36</v>
      </c>
      <c r="D1306" s="4" t="s">
        <v>17</v>
      </c>
      <c r="E1306" s="4" t="s">
        <v>15</v>
      </c>
      <c r="F1306" s="4" t="s">
        <v>20</v>
      </c>
      <c r="G1306" s="18">
        <v>5562</v>
      </c>
      <c r="H1306" s="10">
        <v>3</v>
      </c>
      <c r="I1306" s="4">
        <v>1</v>
      </c>
      <c r="J1306" s="4" t="s">
        <v>9</v>
      </c>
      <c r="K1306" s="3" t="s">
        <v>14</v>
      </c>
      <c r="L1306" s="3" t="str">
        <f>IF(Table1[[#This Row],[Monthly Income]]&lt;3000,"Low",IF(Table1[[#This Row],[Monthly Income]]&lt;7000,"Medium","High"))</f>
        <v>Medium</v>
      </c>
      <c r="AK1306" s="4"/>
      <c r="AL1306" s="4"/>
      <c r="AM1306" s="4"/>
      <c r="AN1306" s="4"/>
      <c r="AO1306" s="4"/>
      <c r="AP1306" s="4"/>
      <c r="AQ1306" s="4"/>
      <c r="AR1306" s="4"/>
      <c r="AS1306" s="4"/>
      <c r="AU1306" s="4"/>
      <c r="AV1306" s="4"/>
      <c r="AW1306" s="4"/>
      <c r="AX1306" s="4"/>
      <c r="AY1306" s="4"/>
      <c r="AZ1306" s="4"/>
      <c r="BA1306" s="4"/>
      <c r="BB1306" s="4"/>
      <c r="BC1306" s="4"/>
      <c r="BD1306" s="4"/>
      <c r="BE1306" s="4"/>
    </row>
    <row r="1307" spans="2:57" x14ac:dyDescent="0.3">
      <c r="B1307" s="6" t="s">
        <v>1330</v>
      </c>
      <c r="C1307" s="6">
        <v>50</v>
      </c>
      <c r="D1307" s="6" t="s">
        <v>17</v>
      </c>
      <c r="E1307" s="6" t="s">
        <v>15</v>
      </c>
      <c r="F1307" s="6" t="s">
        <v>29</v>
      </c>
      <c r="G1307" s="19">
        <v>11245</v>
      </c>
      <c r="H1307" s="11">
        <v>30</v>
      </c>
      <c r="I1307" s="6">
        <v>3</v>
      </c>
      <c r="J1307" s="6" t="s">
        <v>9</v>
      </c>
      <c r="K1307" s="5" t="s">
        <v>14</v>
      </c>
      <c r="L1307" s="3" t="str">
        <f>IF(Table1[[#This Row],[Monthly Income]]&lt;3000,"Low",IF(Table1[[#This Row],[Monthly Income]]&lt;7000,"Medium","High"))</f>
        <v>High</v>
      </c>
      <c r="AK1307" s="6"/>
      <c r="AL1307" s="6"/>
      <c r="AM1307" s="6"/>
      <c r="AN1307" s="6"/>
      <c r="AO1307" s="6"/>
      <c r="AP1307" s="6"/>
      <c r="AQ1307" s="6"/>
      <c r="AR1307" s="6"/>
      <c r="AS1307" s="6"/>
      <c r="AU1307" s="6"/>
      <c r="AV1307" s="6"/>
      <c r="AW1307" s="6"/>
      <c r="AX1307" s="6"/>
      <c r="AY1307" s="6"/>
      <c r="AZ1307" s="6"/>
      <c r="BA1307" s="6"/>
      <c r="BB1307" s="6"/>
      <c r="BC1307" s="6"/>
      <c r="BD1307" s="6"/>
      <c r="BE1307" s="6"/>
    </row>
    <row r="1308" spans="2:57" x14ac:dyDescent="0.3">
      <c r="B1308" s="4" t="s">
        <v>1331</v>
      </c>
      <c r="C1308" s="4">
        <v>42</v>
      </c>
      <c r="D1308" s="4" t="s">
        <v>17</v>
      </c>
      <c r="E1308" s="4" t="s">
        <v>15</v>
      </c>
      <c r="F1308" s="4" t="s">
        <v>29</v>
      </c>
      <c r="G1308" s="18">
        <v>10124</v>
      </c>
      <c r="H1308" s="10">
        <v>20</v>
      </c>
      <c r="I1308" s="4">
        <v>4</v>
      </c>
      <c r="J1308" s="4" t="s">
        <v>9</v>
      </c>
      <c r="K1308" s="3" t="s">
        <v>14</v>
      </c>
      <c r="L1308" s="3" t="str">
        <f>IF(Table1[[#This Row],[Monthly Income]]&lt;3000,"Low",IF(Table1[[#This Row],[Monthly Income]]&lt;7000,"Medium","High"))</f>
        <v>High</v>
      </c>
      <c r="AK1308" s="4"/>
      <c r="AL1308" s="4"/>
      <c r="AM1308" s="4"/>
      <c r="AN1308" s="4"/>
      <c r="AO1308" s="4"/>
      <c r="AP1308" s="4"/>
      <c r="AQ1308" s="4"/>
      <c r="AR1308" s="4"/>
      <c r="AS1308" s="4"/>
      <c r="AU1308" s="4"/>
      <c r="AV1308" s="4"/>
      <c r="AW1308" s="4"/>
      <c r="AX1308" s="4"/>
      <c r="AY1308" s="4"/>
      <c r="AZ1308" s="4"/>
      <c r="BA1308" s="4"/>
      <c r="BB1308" s="4"/>
      <c r="BC1308" s="4"/>
      <c r="BD1308" s="4"/>
      <c r="BE1308" s="4"/>
    </row>
    <row r="1309" spans="2:57" x14ac:dyDescent="0.3">
      <c r="B1309" s="6" t="s">
        <v>1332</v>
      </c>
      <c r="C1309" s="6">
        <v>35</v>
      </c>
      <c r="D1309" s="6" t="s">
        <v>17</v>
      </c>
      <c r="E1309" s="6" t="s">
        <v>15</v>
      </c>
      <c r="F1309" s="6" t="s">
        <v>29</v>
      </c>
      <c r="G1309" s="19">
        <v>5689</v>
      </c>
      <c r="H1309" s="11">
        <v>10</v>
      </c>
      <c r="I1309" s="6">
        <v>3</v>
      </c>
      <c r="J1309" s="6" t="s">
        <v>9</v>
      </c>
      <c r="K1309" s="5" t="s">
        <v>14</v>
      </c>
      <c r="L1309" s="3" t="str">
        <f>IF(Table1[[#This Row],[Monthly Income]]&lt;3000,"Low",IF(Table1[[#This Row],[Monthly Income]]&lt;7000,"Medium","High"))</f>
        <v>Medium</v>
      </c>
      <c r="AK1309" s="6"/>
      <c r="AL1309" s="6"/>
      <c r="AM1309" s="6"/>
      <c r="AN1309" s="6"/>
      <c r="AO1309" s="6"/>
      <c r="AP1309" s="6"/>
      <c r="AQ1309" s="6"/>
      <c r="AR1309" s="6"/>
      <c r="AS1309" s="6"/>
      <c r="AU1309" s="6"/>
      <c r="AV1309" s="6"/>
      <c r="AW1309" s="6"/>
      <c r="AX1309" s="6"/>
      <c r="AY1309" s="6"/>
      <c r="AZ1309" s="6"/>
      <c r="BA1309" s="6"/>
      <c r="BB1309" s="6"/>
      <c r="BC1309" s="6"/>
      <c r="BD1309" s="6"/>
      <c r="BE1309" s="6"/>
    </row>
    <row r="1310" spans="2:57" x14ac:dyDescent="0.3">
      <c r="B1310" s="4" t="s">
        <v>1333</v>
      </c>
      <c r="C1310" s="4">
        <v>35</v>
      </c>
      <c r="D1310" s="4" t="s">
        <v>17</v>
      </c>
      <c r="E1310" s="4" t="s">
        <v>15</v>
      </c>
      <c r="F1310" s="4" t="s">
        <v>18</v>
      </c>
      <c r="G1310" s="18">
        <v>4930</v>
      </c>
      <c r="H1310" s="10">
        <v>5</v>
      </c>
      <c r="I1310" s="4">
        <v>4</v>
      </c>
      <c r="J1310" s="4" t="s">
        <v>9</v>
      </c>
      <c r="K1310" s="3" t="s">
        <v>14</v>
      </c>
      <c r="L1310" s="3" t="str">
        <f>IF(Table1[[#This Row],[Monthly Income]]&lt;3000,"Low",IF(Table1[[#This Row],[Monthly Income]]&lt;7000,"Medium","High"))</f>
        <v>Medium</v>
      </c>
      <c r="AK1310" s="4"/>
      <c r="AL1310" s="4"/>
      <c r="AM1310" s="4"/>
      <c r="AN1310" s="4"/>
      <c r="AO1310" s="4"/>
      <c r="AP1310" s="4"/>
      <c r="AQ1310" s="4"/>
      <c r="AR1310" s="4"/>
      <c r="AS1310" s="4"/>
      <c r="AU1310" s="4"/>
      <c r="AV1310" s="4"/>
      <c r="AW1310" s="4"/>
      <c r="AX1310" s="4"/>
      <c r="AY1310" s="4"/>
      <c r="AZ1310" s="4"/>
      <c r="BA1310" s="4"/>
      <c r="BB1310" s="4"/>
      <c r="BC1310" s="4"/>
      <c r="BD1310" s="4"/>
      <c r="BE1310" s="4"/>
    </row>
    <row r="1311" spans="2:57" x14ac:dyDescent="0.3">
      <c r="B1311" s="6" t="s">
        <v>1334</v>
      </c>
      <c r="C1311" s="6">
        <v>44</v>
      </c>
      <c r="D1311" s="6" t="s">
        <v>17</v>
      </c>
      <c r="E1311" s="6" t="s">
        <v>15</v>
      </c>
      <c r="F1311" s="6" t="s">
        <v>27</v>
      </c>
      <c r="G1311" s="19">
        <v>10209</v>
      </c>
      <c r="H1311" s="11">
        <v>2</v>
      </c>
      <c r="I1311" s="6">
        <v>3</v>
      </c>
      <c r="J1311" s="6" t="s">
        <v>9</v>
      </c>
      <c r="K1311" s="5" t="s">
        <v>14</v>
      </c>
      <c r="L1311" s="3" t="str">
        <f>IF(Table1[[#This Row],[Monthly Income]]&lt;3000,"Low",IF(Table1[[#This Row],[Monthly Income]]&lt;7000,"Medium","High"))</f>
        <v>High</v>
      </c>
      <c r="AK1311" s="6"/>
      <c r="AL1311" s="6"/>
      <c r="AM1311" s="6"/>
      <c r="AN1311" s="6"/>
      <c r="AO1311" s="6"/>
      <c r="AP1311" s="6"/>
      <c r="AQ1311" s="6"/>
      <c r="AR1311" s="6"/>
      <c r="AS1311" s="6"/>
      <c r="AU1311" s="6"/>
      <c r="AV1311" s="6"/>
      <c r="AW1311" s="6"/>
      <c r="AX1311" s="6"/>
      <c r="AY1311" s="6"/>
      <c r="AZ1311" s="6"/>
      <c r="BA1311" s="6"/>
      <c r="BB1311" s="6"/>
      <c r="BC1311" s="6"/>
      <c r="BD1311" s="6"/>
      <c r="BE1311" s="6"/>
    </row>
    <row r="1312" spans="2:57" x14ac:dyDescent="0.3">
      <c r="B1312" s="4" t="s">
        <v>1335</v>
      </c>
      <c r="C1312" s="4">
        <v>50</v>
      </c>
      <c r="D1312" s="4" t="s">
        <v>17</v>
      </c>
      <c r="E1312" s="4" t="s">
        <v>15</v>
      </c>
      <c r="F1312" s="4" t="s">
        <v>45</v>
      </c>
      <c r="G1312" s="18">
        <v>14411</v>
      </c>
      <c r="H1312" s="10">
        <v>32</v>
      </c>
      <c r="I1312" s="4">
        <v>4</v>
      </c>
      <c r="J1312" s="4" t="s">
        <v>9</v>
      </c>
      <c r="K1312" s="3" t="s">
        <v>14</v>
      </c>
      <c r="L1312" s="3" t="str">
        <f>IF(Table1[[#This Row],[Monthly Income]]&lt;3000,"Low",IF(Table1[[#This Row],[Monthly Income]]&lt;7000,"Medium","High"))</f>
        <v>High</v>
      </c>
      <c r="AK1312" s="4"/>
      <c r="AL1312" s="4"/>
      <c r="AM1312" s="4"/>
      <c r="AN1312" s="4"/>
      <c r="AO1312" s="4"/>
      <c r="AP1312" s="4"/>
      <c r="AQ1312" s="4"/>
      <c r="AR1312" s="4"/>
      <c r="AS1312" s="4"/>
      <c r="AU1312" s="4"/>
      <c r="AV1312" s="4"/>
      <c r="AW1312" s="4"/>
      <c r="AX1312" s="4"/>
      <c r="AY1312" s="4"/>
      <c r="AZ1312" s="4"/>
      <c r="BA1312" s="4"/>
      <c r="BB1312" s="4"/>
      <c r="BC1312" s="4"/>
      <c r="BD1312" s="4"/>
      <c r="BE1312" s="4"/>
    </row>
    <row r="1313" spans="2:57" x14ac:dyDescent="0.3">
      <c r="B1313" s="6" t="s">
        <v>1336</v>
      </c>
      <c r="C1313" s="6">
        <v>29</v>
      </c>
      <c r="D1313" s="6" t="s">
        <v>17</v>
      </c>
      <c r="E1313" s="6" t="s">
        <v>15</v>
      </c>
      <c r="F1313" s="6" t="s">
        <v>29</v>
      </c>
      <c r="G1313" s="19">
        <v>6294</v>
      </c>
      <c r="H1313" s="11">
        <v>3</v>
      </c>
      <c r="I1313" s="6">
        <v>3</v>
      </c>
      <c r="J1313" s="6" t="s">
        <v>9</v>
      </c>
      <c r="K1313" s="5" t="s">
        <v>14</v>
      </c>
      <c r="L1313" s="3" t="str">
        <f>IF(Table1[[#This Row],[Monthly Income]]&lt;3000,"Low",IF(Table1[[#This Row],[Monthly Income]]&lt;7000,"Medium","High"))</f>
        <v>Medium</v>
      </c>
      <c r="AK1313" s="6"/>
      <c r="AL1313" s="6"/>
      <c r="AM1313" s="6"/>
      <c r="AN1313" s="6"/>
      <c r="AO1313" s="6"/>
      <c r="AP1313" s="6"/>
      <c r="AQ1313" s="6"/>
      <c r="AR1313" s="6"/>
      <c r="AS1313" s="6"/>
      <c r="AU1313" s="6"/>
      <c r="AV1313" s="6"/>
      <c r="AW1313" s="6"/>
      <c r="AX1313" s="6"/>
      <c r="AY1313" s="6"/>
      <c r="AZ1313" s="6"/>
      <c r="BA1313" s="6"/>
      <c r="BB1313" s="6"/>
      <c r="BC1313" s="6"/>
      <c r="BD1313" s="6"/>
      <c r="BE1313" s="6"/>
    </row>
    <row r="1314" spans="2:57" x14ac:dyDescent="0.3">
      <c r="B1314" s="4" t="s">
        <v>1337</v>
      </c>
      <c r="C1314" s="4">
        <v>28</v>
      </c>
      <c r="D1314" s="4" t="s">
        <v>17</v>
      </c>
      <c r="E1314" s="4" t="s">
        <v>10</v>
      </c>
      <c r="F1314" s="4" t="s">
        <v>13</v>
      </c>
      <c r="G1314" s="18">
        <v>6834</v>
      </c>
      <c r="H1314" s="10">
        <v>7</v>
      </c>
      <c r="I1314" s="4">
        <v>4</v>
      </c>
      <c r="J1314" s="4" t="s">
        <v>9</v>
      </c>
      <c r="K1314" s="3" t="s">
        <v>14</v>
      </c>
      <c r="L1314" s="3" t="str">
        <f>IF(Table1[[#This Row],[Monthly Income]]&lt;3000,"Low",IF(Table1[[#This Row],[Monthly Income]]&lt;7000,"Medium","High"))</f>
        <v>Medium</v>
      </c>
      <c r="AK1314" s="4"/>
      <c r="AL1314" s="4"/>
      <c r="AM1314" s="4"/>
      <c r="AN1314" s="4"/>
      <c r="AO1314" s="4"/>
      <c r="AP1314" s="4"/>
      <c r="AQ1314" s="4"/>
      <c r="AR1314" s="4"/>
      <c r="AS1314" s="4"/>
      <c r="AU1314" s="4"/>
      <c r="AV1314" s="4"/>
      <c r="AW1314" s="4"/>
      <c r="AX1314" s="4"/>
      <c r="AY1314" s="4"/>
      <c r="AZ1314" s="4"/>
      <c r="BA1314" s="4"/>
      <c r="BB1314" s="4"/>
      <c r="BC1314" s="4"/>
      <c r="BD1314" s="4"/>
      <c r="BE1314" s="4"/>
    </row>
    <row r="1315" spans="2:57" x14ac:dyDescent="0.3">
      <c r="B1315" s="6" t="s">
        <v>1338</v>
      </c>
      <c r="C1315" s="6">
        <v>55</v>
      </c>
      <c r="D1315" s="6" t="s">
        <v>17</v>
      </c>
      <c r="E1315" s="6" t="s">
        <v>102</v>
      </c>
      <c r="F1315" s="6" t="s">
        <v>39</v>
      </c>
      <c r="G1315" s="19">
        <v>19636</v>
      </c>
      <c r="H1315" s="11">
        <v>10</v>
      </c>
      <c r="I1315" s="6">
        <v>2</v>
      </c>
      <c r="J1315" s="6" t="s">
        <v>9</v>
      </c>
      <c r="K1315" s="5" t="s">
        <v>14</v>
      </c>
      <c r="L1315" s="3" t="str">
        <f>IF(Table1[[#This Row],[Monthly Income]]&lt;3000,"Low",IF(Table1[[#This Row],[Monthly Income]]&lt;7000,"Medium","High"))</f>
        <v>High</v>
      </c>
      <c r="AK1315" s="6"/>
      <c r="AL1315" s="6"/>
      <c r="AM1315" s="6"/>
      <c r="AN1315" s="6"/>
      <c r="AO1315" s="6"/>
      <c r="AP1315" s="6"/>
      <c r="AQ1315" s="6"/>
      <c r="AR1315" s="6"/>
      <c r="AS1315" s="6"/>
      <c r="AU1315" s="6"/>
      <c r="AV1315" s="6"/>
      <c r="AW1315" s="6"/>
      <c r="AX1315" s="6"/>
      <c r="AY1315" s="6"/>
      <c r="AZ1315" s="6"/>
      <c r="BA1315" s="6"/>
      <c r="BB1315" s="6"/>
      <c r="BC1315" s="6"/>
      <c r="BD1315" s="6"/>
      <c r="BE1315" s="6"/>
    </row>
    <row r="1316" spans="2:57" x14ac:dyDescent="0.3">
      <c r="B1316" s="4" t="s">
        <v>1339</v>
      </c>
      <c r="C1316" s="4">
        <v>45</v>
      </c>
      <c r="D1316" s="4" t="s">
        <v>17</v>
      </c>
      <c r="E1316" s="4" t="s">
        <v>15</v>
      </c>
      <c r="F1316" s="4" t="s">
        <v>29</v>
      </c>
      <c r="G1316" s="18">
        <v>10851</v>
      </c>
      <c r="H1316" s="10">
        <v>7</v>
      </c>
      <c r="I1316" s="4">
        <v>1</v>
      </c>
      <c r="J1316" s="4" t="s">
        <v>9</v>
      </c>
      <c r="K1316" s="3" t="s">
        <v>14</v>
      </c>
      <c r="L1316" s="3" t="str">
        <f>IF(Table1[[#This Row],[Monthly Income]]&lt;3000,"Low",IF(Table1[[#This Row],[Monthly Income]]&lt;7000,"Medium","High"))</f>
        <v>High</v>
      </c>
      <c r="AK1316" s="4"/>
      <c r="AL1316" s="4"/>
      <c r="AM1316" s="4"/>
      <c r="AN1316" s="4"/>
      <c r="AO1316" s="4"/>
      <c r="AP1316" s="4"/>
      <c r="AQ1316" s="4"/>
      <c r="AR1316" s="4"/>
      <c r="AS1316" s="4"/>
      <c r="AU1316" s="4"/>
      <c r="AV1316" s="4"/>
      <c r="AW1316" s="4"/>
      <c r="AX1316" s="4"/>
      <c r="AY1316" s="4"/>
      <c r="AZ1316" s="4"/>
      <c r="BA1316" s="4"/>
      <c r="BB1316" s="4"/>
      <c r="BC1316" s="4"/>
      <c r="BD1316" s="4"/>
      <c r="BE1316" s="4"/>
    </row>
    <row r="1317" spans="2:57" x14ac:dyDescent="0.3">
      <c r="B1317" s="6" t="s">
        <v>1340</v>
      </c>
      <c r="C1317" s="6">
        <v>46</v>
      </c>
      <c r="D1317" s="6" t="s">
        <v>17</v>
      </c>
      <c r="E1317" s="6" t="s">
        <v>15</v>
      </c>
      <c r="F1317" s="6" t="s">
        <v>45</v>
      </c>
      <c r="G1317" s="19">
        <v>19328</v>
      </c>
      <c r="H1317" s="11">
        <v>2</v>
      </c>
      <c r="I1317" s="6">
        <v>4</v>
      </c>
      <c r="J1317" s="6" t="s">
        <v>9</v>
      </c>
      <c r="K1317" s="5" t="s">
        <v>14</v>
      </c>
      <c r="L1317" s="3" t="str">
        <f>IF(Table1[[#This Row],[Monthly Income]]&lt;3000,"Low",IF(Table1[[#This Row],[Monthly Income]]&lt;7000,"Medium","High"))</f>
        <v>High</v>
      </c>
      <c r="AK1317" s="6"/>
      <c r="AL1317" s="6"/>
      <c r="AM1317" s="6"/>
      <c r="AN1317" s="6"/>
      <c r="AO1317" s="6"/>
      <c r="AP1317" s="6"/>
      <c r="AQ1317" s="6"/>
      <c r="AR1317" s="6"/>
      <c r="AS1317" s="6"/>
      <c r="AU1317" s="6"/>
      <c r="AV1317" s="6"/>
      <c r="AW1317" s="6"/>
      <c r="AX1317" s="6"/>
      <c r="AY1317" s="6"/>
      <c r="AZ1317" s="6"/>
      <c r="BA1317" s="6"/>
      <c r="BB1317" s="6"/>
      <c r="BC1317" s="6"/>
      <c r="BD1317" s="6"/>
      <c r="BE1317" s="6"/>
    </row>
    <row r="1318" spans="2:57" x14ac:dyDescent="0.3">
      <c r="B1318" s="4" t="s">
        <v>1341</v>
      </c>
      <c r="C1318" s="4">
        <v>42</v>
      </c>
      <c r="D1318" s="4" t="s">
        <v>17</v>
      </c>
      <c r="E1318" s="4" t="s">
        <v>15</v>
      </c>
      <c r="F1318" s="4" t="s">
        <v>18</v>
      </c>
      <c r="G1318" s="18">
        <v>5410</v>
      </c>
      <c r="H1318" s="10">
        <v>4</v>
      </c>
      <c r="I1318" s="4">
        <v>1</v>
      </c>
      <c r="J1318" s="4" t="s">
        <v>9</v>
      </c>
      <c r="K1318" s="3" t="s">
        <v>14</v>
      </c>
      <c r="L1318" s="3" t="str">
        <f>IF(Table1[[#This Row],[Monthly Income]]&lt;3000,"Low",IF(Table1[[#This Row],[Monthly Income]]&lt;7000,"Medium","High"))</f>
        <v>Medium</v>
      </c>
      <c r="AK1318" s="4"/>
      <c r="AL1318" s="4"/>
      <c r="AM1318" s="4"/>
      <c r="AN1318" s="4"/>
      <c r="AO1318" s="4"/>
      <c r="AP1318" s="4"/>
      <c r="AQ1318" s="4"/>
      <c r="AR1318" s="4"/>
      <c r="AS1318" s="4"/>
      <c r="AU1318" s="4"/>
      <c r="AV1318" s="4"/>
      <c r="AW1318" s="4"/>
      <c r="AX1318" s="4"/>
      <c r="AY1318" s="4"/>
      <c r="AZ1318" s="4"/>
      <c r="BA1318" s="4"/>
      <c r="BB1318" s="4"/>
      <c r="BC1318" s="4"/>
      <c r="BD1318" s="4"/>
      <c r="BE1318" s="4"/>
    </row>
    <row r="1319" spans="2:57" x14ac:dyDescent="0.3">
      <c r="B1319" s="6" t="s">
        <v>1342</v>
      </c>
      <c r="C1319" s="6">
        <v>25</v>
      </c>
      <c r="D1319" s="6" t="s">
        <v>17</v>
      </c>
      <c r="E1319" s="6" t="s">
        <v>15</v>
      </c>
      <c r="F1319" s="6" t="s">
        <v>20</v>
      </c>
      <c r="G1319" s="19">
        <v>3977</v>
      </c>
      <c r="H1319" s="11">
        <v>2</v>
      </c>
      <c r="I1319" s="6">
        <v>3</v>
      </c>
      <c r="J1319" s="6" t="s">
        <v>9</v>
      </c>
      <c r="K1319" s="5" t="s">
        <v>14</v>
      </c>
      <c r="L1319" s="3" t="str">
        <f>IF(Table1[[#This Row],[Monthly Income]]&lt;3000,"Low",IF(Table1[[#This Row],[Monthly Income]]&lt;7000,"Medium","High"))</f>
        <v>Medium</v>
      </c>
      <c r="AK1319" s="6"/>
      <c r="AL1319" s="6"/>
      <c r="AM1319" s="6"/>
      <c r="AN1319" s="6"/>
      <c r="AO1319" s="6"/>
      <c r="AP1319" s="6"/>
      <c r="AQ1319" s="6"/>
      <c r="AR1319" s="6"/>
      <c r="AS1319" s="6"/>
      <c r="AU1319" s="6"/>
      <c r="AV1319" s="6"/>
      <c r="AW1319" s="6"/>
      <c r="AX1319" s="6"/>
      <c r="AY1319" s="6"/>
      <c r="AZ1319" s="6"/>
      <c r="BA1319" s="6"/>
      <c r="BB1319" s="6"/>
      <c r="BC1319" s="6"/>
      <c r="BD1319" s="6"/>
      <c r="BE1319" s="6"/>
    </row>
    <row r="1320" spans="2:57" x14ac:dyDescent="0.3">
      <c r="B1320" s="4" t="s">
        <v>1343</v>
      </c>
      <c r="C1320" s="4">
        <v>41</v>
      </c>
      <c r="D1320" s="4" t="s">
        <v>17</v>
      </c>
      <c r="E1320" s="4" t="s">
        <v>15</v>
      </c>
      <c r="F1320" s="4" t="s">
        <v>18</v>
      </c>
      <c r="G1320" s="18">
        <v>2127</v>
      </c>
      <c r="H1320" s="10">
        <v>4</v>
      </c>
      <c r="I1320" s="4">
        <v>3</v>
      </c>
      <c r="J1320" s="4" t="s">
        <v>9</v>
      </c>
      <c r="K1320" s="3" t="s">
        <v>14</v>
      </c>
      <c r="L1320" s="3" t="str">
        <f>IF(Table1[[#This Row],[Monthly Income]]&lt;3000,"Low",IF(Table1[[#This Row],[Monthly Income]]&lt;7000,"Medium","High"))</f>
        <v>Low</v>
      </c>
      <c r="AK1320" s="4"/>
      <c r="AL1320" s="4"/>
      <c r="AM1320" s="4"/>
      <c r="AN1320" s="4"/>
      <c r="AO1320" s="4"/>
      <c r="AP1320" s="4"/>
      <c r="AQ1320" s="4"/>
      <c r="AR1320" s="4"/>
      <c r="AS1320" s="4"/>
      <c r="AU1320" s="4"/>
      <c r="AV1320" s="4"/>
      <c r="AW1320" s="4"/>
      <c r="AX1320" s="4"/>
      <c r="AY1320" s="4"/>
      <c r="AZ1320" s="4"/>
      <c r="BA1320" s="4"/>
      <c r="BB1320" s="4"/>
      <c r="BC1320" s="4"/>
      <c r="BD1320" s="4"/>
      <c r="BE1320" s="4"/>
    </row>
    <row r="1321" spans="2:57" x14ac:dyDescent="0.3">
      <c r="B1321" s="6" t="s">
        <v>1344</v>
      </c>
      <c r="C1321" s="6">
        <v>55</v>
      </c>
      <c r="D1321" s="6" t="s">
        <v>17</v>
      </c>
      <c r="E1321" s="6" t="s">
        <v>15</v>
      </c>
      <c r="F1321" s="6" t="s">
        <v>29</v>
      </c>
      <c r="G1321" s="19">
        <v>4035</v>
      </c>
      <c r="H1321" s="11">
        <v>3</v>
      </c>
      <c r="I1321" s="6">
        <v>3</v>
      </c>
      <c r="J1321" s="6" t="s">
        <v>9</v>
      </c>
      <c r="K1321" s="5" t="s">
        <v>14</v>
      </c>
      <c r="L1321" s="3" t="str">
        <f>IF(Table1[[#This Row],[Monthly Income]]&lt;3000,"Low",IF(Table1[[#This Row],[Monthly Income]]&lt;7000,"Medium","High"))</f>
        <v>Medium</v>
      </c>
      <c r="AK1321" s="6"/>
      <c r="AL1321" s="6"/>
      <c r="AM1321" s="6"/>
      <c r="AN1321" s="6"/>
      <c r="AO1321" s="6"/>
      <c r="AP1321" s="6"/>
      <c r="AQ1321" s="6"/>
      <c r="AR1321" s="6"/>
      <c r="AS1321" s="6"/>
      <c r="AU1321" s="6"/>
      <c r="AV1321" s="6"/>
      <c r="AW1321" s="6"/>
      <c r="AX1321" s="6"/>
      <c r="AY1321" s="6"/>
      <c r="AZ1321" s="6"/>
      <c r="BA1321" s="6"/>
      <c r="BB1321" s="6"/>
      <c r="BC1321" s="6"/>
      <c r="BD1321" s="6"/>
      <c r="BE1321" s="6"/>
    </row>
    <row r="1322" spans="2:57" x14ac:dyDescent="0.3">
      <c r="B1322" s="4" t="s">
        <v>1345</v>
      </c>
      <c r="C1322" s="4">
        <v>38</v>
      </c>
      <c r="D1322" s="4" t="s">
        <v>17</v>
      </c>
      <c r="E1322" s="4" t="s">
        <v>15</v>
      </c>
      <c r="F1322" s="4" t="s">
        <v>29</v>
      </c>
      <c r="G1322" s="18">
        <v>5811</v>
      </c>
      <c r="H1322" s="10">
        <v>1</v>
      </c>
      <c r="I1322" s="4">
        <v>4</v>
      </c>
      <c r="J1322" s="4" t="s">
        <v>9</v>
      </c>
      <c r="K1322" s="3" t="s">
        <v>14</v>
      </c>
      <c r="L1322" s="3" t="str">
        <f>IF(Table1[[#This Row],[Monthly Income]]&lt;3000,"Low",IF(Table1[[#This Row],[Monthly Income]]&lt;7000,"Medium","High"))</f>
        <v>Medium</v>
      </c>
      <c r="AK1322" s="4"/>
      <c r="AL1322" s="4"/>
      <c r="AM1322" s="4"/>
      <c r="AN1322" s="4"/>
      <c r="AO1322" s="4"/>
      <c r="AP1322" s="4"/>
      <c r="AQ1322" s="4"/>
      <c r="AR1322" s="4"/>
      <c r="AS1322" s="4"/>
      <c r="AU1322" s="4"/>
      <c r="AV1322" s="4"/>
      <c r="AW1322" s="4"/>
      <c r="AX1322" s="4"/>
      <c r="AY1322" s="4"/>
      <c r="AZ1322" s="4"/>
      <c r="BA1322" s="4"/>
      <c r="BB1322" s="4"/>
      <c r="BC1322" s="4"/>
      <c r="BD1322" s="4"/>
      <c r="BE1322" s="4"/>
    </row>
    <row r="1323" spans="2:57" x14ac:dyDescent="0.3">
      <c r="B1323" s="6" t="s">
        <v>1346</v>
      </c>
      <c r="C1323" s="6">
        <v>33</v>
      </c>
      <c r="D1323" s="6" t="s">
        <v>17</v>
      </c>
      <c r="E1323" s="6" t="s">
        <v>15</v>
      </c>
      <c r="F1323" s="6" t="s">
        <v>20</v>
      </c>
      <c r="G1323" s="19">
        <v>5207</v>
      </c>
      <c r="H1323" s="11">
        <v>15</v>
      </c>
      <c r="I1323" s="6">
        <v>3</v>
      </c>
      <c r="J1323" s="6" t="s">
        <v>9</v>
      </c>
      <c r="K1323" s="5" t="s">
        <v>14</v>
      </c>
      <c r="L1323" s="3" t="str">
        <f>IF(Table1[[#This Row],[Monthly Income]]&lt;3000,"Low",IF(Table1[[#This Row],[Monthly Income]]&lt;7000,"Medium","High"))</f>
        <v>Medium</v>
      </c>
      <c r="AK1323" s="6"/>
      <c r="AL1323" s="6"/>
      <c r="AM1323" s="6"/>
      <c r="AN1323" s="6"/>
      <c r="AO1323" s="6"/>
      <c r="AP1323" s="6"/>
      <c r="AQ1323" s="6"/>
      <c r="AR1323" s="6"/>
      <c r="AS1323" s="6"/>
      <c r="AU1323" s="6"/>
      <c r="AV1323" s="6"/>
      <c r="AW1323" s="6"/>
      <c r="AX1323" s="6"/>
      <c r="AY1323" s="6"/>
      <c r="AZ1323" s="6"/>
      <c r="BA1323" s="6"/>
      <c r="BB1323" s="6"/>
      <c r="BC1323" s="6"/>
      <c r="BD1323" s="6"/>
      <c r="BE1323" s="6"/>
    </row>
    <row r="1324" spans="2:57" x14ac:dyDescent="0.3">
      <c r="B1324" s="4" t="s">
        <v>1347</v>
      </c>
      <c r="C1324" s="4">
        <v>29</v>
      </c>
      <c r="D1324" s="4" t="s">
        <v>17</v>
      </c>
      <c r="E1324" s="4" t="s">
        <v>15</v>
      </c>
      <c r="F1324" s="4" t="s">
        <v>20</v>
      </c>
      <c r="G1324" s="18">
        <v>4025</v>
      </c>
      <c r="H1324" s="10">
        <v>4</v>
      </c>
      <c r="I1324" s="4">
        <v>2</v>
      </c>
      <c r="J1324" s="4" t="s">
        <v>9</v>
      </c>
      <c r="K1324" s="3" t="s">
        <v>14</v>
      </c>
      <c r="L1324" s="3" t="str">
        <f>IF(Table1[[#This Row],[Monthly Income]]&lt;3000,"Low",IF(Table1[[#This Row],[Monthly Income]]&lt;7000,"Medium","High"))</f>
        <v>Medium</v>
      </c>
      <c r="AK1324" s="4"/>
      <c r="AL1324" s="4"/>
      <c r="AM1324" s="4"/>
      <c r="AN1324" s="4"/>
      <c r="AO1324" s="4"/>
      <c r="AP1324" s="4"/>
      <c r="AQ1324" s="4"/>
      <c r="AR1324" s="4"/>
      <c r="AS1324" s="4"/>
      <c r="AU1324" s="4"/>
      <c r="AV1324" s="4"/>
      <c r="AW1324" s="4"/>
      <c r="AX1324" s="4"/>
      <c r="AY1324" s="4"/>
      <c r="AZ1324" s="4"/>
      <c r="BA1324" s="4"/>
      <c r="BB1324" s="4"/>
      <c r="BC1324" s="4"/>
      <c r="BD1324" s="4"/>
      <c r="BE1324" s="4"/>
    </row>
    <row r="1325" spans="2:57" x14ac:dyDescent="0.3">
      <c r="B1325" s="6" t="s">
        <v>1348</v>
      </c>
      <c r="C1325" s="6">
        <v>36</v>
      </c>
      <c r="D1325" s="6" t="s">
        <v>17</v>
      </c>
      <c r="E1325" s="6" t="s">
        <v>15</v>
      </c>
      <c r="F1325" s="6" t="s">
        <v>29</v>
      </c>
      <c r="G1325" s="19">
        <v>8321</v>
      </c>
      <c r="H1325" s="11">
        <v>12</v>
      </c>
      <c r="I1325" s="6">
        <v>1</v>
      </c>
      <c r="J1325" s="6" t="s">
        <v>9</v>
      </c>
      <c r="K1325" s="5" t="s">
        <v>14</v>
      </c>
      <c r="L1325" s="3" t="str">
        <f>IF(Table1[[#This Row],[Monthly Income]]&lt;3000,"Low",IF(Table1[[#This Row],[Monthly Income]]&lt;7000,"Medium","High"))</f>
        <v>High</v>
      </c>
      <c r="AK1325" s="6"/>
      <c r="AL1325" s="6"/>
      <c r="AM1325" s="6"/>
      <c r="AN1325" s="6"/>
      <c r="AO1325" s="6"/>
      <c r="AP1325" s="6"/>
      <c r="AQ1325" s="6"/>
      <c r="AR1325" s="6"/>
      <c r="AS1325" s="6"/>
      <c r="AU1325" s="6"/>
      <c r="AV1325" s="6"/>
      <c r="AW1325" s="6"/>
      <c r="AX1325" s="6"/>
      <c r="AY1325" s="6"/>
      <c r="AZ1325" s="6"/>
      <c r="BA1325" s="6"/>
      <c r="BB1325" s="6"/>
      <c r="BC1325" s="6"/>
      <c r="BD1325" s="6"/>
      <c r="BE1325" s="6"/>
    </row>
    <row r="1326" spans="2:57" x14ac:dyDescent="0.3">
      <c r="B1326" s="4" t="s">
        <v>1349</v>
      </c>
      <c r="C1326" s="4">
        <v>35</v>
      </c>
      <c r="D1326" s="4" t="s">
        <v>17</v>
      </c>
      <c r="E1326" s="4" t="s">
        <v>15</v>
      </c>
      <c r="F1326" s="4" t="s">
        <v>20</v>
      </c>
      <c r="G1326" s="18">
        <v>2660</v>
      </c>
      <c r="H1326" s="10">
        <v>2</v>
      </c>
      <c r="I1326" s="4">
        <v>3</v>
      </c>
      <c r="J1326" s="4" t="s">
        <v>9</v>
      </c>
      <c r="K1326" s="3" t="s">
        <v>14</v>
      </c>
      <c r="L1326" s="3" t="str">
        <f>IF(Table1[[#This Row],[Monthly Income]]&lt;3000,"Low",IF(Table1[[#This Row],[Monthly Income]]&lt;7000,"Medium","High"))</f>
        <v>Low</v>
      </c>
      <c r="AK1326" s="4"/>
      <c r="AL1326" s="4"/>
      <c r="AM1326" s="4"/>
      <c r="AN1326" s="4"/>
      <c r="AO1326" s="4"/>
      <c r="AP1326" s="4"/>
      <c r="AQ1326" s="4"/>
      <c r="AR1326" s="4"/>
      <c r="AS1326" s="4"/>
      <c r="AU1326" s="4"/>
      <c r="AV1326" s="4"/>
      <c r="AW1326" s="4"/>
      <c r="AX1326" s="4"/>
      <c r="AY1326" s="4"/>
      <c r="AZ1326" s="4"/>
      <c r="BA1326" s="4"/>
      <c r="BB1326" s="4"/>
      <c r="BC1326" s="4"/>
      <c r="BD1326" s="4"/>
      <c r="BE1326" s="4"/>
    </row>
    <row r="1327" spans="2:57" x14ac:dyDescent="0.3">
      <c r="B1327" s="6" t="s">
        <v>1350</v>
      </c>
      <c r="C1327" s="6">
        <v>45</v>
      </c>
      <c r="D1327" s="6" t="s">
        <v>17</v>
      </c>
      <c r="E1327" s="6" t="s">
        <v>15</v>
      </c>
      <c r="F1327" s="6" t="s">
        <v>27</v>
      </c>
      <c r="G1327" s="19">
        <v>9380</v>
      </c>
      <c r="H1327" s="11">
        <v>3</v>
      </c>
      <c r="I1327" s="6">
        <v>4</v>
      </c>
      <c r="J1327" s="6" t="s">
        <v>9</v>
      </c>
      <c r="K1327" s="5" t="s">
        <v>14</v>
      </c>
      <c r="L1327" s="3" t="str">
        <f>IF(Table1[[#This Row],[Monthly Income]]&lt;3000,"Low",IF(Table1[[#This Row],[Monthly Income]]&lt;7000,"Medium","High"))</f>
        <v>High</v>
      </c>
      <c r="AK1327" s="6"/>
      <c r="AL1327" s="6"/>
      <c r="AM1327" s="6"/>
      <c r="AN1327" s="6"/>
      <c r="AO1327" s="6"/>
      <c r="AP1327" s="6"/>
      <c r="AQ1327" s="6"/>
      <c r="AR1327" s="6"/>
      <c r="AS1327" s="6"/>
      <c r="AU1327" s="6"/>
      <c r="AV1327" s="6"/>
      <c r="AW1327" s="6"/>
      <c r="AX1327" s="6"/>
      <c r="AY1327" s="6"/>
      <c r="AZ1327" s="6"/>
      <c r="BA1327" s="6"/>
      <c r="BB1327" s="6"/>
      <c r="BC1327" s="6"/>
      <c r="BD1327" s="6"/>
      <c r="BE1327" s="6"/>
    </row>
    <row r="1328" spans="2:57" x14ac:dyDescent="0.3">
      <c r="B1328" s="4" t="s">
        <v>1351</v>
      </c>
      <c r="C1328" s="4">
        <v>34</v>
      </c>
      <c r="D1328" s="4" t="s">
        <v>17</v>
      </c>
      <c r="E1328" s="4" t="s">
        <v>15</v>
      </c>
      <c r="F1328" s="4" t="s">
        <v>18</v>
      </c>
      <c r="G1328" s="18">
        <v>2932</v>
      </c>
      <c r="H1328" s="10">
        <v>5</v>
      </c>
      <c r="I1328" s="4">
        <v>4</v>
      </c>
      <c r="J1328" s="4" t="s">
        <v>9</v>
      </c>
      <c r="K1328" s="3" t="s">
        <v>14</v>
      </c>
      <c r="L1328" s="3" t="str">
        <f>IF(Table1[[#This Row],[Monthly Income]]&lt;3000,"Low",IF(Table1[[#This Row],[Monthly Income]]&lt;7000,"Medium","High"))</f>
        <v>Low</v>
      </c>
      <c r="AK1328" s="4"/>
      <c r="AL1328" s="4"/>
      <c r="AM1328" s="4"/>
      <c r="AN1328" s="4"/>
      <c r="AO1328" s="4"/>
      <c r="AP1328" s="4"/>
      <c r="AQ1328" s="4"/>
      <c r="AR1328" s="4"/>
      <c r="AS1328" s="4"/>
      <c r="AU1328" s="4"/>
      <c r="AV1328" s="4"/>
      <c r="AW1328" s="4"/>
      <c r="AX1328" s="4"/>
      <c r="AY1328" s="4"/>
      <c r="AZ1328" s="4"/>
      <c r="BA1328" s="4"/>
      <c r="BB1328" s="4"/>
      <c r="BC1328" s="4"/>
      <c r="BD1328" s="4"/>
      <c r="BE1328" s="4"/>
    </row>
    <row r="1329" spans="2:57" x14ac:dyDescent="0.3">
      <c r="B1329" s="6" t="s">
        <v>1352</v>
      </c>
      <c r="C1329" s="6">
        <v>29</v>
      </c>
      <c r="D1329" s="6" t="s">
        <v>17</v>
      </c>
      <c r="E1329" s="6" t="s">
        <v>15</v>
      </c>
      <c r="F1329" s="6" t="s">
        <v>20</v>
      </c>
      <c r="G1329" s="19">
        <v>4723</v>
      </c>
      <c r="H1329" s="11">
        <v>10</v>
      </c>
      <c r="I1329" s="6">
        <v>1</v>
      </c>
      <c r="J1329" s="6" t="s">
        <v>9</v>
      </c>
      <c r="K1329" s="5" t="s">
        <v>14</v>
      </c>
      <c r="L1329" s="3" t="str">
        <f>IF(Table1[[#This Row],[Monthly Income]]&lt;3000,"Low",IF(Table1[[#This Row],[Monthly Income]]&lt;7000,"Medium","High"))</f>
        <v>Medium</v>
      </c>
      <c r="AK1329" s="6"/>
      <c r="AL1329" s="6"/>
      <c r="AM1329" s="6"/>
      <c r="AN1329" s="6"/>
      <c r="AO1329" s="6"/>
      <c r="AP1329" s="6"/>
      <c r="AQ1329" s="6"/>
      <c r="AR1329" s="6"/>
      <c r="AS1329" s="6"/>
      <c r="AU1329" s="6"/>
      <c r="AV1329" s="6"/>
      <c r="AW1329" s="6"/>
      <c r="AX1329" s="6"/>
      <c r="AY1329" s="6"/>
      <c r="AZ1329" s="6"/>
      <c r="BA1329" s="6"/>
      <c r="BB1329" s="6"/>
      <c r="BC1329" s="6"/>
      <c r="BD1329" s="6"/>
      <c r="BE1329" s="6"/>
    </row>
    <row r="1330" spans="2:57" x14ac:dyDescent="0.3">
      <c r="B1330" s="4" t="s">
        <v>1353</v>
      </c>
      <c r="C1330" s="4">
        <v>44</v>
      </c>
      <c r="D1330" s="4" t="s">
        <v>17</v>
      </c>
      <c r="E1330" s="4" t="s">
        <v>15</v>
      </c>
      <c r="F1330" s="4" t="s">
        <v>18</v>
      </c>
      <c r="G1330" s="18">
        <v>2436</v>
      </c>
      <c r="H1330" s="10">
        <v>4</v>
      </c>
      <c r="I1330" s="4">
        <v>4</v>
      </c>
      <c r="J1330" s="4" t="s">
        <v>9</v>
      </c>
      <c r="K1330" s="3" t="s">
        <v>14</v>
      </c>
      <c r="L1330" s="3" t="str">
        <f>IF(Table1[[#This Row],[Monthly Income]]&lt;3000,"Low",IF(Table1[[#This Row],[Monthly Income]]&lt;7000,"Medium","High"))</f>
        <v>Low</v>
      </c>
      <c r="AK1330" s="4"/>
      <c r="AL1330" s="4"/>
      <c r="AM1330" s="4"/>
      <c r="AN1330" s="4"/>
      <c r="AO1330" s="4"/>
      <c r="AP1330" s="4"/>
      <c r="AQ1330" s="4"/>
      <c r="AR1330" s="4"/>
      <c r="AS1330" s="4"/>
      <c r="AU1330" s="4"/>
      <c r="AV1330" s="4"/>
      <c r="AW1330" s="4"/>
      <c r="AX1330" s="4"/>
      <c r="AY1330" s="4"/>
      <c r="AZ1330" s="4"/>
      <c r="BA1330" s="4"/>
      <c r="BB1330" s="4"/>
      <c r="BC1330" s="4"/>
      <c r="BD1330" s="4"/>
      <c r="BE1330" s="4"/>
    </row>
    <row r="1331" spans="2:57" x14ac:dyDescent="0.3">
      <c r="B1331" s="6" t="s">
        <v>1354</v>
      </c>
      <c r="C1331" s="6">
        <v>33</v>
      </c>
      <c r="D1331" s="6" t="s">
        <v>17</v>
      </c>
      <c r="E1331" s="6" t="s">
        <v>15</v>
      </c>
      <c r="F1331" s="6" t="s">
        <v>29</v>
      </c>
      <c r="G1331" s="19">
        <v>6388</v>
      </c>
      <c r="H1331" s="11">
        <v>0</v>
      </c>
      <c r="I1331" s="6">
        <v>3</v>
      </c>
      <c r="J1331" s="6" t="s">
        <v>9</v>
      </c>
      <c r="K1331" s="5" t="s">
        <v>14</v>
      </c>
      <c r="L1331" s="3" t="str">
        <f>IF(Table1[[#This Row],[Monthly Income]]&lt;3000,"Low",IF(Table1[[#This Row],[Monthly Income]]&lt;7000,"Medium","High"))</f>
        <v>Medium</v>
      </c>
      <c r="AK1331" s="6"/>
      <c r="AL1331" s="6"/>
      <c r="AM1331" s="6"/>
      <c r="AN1331" s="6"/>
      <c r="AO1331" s="6"/>
      <c r="AP1331" s="6"/>
      <c r="AQ1331" s="6"/>
      <c r="AR1331" s="6"/>
      <c r="AS1331" s="6"/>
      <c r="AU1331" s="6"/>
      <c r="AV1331" s="6"/>
      <c r="AW1331" s="6"/>
      <c r="AX1331" s="6"/>
      <c r="AY1331" s="6"/>
      <c r="AZ1331" s="6"/>
      <c r="BA1331" s="6"/>
      <c r="BB1331" s="6"/>
      <c r="BC1331" s="6"/>
      <c r="BD1331" s="6"/>
      <c r="BE1331" s="6"/>
    </row>
    <row r="1332" spans="2:57" x14ac:dyDescent="0.3">
      <c r="B1332" s="4" t="s">
        <v>1355</v>
      </c>
      <c r="C1332" s="4">
        <v>29</v>
      </c>
      <c r="D1332" s="4" t="s">
        <v>17</v>
      </c>
      <c r="E1332" s="4" t="s">
        <v>10</v>
      </c>
      <c r="F1332" s="4" t="s">
        <v>13</v>
      </c>
      <c r="G1332" s="18">
        <v>4187</v>
      </c>
      <c r="H1332" s="10">
        <v>10</v>
      </c>
      <c r="I1332" s="4">
        <v>2</v>
      </c>
      <c r="J1332" s="4" t="s">
        <v>9</v>
      </c>
      <c r="K1332" s="3" t="s">
        <v>14</v>
      </c>
      <c r="L1332" s="3" t="str">
        <f>IF(Table1[[#This Row],[Monthly Income]]&lt;3000,"Low",IF(Table1[[#This Row],[Monthly Income]]&lt;7000,"Medium","High"))</f>
        <v>Medium</v>
      </c>
      <c r="AK1332" s="4"/>
      <c r="AL1332" s="4"/>
      <c r="AM1332" s="4"/>
      <c r="AN1332" s="4"/>
      <c r="AO1332" s="4"/>
      <c r="AP1332" s="4"/>
      <c r="AQ1332" s="4"/>
      <c r="AR1332" s="4"/>
      <c r="AS1332" s="4"/>
      <c r="AU1332" s="4"/>
      <c r="AV1332" s="4"/>
      <c r="AW1332" s="4"/>
      <c r="AX1332" s="4"/>
      <c r="AY1332" s="4"/>
      <c r="AZ1332" s="4"/>
      <c r="BA1332" s="4"/>
      <c r="BB1332" s="4"/>
      <c r="BC1332" s="4"/>
      <c r="BD1332" s="4"/>
      <c r="BE1332" s="4"/>
    </row>
    <row r="1333" spans="2:57" x14ac:dyDescent="0.3">
      <c r="B1333" s="6" t="s">
        <v>1356</v>
      </c>
      <c r="C1333" s="6">
        <v>46</v>
      </c>
      <c r="D1333" s="6" t="s">
        <v>17</v>
      </c>
      <c r="E1333" s="6" t="s">
        <v>10</v>
      </c>
      <c r="F1333" s="6" t="s">
        <v>13</v>
      </c>
      <c r="G1333" s="19">
        <v>10368</v>
      </c>
      <c r="H1333" s="11">
        <v>10</v>
      </c>
      <c r="I1333" s="6">
        <v>4</v>
      </c>
      <c r="J1333" s="6" t="s">
        <v>9</v>
      </c>
      <c r="K1333" s="5" t="s">
        <v>14</v>
      </c>
      <c r="L1333" s="3" t="str">
        <f>IF(Table1[[#This Row],[Monthly Income]]&lt;3000,"Low",IF(Table1[[#This Row],[Monthly Income]]&lt;7000,"Medium","High"))</f>
        <v>High</v>
      </c>
      <c r="AK1333" s="6"/>
      <c r="AL1333" s="6"/>
      <c r="AM1333" s="6"/>
      <c r="AN1333" s="6"/>
      <c r="AO1333" s="6"/>
      <c r="AP1333" s="6"/>
      <c r="AQ1333" s="6"/>
      <c r="AR1333" s="6"/>
      <c r="AS1333" s="6"/>
      <c r="AU1333" s="6"/>
      <c r="AV1333" s="6"/>
      <c r="AW1333" s="6"/>
      <c r="AX1333" s="6"/>
      <c r="AY1333" s="6"/>
      <c r="AZ1333" s="6"/>
      <c r="BA1333" s="6"/>
      <c r="BB1333" s="6"/>
      <c r="BC1333" s="6"/>
      <c r="BD1333" s="6"/>
      <c r="BE1333" s="6"/>
    </row>
    <row r="1334" spans="2:57" x14ac:dyDescent="0.3">
      <c r="B1334" s="4" t="s">
        <v>1357</v>
      </c>
      <c r="C1334" s="4">
        <v>42</v>
      </c>
      <c r="D1334" s="4" t="s">
        <v>17</v>
      </c>
      <c r="E1334" s="4" t="s">
        <v>10</v>
      </c>
      <c r="F1334" s="4" t="s">
        <v>13</v>
      </c>
      <c r="G1334" s="18">
        <v>5087</v>
      </c>
      <c r="H1334" s="10">
        <v>0</v>
      </c>
      <c r="I1334" s="4">
        <v>4</v>
      </c>
      <c r="J1334" s="4" t="s">
        <v>9</v>
      </c>
      <c r="K1334" s="3" t="s">
        <v>14</v>
      </c>
      <c r="L1334" s="3" t="str">
        <f>IF(Table1[[#This Row],[Monthly Income]]&lt;3000,"Low",IF(Table1[[#This Row],[Monthly Income]]&lt;7000,"Medium","High"))</f>
        <v>Medium</v>
      </c>
      <c r="AK1334" s="4"/>
      <c r="AL1334" s="4"/>
      <c r="AM1334" s="4"/>
      <c r="AN1334" s="4"/>
      <c r="AO1334" s="4"/>
      <c r="AP1334" s="4"/>
      <c r="AQ1334" s="4"/>
      <c r="AR1334" s="4"/>
      <c r="AS1334" s="4"/>
      <c r="AU1334" s="4"/>
      <c r="AV1334" s="4"/>
      <c r="AW1334" s="4"/>
      <c r="AX1334" s="4"/>
      <c r="AY1334" s="4"/>
      <c r="AZ1334" s="4"/>
      <c r="BA1334" s="4"/>
      <c r="BB1334" s="4"/>
      <c r="BC1334" s="4"/>
      <c r="BD1334" s="4"/>
      <c r="BE1334" s="4"/>
    </row>
    <row r="1335" spans="2:57" x14ac:dyDescent="0.3">
      <c r="B1335" s="6" t="s">
        <v>1358</v>
      </c>
      <c r="C1335" s="6">
        <v>34</v>
      </c>
      <c r="D1335" s="6" t="s">
        <v>17</v>
      </c>
      <c r="E1335" s="6" t="s">
        <v>10</v>
      </c>
      <c r="F1335" s="6" t="s">
        <v>13</v>
      </c>
      <c r="G1335" s="19">
        <v>7083</v>
      </c>
      <c r="H1335" s="11">
        <v>10</v>
      </c>
      <c r="I1335" s="6">
        <v>3</v>
      </c>
      <c r="J1335" s="6" t="s">
        <v>9</v>
      </c>
      <c r="K1335" s="5" t="s">
        <v>14</v>
      </c>
      <c r="L1335" s="3" t="str">
        <f>IF(Table1[[#This Row],[Monthly Income]]&lt;3000,"Low",IF(Table1[[#This Row],[Monthly Income]]&lt;7000,"Medium","High"))</f>
        <v>High</v>
      </c>
      <c r="AK1335" s="6"/>
      <c r="AL1335" s="6"/>
      <c r="AM1335" s="6"/>
      <c r="AN1335" s="6"/>
      <c r="AO1335" s="6"/>
      <c r="AP1335" s="6"/>
      <c r="AQ1335" s="6"/>
      <c r="AR1335" s="6"/>
      <c r="AS1335" s="6"/>
      <c r="AU1335" s="6"/>
      <c r="AV1335" s="6"/>
      <c r="AW1335" s="6"/>
      <c r="AX1335" s="6"/>
      <c r="AY1335" s="6"/>
      <c r="AZ1335" s="6"/>
      <c r="BA1335" s="6"/>
      <c r="BB1335" s="6"/>
      <c r="BC1335" s="6"/>
      <c r="BD1335" s="6"/>
      <c r="BE1335" s="6"/>
    </row>
    <row r="1336" spans="2:57" x14ac:dyDescent="0.3">
      <c r="B1336" s="4" t="s">
        <v>1359</v>
      </c>
      <c r="C1336" s="4">
        <v>50</v>
      </c>
      <c r="D1336" s="4" t="s">
        <v>17</v>
      </c>
      <c r="E1336" s="4" t="s">
        <v>10</v>
      </c>
      <c r="F1336" s="4" t="s">
        <v>39</v>
      </c>
      <c r="G1336" s="18">
        <v>19331</v>
      </c>
      <c r="H1336" s="10">
        <v>1</v>
      </c>
      <c r="I1336" s="4">
        <v>3</v>
      </c>
      <c r="J1336" s="4" t="s">
        <v>9</v>
      </c>
      <c r="K1336" s="3" t="s">
        <v>14</v>
      </c>
      <c r="L1336" s="3" t="str">
        <f>IF(Table1[[#This Row],[Monthly Income]]&lt;3000,"Low",IF(Table1[[#This Row],[Monthly Income]]&lt;7000,"Medium","High"))</f>
        <v>High</v>
      </c>
      <c r="AK1336" s="4"/>
      <c r="AL1336" s="4"/>
      <c r="AM1336" s="4"/>
      <c r="AN1336" s="4"/>
      <c r="AO1336" s="4"/>
      <c r="AP1336" s="4"/>
      <c r="AQ1336" s="4"/>
      <c r="AR1336" s="4"/>
      <c r="AS1336" s="4"/>
      <c r="AU1336" s="4"/>
      <c r="AV1336" s="4"/>
      <c r="AW1336" s="4"/>
      <c r="AX1336" s="4"/>
      <c r="AY1336" s="4"/>
      <c r="AZ1336" s="4"/>
      <c r="BA1336" s="4"/>
      <c r="BB1336" s="4"/>
      <c r="BC1336" s="4"/>
      <c r="BD1336" s="4"/>
      <c r="BE1336" s="4"/>
    </row>
    <row r="1337" spans="2:57" x14ac:dyDescent="0.3">
      <c r="B1337" s="6" t="s">
        <v>1360</v>
      </c>
      <c r="C1337" s="6">
        <v>43</v>
      </c>
      <c r="D1337" s="6" t="s">
        <v>17</v>
      </c>
      <c r="E1337" s="6" t="s">
        <v>10</v>
      </c>
      <c r="F1337" s="6" t="s">
        <v>13</v>
      </c>
      <c r="G1337" s="19">
        <v>7847</v>
      </c>
      <c r="H1337" s="11">
        <v>10</v>
      </c>
      <c r="I1337" s="6">
        <v>4</v>
      </c>
      <c r="J1337" s="6" t="s">
        <v>9</v>
      </c>
      <c r="K1337" s="5" t="s">
        <v>14</v>
      </c>
      <c r="L1337" s="3" t="str">
        <f>IF(Table1[[#This Row],[Monthly Income]]&lt;3000,"Low",IF(Table1[[#This Row],[Monthly Income]]&lt;7000,"Medium","High"))</f>
        <v>High</v>
      </c>
      <c r="AK1337" s="6"/>
      <c r="AL1337" s="6"/>
      <c r="AM1337" s="6"/>
      <c r="AN1337" s="6"/>
      <c r="AO1337" s="6"/>
      <c r="AP1337" s="6"/>
      <c r="AQ1337" s="6"/>
      <c r="AR1337" s="6"/>
      <c r="AS1337" s="6"/>
      <c r="AU1337" s="6"/>
      <c r="AV1337" s="6"/>
      <c r="AW1337" s="6"/>
      <c r="AX1337" s="6"/>
      <c r="AY1337" s="6"/>
      <c r="AZ1337" s="6"/>
      <c r="BA1337" s="6"/>
      <c r="BB1337" s="6"/>
      <c r="BC1337" s="6"/>
      <c r="BD1337" s="6"/>
      <c r="BE1337" s="6"/>
    </row>
    <row r="1338" spans="2:57" x14ac:dyDescent="0.3">
      <c r="B1338" s="4" t="s">
        <v>1361</v>
      </c>
      <c r="C1338" s="4">
        <v>34</v>
      </c>
      <c r="D1338" s="4" t="s">
        <v>17</v>
      </c>
      <c r="E1338" s="4" t="s">
        <v>10</v>
      </c>
      <c r="F1338" s="4" t="s">
        <v>13</v>
      </c>
      <c r="G1338" s="18">
        <v>9713</v>
      </c>
      <c r="H1338" s="10">
        <v>5</v>
      </c>
      <c r="I1338" s="4">
        <v>4</v>
      </c>
      <c r="J1338" s="4" t="s">
        <v>9</v>
      </c>
      <c r="K1338" s="3" t="s">
        <v>14</v>
      </c>
      <c r="L1338" s="3" t="str">
        <f>IF(Table1[[#This Row],[Monthly Income]]&lt;3000,"Low",IF(Table1[[#This Row],[Monthly Income]]&lt;7000,"Medium","High"))</f>
        <v>High</v>
      </c>
      <c r="AK1338" s="4"/>
      <c r="AL1338" s="4"/>
      <c r="AM1338" s="4"/>
      <c r="AN1338" s="4"/>
      <c r="AO1338" s="4"/>
      <c r="AP1338" s="4"/>
      <c r="AQ1338" s="4"/>
      <c r="AR1338" s="4"/>
      <c r="AS1338" s="4"/>
      <c r="AU1338" s="4"/>
      <c r="AV1338" s="4"/>
      <c r="AW1338" s="4"/>
      <c r="AX1338" s="4"/>
      <c r="AY1338" s="4"/>
      <c r="AZ1338" s="4"/>
      <c r="BA1338" s="4"/>
      <c r="BB1338" s="4"/>
      <c r="BC1338" s="4"/>
      <c r="BD1338" s="4"/>
      <c r="BE1338" s="4"/>
    </row>
    <row r="1339" spans="2:57" x14ac:dyDescent="0.3">
      <c r="B1339" s="6" t="s">
        <v>1362</v>
      </c>
      <c r="C1339" s="6">
        <v>21</v>
      </c>
      <c r="D1339" s="6" t="s">
        <v>17</v>
      </c>
      <c r="E1339" s="6" t="s">
        <v>10</v>
      </c>
      <c r="F1339" s="6" t="s">
        <v>43</v>
      </c>
      <c r="G1339" s="19">
        <v>2380</v>
      </c>
      <c r="H1339" s="11">
        <v>2</v>
      </c>
      <c r="I1339" s="6">
        <v>1</v>
      </c>
      <c r="J1339" s="6" t="s">
        <v>9</v>
      </c>
      <c r="K1339" s="5" t="s">
        <v>14</v>
      </c>
      <c r="L1339" s="3" t="str">
        <f>IF(Table1[[#This Row],[Monthly Income]]&lt;3000,"Low",IF(Table1[[#This Row],[Monthly Income]]&lt;7000,"Medium","High"))</f>
        <v>Low</v>
      </c>
      <c r="AK1339" s="6"/>
      <c r="AL1339" s="6"/>
      <c r="AM1339" s="6"/>
      <c r="AN1339" s="6"/>
      <c r="AO1339" s="6"/>
      <c r="AP1339" s="6"/>
      <c r="AQ1339" s="6"/>
      <c r="AR1339" s="6"/>
      <c r="AS1339" s="6"/>
      <c r="AU1339" s="6"/>
      <c r="AV1339" s="6"/>
      <c r="AW1339" s="6"/>
      <c r="AX1339" s="6"/>
      <c r="AY1339" s="6"/>
      <c r="AZ1339" s="6"/>
      <c r="BA1339" s="6"/>
      <c r="BB1339" s="6"/>
      <c r="BC1339" s="6"/>
      <c r="BD1339" s="6"/>
      <c r="BE1339" s="6"/>
    </row>
    <row r="1340" spans="2:57" x14ac:dyDescent="0.3">
      <c r="B1340" s="4" t="s">
        <v>1363</v>
      </c>
      <c r="C1340" s="4">
        <v>41</v>
      </c>
      <c r="D1340" s="4" t="s">
        <v>17</v>
      </c>
      <c r="E1340" s="4" t="s">
        <v>10</v>
      </c>
      <c r="F1340" s="4" t="s">
        <v>13</v>
      </c>
      <c r="G1340" s="18">
        <v>7082</v>
      </c>
      <c r="H1340" s="10">
        <v>2</v>
      </c>
      <c r="I1340" s="4">
        <v>3</v>
      </c>
      <c r="J1340" s="4" t="s">
        <v>9</v>
      </c>
      <c r="K1340" s="3" t="s">
        <v>14</v>
      </c>
      <c r="L1340" s="3" t="str">
        <f>IF(Table1[[#This Row],[Monthly Income]]&lt;3000,"Low",IF(Table1[[#This Row],[Monthly Income]]&lt;7000,"Medium","High"))</f>
        <v>High</v>
      </c>
      <c r="AK1340" s="4"/>
      <c r="AL1340" s="4"/>
      <c r="AM1340" s="4"/>
      <c r="AN1340" s="4"/>
      <c r="AO1340" s="4"/>
      <c r="AP1340" s="4"/>
      <c r="AQ1340" s="4"/>
      <c r="AR1340" s="4"/>
      <c r="AS1340" s="4"/>
      <c r="AU1340" s="4"/>
      <c r="AV1340" s="4"/>
      <c r="AW1340" s="4"/>
      <c r="AX1340" s="4"/>
      <c r="AY1340" s="4"/>
      <c r="AZ1340" s="4"/>
      <c r="BA1340" s="4"/>
      <c r="BB1340" s="4"/>
      <c r="BC1340" s="4"/>
      <c r="BD1340" s="4"/>
      <c r="BE1340" s="4"/>
    </row>
    <row r="1341" spans="2:57" x14ac:dyDescent="0.3">
      <c r="B1341" s="6" t="s">
        <v>1364</v>
      </c>
      <c r="C1341" s="6">
        <v>31</v>
      </c>
      <c r="D1341" s="6" t="s">
        <v>12</v>
      </c>
      <c r="E1341" s="6" t="s">
        <v>15</v>
      </c>
      <c r="F1341" s="6" t="s">
        <v>45</v>
      </c>
      <c r="G1341" s="19">
        <v>11031</v>
      </c>
      <c r="H1341" s="11">
        <v>11</v>
      </c>
      <c r="I1341" s="6">
        <v>3</v>
      </c>
      <c r="J1341" s="6" t="s">
        <v>14</v>
      </c>
      <c r="K1341" s="5" t="s">
        <v>14</v>
      </c>
      <c r="L1341" s="3" t="str">
        <f>IF(Table1[[#This Row],[Monthly Income]]&lt;3000,"Low",IF(Table1[[#This Row],[Monthly Income]]&lt;7000,"Medium","High"))</f>
        <v>High</v>
      </c>
      <c r="AK1341" s="6"/>
      <c r="AL1341" s="6"/>
      <c r="AM1341" s="6"/>
      <c r="AN1341" s="6"/>
      <c r="AO1341" s="6"/>
      <c r="AP1341" s="6"/>
      <c r="AQ1341" s="6"/>
      <c r="AR1341" s="6"/>
      <c r="AS1341" s="6"/>
      <c r="AU1341" s="6"/>
      <c r="AV1341" s="6"/>
      <c r="AW1341" s="6"/>
      <c r="AX1341" s="6"/>
      <c r="AY1341" s="6"/>
      <c r="AZ1341" s="6"/>
      <c r="BA1341" s="6"/>
      <c r="BB1341" s="6"/>
      <c r="BC1341" s="6"/>
      <c r="BD1341" s="6"/>
      <c r="BE1341" s="6"/>
    </row>
    <row r="1342" spans="2:57" x14ac:dyDescent="0.3">
      <c r="B1342" s="4" t="s">
        <v>1365</v>
      </c>
      <c r="C1342" s="4">
        <v>45</v>
      </c>
      <c r="D1342" s="4" t="s">
        <v>12</v>
      </c>
      <c r="E1342" s="4" t="s">
        <v>10</v>
      </c>
      <c r="F1342" s="4" t="s">
        <v>13</v>
      </c>
      <c r="G1342" s="18">
        <v>5154</v>
      </c>
      <c r="H1342" s="10">
        <v>8</v>
      </c>
      <c r="I1342" s="4">
        <v>3</v>
      </c>
      <c r="J1342" s="4" t="s">
        <v>14</v>
      </c>
      <c r="K1342" s="3" t="s">
        <v>14</v>
      </c>
      <c r="L1342" s="3" t="str">
        <f>IF(Table1[[#This Row],[Monthly Income]]&lt;3000,"Low",IF(Table1[[#This Row],[Monthly Income]]&lt;7000,"Medium","High"))</f>
        <v>Medium</v>
      </c>
      <c r="AK1342" s="4"/>
      <c r="AL1342" s="4"/>
      <c r="AM1342" s="4"/>
      <c r="AN1342" s="4"/>
      <c r="AO1342" s="4"/>
      <c r="AP1342" s="4"/>
      <c r="AQ1342" s="4"/>
      <c r="AR1342" s="4"/>
      <c r="AS1342" s="4"/>
      <c r="AU1342" s="4"/>
      <c r="AV1342" s="4"/>
      <c r="AW1342" s="4"/>
      <c r="AX1342" s="4"/>
      <c r="AY1342" s="4"/>
      <c r="AZ1342" s="4"/>
      <c r="BA1342" s="4"/>
      <c r="BB1342" s="4"/>
      <c r="BC1342" s="4"/>
      <c r="BD1342" s="4"/>
      <c r="BE1342" s="4"/>
    </row>
    <row r="1343" spans="2:57" x14ac:dyDescent="0.3">
      <c r="B1343" s="6" t="s">
        <v>1366</v>
      </c>
      <c r="C1343" s="6">
        <v>54</v>
      </c>
      <c r="D1343" s="6" t="s">
        <v>12</v>
      </c>
      <c r="E1343" s="6" t="s">
        <v>15</v>
      </c>
      <c r="F1343" s="6" t="s">
        <v>39</v>
      </c>
      <c r="G1343" s="19">
        <v>16032</v>
      </c>
      <c r="H1343" s="11">
        <v>14</v>
      </c>
      <c r="I1343" s="6">
        <v>4</v>
      </c>
      <c r="J1343" s="6" t="s">
        <v>14</v>
      </c>
      <c r="K1343" s="5" t="s">
        <v>14</v>
      </c>
      <c r="L1343" s="3" t="str">
        <f>IF(Table1[[#This Row],[Monthly Income]]&lt;3000,"Low",IF(Table1[[#This Row],[Monthly Income]]&lt;7000,"Medium","High"))</f>
        <v>High</v>
      </c>
      <c r="AK1343" s="6"/>
      <c r="AL1343" s="6"/>
      <c r="AM1343" s="6"/>
      <c r="AN1343" s="6"/>
      <c r="AO1343" s="6"/>
      <c r="AP1343" s="6"/>
      <c r="AQ1343" s="6"/>
      <c r="AR1343" s="6"/>
      <c r="AS1343" s="6"/>
      <c r="AU1343" s="6"/>
      <c r="AV1343" s="6"/>
      <c r="AW1343" s="6"/>
      <c r="AX1343" s="6"/>
      <c r="AY1343" s="6"/>
      <c r="AZ1343" s="6"/>
      <c r="BA1343" s="6"/>
      <c r="BB1343" s="6"/>
      <c r="BC1343" s="6"/>
      <c r="BD1343" s="6"/>
      <c r="BE1343" s="6"/>
    </row>
    <row r="1344" spans="2:57" x14ac:dyDescent="0.3">
      <c r="B1344" s="4" t="s">
        <v>1367</v>
      </c>
      <c r="C1344" s="4">
        <v>38</v>
      </c>
      <c r="D1344" s="4" t="s">
        <v>12</v>
      </c>
      <c r="E1344" s="4" t="s">
        <v>15</v>
      </c>
      <c r="F1344" s="4" t="s">
        <v>20</v>
      </c>
      <c r="G1344" s="18">
        <v>2440</v>
      </c>
      <c r="H1344" s="10">
        <v>4</v>
      </c>
      <c r="I1344" s="4">
        <v>2</v>
      </c>
      <c r="J1344" s="4" t="s">
        <v>14</v>
      </c>
      <c r="K1344" s="3" t="s">
        <v>14</v>
      </c>
      <c r="L1344" s="3" t="str">
        <f>IF(Table1[[#This Row],[Monthly Income]]&lt;3000,"Low",IF(Table1[[#This Row],[Monthly Income]]&lt;7000,"Medium","High"))</f>
        <v>Low</v>
      </c>
      <c r="AK1344" s="4"/>
      <c r="AL1344" s="4"/>
      <c r="AM1344" s="4"/>
      <c r="AN1344" s="4"/>
      <c r="AO1344" s="4"/>
      <c r="AP1344" s="4"/>
      <c r="AQ1344" s="4"/>
      <c r="AR1344" s="4"/>
      <c r="AS1344" s="4"/>
      <c r="AU1344" s="4"/>
      <c r="AV1344" s="4"/>
      <c r="AW1344" s="4"/>
      <c r="AX1344" s="4"/>
      <c r="AY1344" s="4"/>
      <c r="AZ1344" s="4"/>
      <c r="BA1344" s="4"/>
      <c r="BB1344" s="4"/>
      <c r="BC1344" s="4"/>
      <c r="BD1344" s="4"/>
      <c r="BE1344" s="4"/>
    </row>
    <row r="1345" spans="2:57" x14ac:dyDescent="0.3">
      <c r="B1345" s="6" t="s">
        <v>1368</v>
      </c>
      <c r="C1345" s="6">
        <v>31</v>
      </c>
      <c r="D1345" s="6" t="s">
        <v>12</v>
      </c>
      <c r="E1345" s="6" t="s">
        <v>15</v>
      </c>
      <c r="F1345" s="6" t="s">
        <v>27</v>
      </c>
      <c r="G1345" s="19">
        <v>5238</v>
      </c>
      <c r="H1345" s="11">
        <v>5</v>
      </c>
      <c r="I1345" s="6">
        <v>4</v>
      </c>
      <c r="J1345" s="6" t="s">
        <v>14</v>
      </c>
      <c r="K1345" s="5" t="s">
        <v>14</v>
      </c>
      <c r="L1345" s="3" t="str">
        <f>IF(Table1[[#This Row],[Monthly Income]]&lt;3000,"Low",IF(Table1[[#This Row],[Monthly Income]]&lt;7000,"Medium","High"))</f>
        <v>Medium</v>
      </c>
      <c r="AK1345" s="6"/>
      <c r="AL1345" s="6"/>
      <c r="AM1345" s="6"/>
      <c r="AN1345" s="6"/>
      <c r="AO1345" s="6"/>
      <c r="AP1345" s="6"/>
      <c r="AQ1345" s="6"/>
      <c r="AR1345" s="6"/>
      <c r="AS1345" s="6"/>
      <c r="AU1345" s="6"/>
      <c r="AV1345" s="6"/>
      <c r="AW1345" s="6"/>
      <c r="AX1345" s="6"/>
      <c r="AY1345" s="6"/>
      <c r="AZ1345" s="6"/>
      <c r="BA1345" s="6"/>
      <c r="BB1345" s="6"/>
      <c r="BC1345" s="6"/>
      <c r="BD1345" s="6"/>
      <c r="BE1345" s="6"/>
    </row>
    <row r="1346" spans="2:57" x14ac:dyDescent="0.3">
      <c r="B1346" s="4" t="s">
        <v>1369</v>
      </c>
      <c r="C1346" s="4">
        <v>45</v>
      </c>
      <c r="D1346" s="4" t="s">
        <v>12</v>
      </c>
      <c r="E1346" s="4" t="s">
        <v>102</v>
      </c>
      <c r="F1346" s="4" t="s">
        <v>104</v>
      </c>
      <c r="G1346" s="18">
        <v>9756</v>
      </c>
      <c r="H1346" s="10">
        <v>5</v>
      </c>
      <c r="I1346" s="4">
        <v>3</v>
      </c>
      <c r="J1346" s="4" t="s">
        <v>14</v>
      </c>
      <c r="K1346" s="3" t="s">
        <v>14</v>
      </c>
      <c r="L1346" s="3" t="str">
        <f>IF(Table1[[#This Row],[Monthly Income]]&lt;3000,"Low",IF(Table1[[#This Row],[Monthly Income]]&lt;7000,"Medium","High"))</f>
        <v>High</v>
      </c>
      <c r="AK1346" s="4"/>
      <c r="AL1346" s="4"/>
      <c r="AM1346" s="4"/>
      <c r="AN1346" s="4"/>
      <c r="AO1346" s="4"/>
      <c r="AP1346" s="4"/>
      <c r="AQ1346" s="4"/>
      <c r="AR1346" s="4"/>
      <c r="AS1346" s="4"/>
      <c r="AU1346" s="4"/>
      <c r="AV1346" s="4"/>
      <c r="AW1346" s="4"/>
      <c r="AX1346" s="4"/>
      <c r="AY1346" s="4"/>
      <c r="AZ1346" s="4"/>
      <c r="BA1346" s="4"/>
      <c r="BB1346" s="4"/>
      <c r="BC1346" s="4"/>
      <c r="BD1346" s="4"/>
      <c r="BE1346" s="4"/>
    </row>
    <row r="1347" spans="2:57" x14ac:dyDescent="0.3">
      <c r="B1347" s="6" t="s">
        <v>1370</v>
      </c>
      <c r="C1347" s="6">
        <v>28</v>
      </c>
      <c r="D1347" s="6" t="s">
        <v>12</v>
      </c>
      <c r="E1347" s="6" t="s">
        <v>15</v>
      </c>
      <c r="F1347" s="6" t="s">
        <v>27</v>
      </c>
      <c r="G1347" s="19">
        <v>4877</v>
      </c>
      <c r="H1347" s="11">
        <v>5</v>
      </c>
      <c r="I1347" s="6">
        <v>1</v>
      </c>
      <c r="J1347" s="6" t="s">
        <v>14</v>
      </c>
      <c r="K1347" s="5" t="s">
        <v>14</v>
      </c>
      <c r="L1347" s="3" t="str">
        <f>IF(Table1[[#This Row],[Monthly Income]]&lt;3000,"Low",IF(Table1[[#This Row],[Monthly Income]]&lt;7000,"Medium","High"))</f>
        <v>Medium</v>
      </c>
      <c r="AK1347" s="6"/>
      <c r="AL1347" s="6"/>
      <c r="AM1347" s="6"/>
      <c r="AN1347" s="6"/>
      <c r="AO1347" s="6"/>
      <c r="AP1347" s="6"/>
      <c r="AQ1347" s="6"/>
      <c r="AR1347" s="6"/>
      <c r="AS1347" s="6"/>
      <c r="AU1347" s="6"/>
      <c r="AV1347" s="6"/>
      <c r="AW1347" s="6"/>
      <c r="AX1347" s="6"/>
      <c r="AY1347" s="6"/>
      <c r="AZ1347" s="6"/>
      <c r="BA1347" s="6"/>
      <c r="BB1347" s="6"/>
      <c r="BC1347" s="6"/>
      <c r="BD1347" s="6"/>
      <c r="BE1347" s="6"/>
    </row>
    <row r="1348" spans="2:57" x14ac:dyDescent="0.3">
      <c r="B1348" s="4" t="s">
        <v>1371</v>
      </c>
      <c r="C1348" s="4">
        <v>26</v>
      </c>
      <c r="D1348" s="4" t="s">
        <v>12</v>
      </c>
      <c r="E1348" s="4" t="s">
        <v>15</v>
      </c>
      <c r="F1348" s="4" t="s">
        <v>18</v>
      </c>
      <c r="G1348" s="18">
        <v>2061</v>
      </c>
      <c r="H1348" s="10">
        <v>1</v>
      </c>
      <c r="I1348" s="4">
        <v>4</v>
      </c>
      <c r="J1348" s="4" t="s">
        <v>14</v>
      </c>
      <c r="K1348" s="3" t="s">
        <v>14</v>
      </c>
      <c r="L1348" s="3" t="str">
        <f>IF(Table1[[#This Row],[Monthly Income]]&lt;3000,"Low",IF(Table1[[#This Row],[Monthly Income]]&lt;7000,"Medium","High"))</f>
        <v>Low</v>
      </c>
      <c r="AK1348" s="4"/>
      <c r="AL1348" s="4"/>
      <c r="AM1348" s="4"/>
      <c r="AN1348" s="4"/>
      <c r="AO1348" s="4"/>
      <c r="AP1348" s="4"/>
      <c r="AQ1348" s="4"/>
      <c r="AR1348" s="4"/>
      <c r="AS1348" s="4"/>
      <c r="AU1348" s="4"/>
      <c r="AV1348" s="4"/>
      <c r="AW1348" s="4"/>
      <c r="AX1348" s="4"/>
      <c r="AY1348" s="4"/>
      <c r="AZ1348" s="4"/>
      <c r="BA1348" s="4"/>
      <c r="BB1348" s="4"/>
      <c r="BC1348" s="4"/>
      <c r="BD1348" s="4"/>
      <c r="BE1348" s="4"/>
    </row>
    <row r="1349" spans="2:57" x14ac:dyDescent="0.3">
      <c r="B1349" s="6" t="s">
        <v>1372</v>
      </c>
      <c r="C1349" s="6">
        <v>41</v>
      </c>
      <c r="D1349" s="6" t="s">
        <v>12</v>
      </c>
      <c r="E1349" s="6" t="s">
        <v>15</v>
      </c>
      <c r="F1349" s="6" t="s">
        <v>27</v>
      </c>
      <c r="G1349" s="19">
        <v>13570</v>
      </c>
      <c r="H1349" s="11">
        <v>20</v>
      </c>
      <c r="I1349" s="6">
        <v>2</v>
      </c>
      <c r="J1349" s="6" t="s">
        <v>14</v>
      </c>
      <c r="K1349" s="5" t="s">
        <v>14</v>
      </c>
      <c r="L1349" s="3" t="str">
        <f>IF(Table1[[#This Row],[Monthly Income]]&lt;3000,"Low",IF(Table1[[#This Row],[Monthly Income]]&lt;7000,"Medium","High"))</f>
        <v>High</v>
      </c>
      <c r="AK1349" s="6"/>
      <c r="AL1349" s="6"/>
      <c r="AM1349" s="6"/>
      <c r="AN1349" s="6"/>
      <c r="AO1349" s="6"/>
      <c r="AP1349" s="6"/>
      <c r="AQ1349" s="6"/>
      <c r="AR1349" s="6"/>
      <c r="AS1349" s="6"/>
      <c r="AU1349" s="6"/>
      <c r="AV1349" s="6"/>
      <c r="AW1349" s="6"/>
      <c r="AX1349" s="6"/>
      <c r="AY1349" s="6"/>
      <c r="AZ1349" s="6"/>
      <c r="BA1349" s="6"/>
      <c r="BB1349" s="6"/>
      <c r="BC1349" s="6"/>
      <c r="BD1349" s="6"/>
      <c r="BE1349" s="6"/>
    </row>
    <row r="1350" spans="2:57" x14ac:dyDescent="0.3">
      <c r="B1350" s="4" t="s">
        <v>1373</v>
      </c>
      <c r="C1350" s="4">
        <v>56</v>
      </c>
      <c r="D1350" s="4" t="s">
        <v>12</v>
      </c>
      <c r="E1350" s="4" t="s">
        <v>15</v>
      </c>
      <c r="F1350" s="4" t="s">
        <v>18</v>
      </c>
      <c r="G1350" s="18">
        <v>2066</v>
      </c>
      <c r="H1350" s="10">
        <v>3</v>
      </c>
      <c r="I1350" s="4">
        <v>1</v>
      </c>
      <c r="J1350" s="4" t="s">
        <v>14</v>
      </c>
      <c r="K1350" s="3" t="s">
        <v>14</v>
      </c>
      <c r="L1350" s="3" t="str">
        <f>IF(Table1[[#This Row],[Monthly Income]]&lt;3000,"Low",IF(Table1[[#This Row],[Monthly Income]]&lt;7000,"Medium","High"))</f>
        <v>Low</v>
      </c>
      <c r="AK1350" s="4"/>
      <c r="AL1350" s="4"/>
      <c r="AM1350" s="4"/>
      <c r="AN1350" s="4"/>
      <c r="AO1350" s="4"/>
      <c r="AP1350" s="4"/>
      <c r="AQ1350" s="4"/>
      <c r="AR1350" s="4"/>
      <c r="AS1350" s="4"/>
      <c r="AU1350" s="4"/>
      <c r="AV1350" s="4"/>
      <c r="AW1350" s="4"/>
      <c r="AX1350" s="4"/>
      <c r="AY1350" s="4"/>
      <c r="AZ1350" s="4"/>
      <c r="BA1350" s="4"/>
      <c r="BB1350" s="4"/>
      <c r="BC1350" s="4"/>
      <c r="BD1350" s="4"/>
      <c r="BE1350" s="4"/>
    </row>
    <row r="1351" spans="2:57" x14ac:dyDescent="0.3">
      <c r="B1351" s="6" t="s">
        <v>1374</v>
      </c>
      <c r="C1351" s="6">
        <v>54</v>
      </c>
      <c r="D1351" s="6" t="s">
        <v>12</v>
      </c>
      <c r="E1351" s="6" t="s">
        <v>15</v>
      </c>
      <c r="F1351" s="6" t="s">
        <v>39</v>
      </c>
      <c r="G1351" s="19">
        <v>17426</v>
      </c>
      <c r="H1351" s="11">
        <v>10</v>
      </c>
      <c r="I1351" s="6">
        <v>3</v>
      </c>
      <c r="J1351" s="6" t="s">
        <v>14</v>
      </c>
      <c r="K1351" s="5" t="s">
        <v>14</v>
      </c>
      <c r="L1351" s="3" t="str">
        <f>IF(Table1[[#This Row],[Monthly Income]]&lt;3000,"Low",IF(Table1[[#This Row],[Monthly Income]]&lt;7000,"Medium","High"))</f>
        <v>High</v>
      </c>
      <c r="AK1351" s="6"/>
      <c r="AL1351" s="6"/>
      <c r="AM1351" s="6"/>
      <c r="AN1351" s="6"/>
      <c r="AO1351" s="6"/>
      <c r="AP1351" s="6"/>
      <c r="AQ1351" s="6"/>
      <c r="AR1351" s="6"/>
      <c r="AS1351" s="6"/>
      <c r="AU1351" s="6"/>
      <c r="AV1351" s="6"/>
      <c r="AW1351" s="6"/>
      <c r="AX1351" s="6"/>
      <c r="AY1351" s="6"/>
      <c r="AZ1351" s="6"/>
      <c r="BA1351" s="6"/>
      <c r="BB1351" s="6"/>
      <c r="BC1351" s="6"/>
      <c r="BD1351" s="6"/>
      <c r="BE1351" s="6"/>
    </row>
    <row r="1352" spans="2:57" x14ac:dyDescent="0.3">
      <c r="B1352" s="4" t="s">
        <v>1375</v>
      </c>
      <c r="C1352" s="4">
        <v>49</v>
      </c>
      <c r="D1352" s="4" t="s">
        <v>12</v>
      </c>
      <c r="E1352" s="4" t="s">
        <v>15</v>
      </c>
      <c r="F1352" s="4" t="s">
        <v>20</v>
      </c>
      <c r="G1352" s="18">
        <v>4789</v>
      </c>
      <c r="H1352" s="10">
        <v>3</v>
      </c>
      <c r="I1352" s="4">
        <v>1</v>
      </c>
      <c r="J1352" s="4" t="s">
        <v>14</v>
      </c>
      <c r="K1352" s="3" t="s">
        <v>14</v>
      </c>
      <c r="L1352" s="3" t="str">
        <f>IF(Table1[[#This Row],[Monthly Income]]&lt;3000,"Low",IF(Table1[[#This Row],[Monthly Income]]&lt;7000,"Medium","High"))</f>
        <v>Medium</v>
      </c>
      <c r="AK1352" s="4"/>
      <c r="AL1352" s="4"/>
      <c r="AM1352" s="4"/>
      <c r="AN1352" s="4"/>
      <c r="AO1352" s="4"/>
      <c r="AP1352" s="4"/>
      <c r="AQ1352" s="4"/>
      <c r="AR1352" s="4"/>
      <c r="AS1352" s="4"/>
      <c r="AU1352" s="4"/>
      <c r="AV1352" s="4"/>
      <c r="AW1352" s="4"/>
      <c r="AX1352" s="4"/>
      <c r="AY1352" s="4"/>
      <c r="AZ1352" s="4"/>
      <c r="BA1352" s="4"/>
      <c r="BB1352" s="4"/>
      <c r="BC1352" s="4"/>
      <c r="BD1352" s="4"/>
      <c r="BE1352" s="4"/>
    </row>
    <row r="1353" spans="2:57" x14ac:dyDescent="0.3">
      <c r="B1353" s="6" t="s">
        <v>1376</v>
      </c>
      <c r="C1353" s="6">
        <v>28</v>
      </c>
      <c r="D1353" s="6" t="s">
        <v>12</v>
      </c>
      <c r="E1353" s="6" t="s">
        <v>15</v>
      </c>
      <c r="F1353" s="6" t="s">
        <v>18</v>
      </c>
      <c r="G1353" s="19">
        <v>3591</v>
      </c>
      <c r="H1353" s="11">
        <v>3</v>
      </c>
      <c r="I1353" s="6">
        <v>1</v>
      </c>
      <c r="J1353" s="6" t="s">
        <v>14</v>
      </c>
      <c r="K1353" s="5" t="s">
        <v>14</v>
      </c>
      <c r="L1353" s="3" t="str">
        <f>IF(Table1[[#This Row],[Monthly Income]]&lt;3000,"Low",IF(Table1[[#This Row],[Monthly Income]]&lt;7000,"Medium","High"))</f>
        <v>Medium</v>
      </c>
      <c r="AK1353" s="6"/>
      <c r="AL1353" s="6"/>
      <c r="AM1353" s="6"/>
      <c r="AN1353" s="6"/>
      <c r="AO1353" s="6"/>
      <c r="AP1353" s="6"/>
      <c r="AQ1353" s="6"/>
      <c r="AR1353" s="6"/>
      <c r="AS1353" s="6"/>
      <c r="AU1353" s="6"/>
      <c r="AV1353" s="6"/>
      <c r="AW1353" s="6"/>
      <c r="AX1353" s="6"/>
      <c r="AY1353" s="6"/>
      <c r="AZ1353" s="6"/>
      <c r="BA1353" s="6"/>
      <c r="BB1353" s="6"/>
      <c r="BC1353" s="6"/>
      <c r="BD1353" s="6"/>
      <c r="BE1353" s="6"/>
    </row>
    <row r="1354" spans="2:57" x14ac:dyDescent="0.3">
      <c r="B1354" s="4" t="s">
        <v>1377</v>
      </c>
      <c r="C1354" s="4">
        <v>27</v>
      </c>
      <c r="D1354" s="4" t="s">
        <v>12</v>
      </c>
      <c r="E1354" s="4" t="s">
        <v>10</v>
      </c>
      <c r="F1354" s="4" t="s">
        <v>43</v>
      </c>
      <c r="G1354" s="18">
        <v>3540</v>
      </c>
      <c r="H1354" s="10">
        <v>9</v>
      </c>
      <c r="I1354" s="4">
        <v>3</v>
      </c>
      <c r="J1354" s="4" t="s">
        <v>14</v>
      </c>
      <c r="K1354" s="3" t="s">
        <v>14</v>
      </c>
      <c r="L1354" s="3" t="str">
        <f>IF(Table1[[#This Row],[Monthly Income]]&lt;3000,"Low",IF(Table1[[#This Row],[Monthly Income]]&lt;7000,"Medium","High"))</f>
        <v>Medium</v>
      </c>
      <c r="AK1354" s="4"/>
      <c r="AL1354" s="4"/>
      <c r="AM1354" s="4"/>
      <c r="AN1354" s="4"/>
      <c r="AO1354" s="4"/>
      <c r="AP1354" s="4"/>
      <c r="AQ1354" s="4"/>
      <c r="AR1354" s="4"/>
      <c r="AS1354" s="4"/>
      <c r="AU1354" s="4"/>
      <c r="AV1354" s="4"/>
      <c r="AW1354" s="4"/>
      <c r="AX1354" s="4"/>
      <c r="AY1354" s="4"/>
      <c r="AZ1354" s="4"/>
      <c r="BA1354" s="4"/>
      <c r="BB1354" s="4"/>
      <c r="BC1354" s="4"/>
      <c r="BD1354" s="4"/>
      <c r="BE1354" s="4"/>
    </row>
    <row r="1355" spans="2:57" x14ac:dyDescent="0.3">
      <c r="B1355" s="6" t="s">
        <v>1378</v>
      </c>
      <c r="C1355" s="6">
        <v>41</v>
      </c>
      <c r="D1355" s="6" t="s">
        <v>12</v>
      </c>
      <c r="E1355" s="6" t="s">
        <v>10</v>
      </c>
      <c r="F1355" s="6" t="s">
        <v>13</v>
      </c>
      <c r="G1355" s="19">
        <v>4393</v>
      </c>
      <c r="H1355" s="11">
        <v>5</v>
      </c>
      <c r="I1355" s="6">
        <v>2</v>
      </c>
      <c r="J1355" s="6" t="s">
        <v>14</v>
      </c>
      <c r="K1355" s="5" t="s">
        <v>14</v>
      </c>
      <c r="L1355" s="3" t="str">
        <f>IF(Table1[[#This Row],[Monthly Income]]&lt;3000,"Low",IF(Table1[[#This Row],[Monthly Income]]&lt;7000,"Medium","High"))</f>
        <v>Medium</v>
      </c>
      <c r="AK1355" s="6"/>
      <c r="AL1355" s="6"/>
      <c r="AM1355" s="6"/>
      <c r="AN1355" s="6"/>
      <c r="AO1355" s="6"/>
      <c r="AP1355" s="6"/>
      <c r="AQ1355" s="6"/>
      <c r="AR1355" s="6"/>
      <c r="AS1355" s="6"/>
      <c r="AU1355" s="6"/>
      <c r="AV1355" s="6"/>
      <c r="AW1355" s="6"/>
      <c r="AX1355" s="6"/>
      <c r="AY1355" s="6"/>
      <c r="AZ1355" s="6"/>
      <c r="BA1355" s="6"/>
      <c r="BB1355" s="6"/>
      <c r="BC1355" s="6"/>
      <c r="BD1355" s="6"/>
      <c r="BE1355" s="6"/>
    </row>
    <row r="1356" spans="2:57" x14ac:dyDescent="0.3">
      <c r="B1356" s="4" t="s">
        <v>1379</v>
      </c>
      <c r="C1356" s="4">
        <v>35</v>
      </c>
      <c r="D1356" s="4" t="s">
        <v>12</v>
      </c>
      <c r="E1356" s="4" t="s">
        <v>10</v>
      </c>
      <c r="F1356" s="4" t="s">
        <v>43</v>
      </c>
      <c r="G1356" s="18">
        <v>2430</v>
      </c>
      <c r="H1356" s="10">
        <v>5</v>
      </c>
      <c r="I1356" s="4">
        <v>3</v>
      </c>
      <c r="J1356" s="4" t="s">
        <v>14</v>
      </c>
      <c r="K1356" s="3" t="s">
        <v>14</v>
      </c>
      <c r="L1356" s="3" t="str">
        <f>IF(Table1[[#This Row],[Monthly Income]]&lt;3000,"Low",IF(Table1[[#This Row],[Monthly Income]]&lt;7000,"Medium","High"))</f>
        <v>Low</v>
      </c>
      <c r="AK1356" s="4"/>
      <c r="AL1356" s="4"/>
      <c r="AM1356" s="4"/>
      <c r="AN1356" s="4"/>
      <c r="AO1356" s="4"/>
      <c r="AP1356" s="4"/>
      <c r="AQ1356" s="4"/>
      <c r="AR1356" s="4"/>
      <c r="AS1356" s="4"/>
      <c r="AU1356" s="4"/>
      <c r="AV1356" s="4"/>
      <c r="AW1356" s="4"/>
      <c r="AX1356" s="4"/>
      <c r="AY1356" s="4"/>
      <c r="AZ1356" s="4"/>
      <c r="BA1356" s="4"/>
      <c r="BB1356" s="4"/>
      <c r="BC1356" s="4"/>
      <c r="BD1356" s="4"/>
      <c r="BE1356" s="4"/>
    </row>
    <row r="1357" spans="2:57" x14ac:dyDescent="0.3">
      <c r="B1357" s="6" t="s">
        <v>1380</v>
      </c>
      <c r="C1357" s="6">
        <v>34</v>
      </c>
      <c r="D1357" s="6" t="s">
        <v>12</v>
      </c>
      <c r="E1357" s="6" t="s">
        <v>10</v>
      </c>
      <c r="F1357" s="6" t="s">
        <v>13</v>
      </c>
      <c r="G1357" s="19">
        <v>6712</v>
      </c>
      <c r="H1357" s="11">
        <v>8</v>
      </c>
      <c r="I1357" s="6">
        <v>3</v>
      </c>
      <c r="J1357" s="6" t="s">
        <v>14</v>
      </c>
      <c r="K1357" s="5" t="s">
        <v>14</v>
      </c>
      <c r="L1357" s="3" t="str">
        <f>IF(Table1[[#This Row],[Monthly Income]]&lt;3000,"Low",IF(Table1[[#This Row],[Monthly Income]]&lt;7000,"Medium","High"))</f>
        <v>Medium</v>
      </c>
      <c r="AK1357" s="6"/>
      <c r="AL1357" s="6"/>
      <c r="AM1357" s="6"/>
      <c r="AN1357" s="6"/>
      <c r="AO1357" s="6"/>
      <c r="AP1357" s="6"/>
      <c r="AQ1357" s="6"/>
      <c r="AR1357" s="6"/>
      <c r="AS1357" s="6"/>
      <c r="AU1357" s="6"/>
      <c r="AV1357" s="6"/>
      <c r="AW1357" s="6"/>
      <c r="AX1357" s="6"/>
      <c r="AY1357" s="6"/>
      <c r="AZ1357" s="6"/>
      <c r="BA1357" s="6"/>
      <c r="BB1357" s="6"/>
      <c r="BC1357" s="6"/>
      <c r="BD1357" s="6"/>
      <c r="BE1357" s="6"/>
    </row>
    <row r="1358" spans="2:57" x14ac:dyDescent="0.3">
      <c r="B1358" s="4" t="s">
        <v>1381</v>
      </c>
      <c r="C1358" s="4">
        <v>56</v>
      </c>
      <c r="D1358" s="4" t="s">
        <v>17</v>
      </c>
      <c r="E1358" s="4" t="s">
        <v>15</v>
      </c>
      <c r="F1358" s="4" t="s">
        <v>29</v>
      </c>
      <c r="G1358" s="18">
        <v>6306</v>
      </c>
      <c r="H1358" s="10">
        <v>13</v>
      </c>
      <c r="I1358" s="4">
        <v>3</v>
      </c>
      <c r="J1358" s="4" t="s">
        <v>14</v>
      </c>
      <c r="K1358" s="3" t="s">
        <v>14</v>
      </c>
      <c r="L1358" s="3" t="str">
        <f>IF(Table1[[#This Row],[Monthly Income]]&lt;3000,"Low",IF(Table1[[#This Row],[Monthly Income]]&lt;7000,"Medium","High"))</f>
        <v>Medium</v>
      </c>
      <c r="AK1358" s="4"/>
      <c r="AL1358" s="4"/>
      <c r="AM1358" s="4"/>
      <c r="AN1358" s="4"/>
      <c r="AO1358" s="4"/>
      <c r="AP1358" s="4"/>
      <c r="AQ1358" s="4"/>
      <c r="AR1358" s="4"/>
      <c r="AS1358" s="4"/>
      <c r="AU1358" s="4"/>
      <c r="AV1358" s="4"/>
      <c r="AW1358" s="4"/>
      <c r="AX1358" s="4"/>
      <c r="AY1358" s="4"/>
      <c r="AZ1358" s="4"/>
      <c r="BA1358" s="4"/>
      <c r="BB1358" s="4"/>
      <c r="BC1358" s="4"/>
      <c r="BD1358" s="4"/>
      <c r="BE1358" s="4"/>
    </row>
    <row r="1359" spans="2:57" x14ac:dyDescent="0.3">
      <c r="B1359" s="6" t="s">
        <v>1382</v>
      </c>
      <c r="C1359" s="6">
        <v>36</v>
      </c>
      <c r="D1359" s="6" t="s">
        <v>17</v>
      </c>
      <c r="E1359" s="6" t="s">
        <v>15</v>
      </c>
      <c r="F1359" s="6" t="s">
        <v>20</v>
      </c>
      <c r="G1359" s="19">
        <v>2810</v>
      </c>
      <c r="H1359" s="11">
        <v>5</v>
      </c>
      <c r="I1359" s="6">
        <v>2</v>
      </c>
      <c r="J1359" s="6" t="s">
        <v>14</v>
      </c>
      <c r="K1359" s="5" t="s">
        <v>14</v>
      </c>
      <c r="L1359" s="3" t="str">
        <f>IF(Table1[[#This Row],[Monthly Income]]&lt;3000,"Low",IF(Table1[[#This Row],[Monthly Income]]&lt;7000,"Medium","High"))</f>
        <v>Low</v>
      </c>
      <c r="AK1359" s="6"/>
      <c r="AL1359" s="6"/>
      <c r="AM1359" s="6"/>
      <c r="AN1359" s="6"/>
      <c r="AO1359" s="6"/>
      <c r="AP1359" s="6"/>
      <c r="AQ1359" s="6"/>
      <c r="AR1359" s="6"/>
      <c r="AS1359" s="6"/>
      <c r="AU1359" s="6"/>
      <c r="AV1359" s="6"/>
      <c r="AW1359" s="6"/>
      <c r="AX1359" s="6"/>
      <c r="AY1359" s="6"/>
      <c r="AZ1359" s="6"/>
      <c r="BA1359" s="6"/>
      <c r="BB1359" s="6"/>
      <c r="BC1359" s="6"/>
      <c r="BD1359" s="6"/>
      <c r="BE1359" s="6"/>
    </row>
    <row r="1360" spans="2:57" x14ac:dyDescent="0.3">
      <c r="B1360" s="4" t="s">
        <v>1383</v>
      </c>
      <c r="C1360" s="4">
        <v>45</v>
      </c>
      <c r="D1360" s="4" t="s">
        <v>17</v>
      </c>
      <c r="E1360" s="4" t="s">
        <v>15</v>
      </c>
      <c r="F1360" s="4" t="s">
        <v>29</v>
      </c>
      <c r="G1360" s="18">
        <v>10748</v>
      </c>
      <c r="H1360" s="10">
        <v>23</v>
      </c>
      <c r="I1360" s="4">
        <v>3</v>
      </c>
      <c r="J1360" s="4" t="s">
        <v>14</v>
      </c>
      <c r="K1360" s="3" t="s">
        <v>14</v>
      </c>
      <c r="L1360" s="3" t="str">
        <f>IF(Table1[[#This Row],[Monthly Income]]&lt;3000,"Low",IF(Table1[[#This Row],[Monthly Income]]&lt;7000,"Medium","High"))</f>
        <v>High</v>
      </c>
      <c r="AK1360" s="4"/>
      <c r="AL1360" s="4"/>
      <c r="AM1360" s="4"/>
      <c r="AN1360" s="4"/>
      <c r="AO1360" s="4"/>
      <c r="AP1360" s="4"/>
      <c r="AQ1360" s="4"/>
      <c r="AR1360" s="4"/>
      <c r="AS1360" s="4"/>
      <c r="AU1360" s="4"/>
      <c r="AV1360" s="4"/>
      <c r="AW1360" s="4"/>
      <c r="AX1360" s="4"/>
      <c r="AY1360" s="4"/>
      <c r="AZ1360" s="4"/>
      <c r="BA1360" s="4"/>
      <c r="BB1360" s="4"/>
      <c r="BC1360" s="4"/>
      <c r="BD1360" s="4"/>
      <c r="BE1360" s="4"/>
    </row>
    <row r="1361" spans="2:57" x14ac:dyDescent="0.3">
      <c r="B1361" s="6" t="s">
        <v>1384</v>
      </c>
      <c r="C1361" s="6">
        <v>42</v>
      </c>
      <c r="D1361" s="6" t="s">
        <v>17</v>
      </c>
      <c r="E1361" s="6" t="s">
        <v>15</v>
      </c>
      <c r="F1361" s="6" t="s">
        <v>18</v>
      </c>
      <c r="G1361" s="19">
        <v>2936</v>
      </c>
      <c r="H1361" s="11">
        <v>6</v>
      </c>
      <c r="I1361" s="6">
        <v>3</v>
      </c>
      <c r="J1361" s="6" t="s">
        <v>14</v>
      </c>
      <c r="K1361" s="5" t="s">
        <v>14</v>
      </c>
      <c r="L1361" s="3" t="str">
        <f>IF(Table1[[#This Row],[Monthly Income]]&lt;3000,"Low",IF(Table1[[#This Row],[Monthly Income]]&lt;7000,"Medium","High"))</f>
        <v>Low</v>
      </c>
      <c r="AK1361" s="6"/>
      <c r="AL1361" s="6"/>
      <c r="AM1361" s="6"/>
      <c r="AN1361" s="6"/>
      <c r="AO1361" s="6"/>
      <c r="AP1361" s="6"/>
      <c r="AQ1361" s="6"/>
      <c r="AR1361" s="6"/>
      <c r="AS1361" s="6"/>
      <c r="AU1361" s="6"/>
      <c r="AV1361" s="6"/>
      <c r="AW1361" s="6"/>
      <c r="AX1361" s="6"/>
      <c r="AY1361" s="6"/>
      <c r="AZ1361" s="6"/>
      <c r="BA1361" s="6"/>
      <c r="BB1361" s="6"/>
      <c r="BC1361" s="6"/>
      <c r="BD1361" s="6"/>
      <c r="BE1361" s="6"/>
    </row>
    <row r="1362" spans="2:57" x14ac:dyDescent="0.3">
      <c r="B1362" s="4" t="s">
        <v>1385</v>
      </c>
      <c r="C1362" s="4">
        <v>26</v>
      </c>
      <c r="D1362" s="4" t="s">
        <v>17</v>
      </c>
      <c r="E1362" s="4" t="s">
        <v>15</v>
      </c>
      <c r="F1362" s="4" t="s">
        <v>20</v>
      </c>
      <c r="G1362" s="18">
        <v>2570</v>
      </c>
      <c r="H1362" s="10">
        <v>7</v>
      </c>
      <c r="I1362" s="4">
        <v>4</v>
      </c>
      <c r="J1362" s="4" t="s">
        <v>14</v>
      </c>
      <c r="K1362" s="3" t="s">
        <v>14</v>
      </c>
      <c r="L1362" s="3" t="str">
        <f>IF(Table1[[#This Row],[Monthly Income]]&lt;3000,"Low",IF(Table1[[#This Row],[Monthly Income]]&lt;7000,"Medium","High"))</f>
        <v>Low</v>
      </c>
      <c r="AK1362" s="4"/>
      <c r="AL1362" s="4"/>
      <c r="AM1362" s="4"/>
      <c r="AN1362" s="4"/>
      <c r="AO1362" s="4"/>
      <c r="AP1362" s="4"/>
      <c r="AQ1362" s="4"/>
      <c r="AR1362" s="4"/>
      <c r="AS1362" s="4"/>
      <c r="AU1362" s="4"/>
      <c r="AV1362" s="4"/>
      <c r="AW1362" s="4"/>
      <c r="AX1362" s="4"/>
      <c r="AY1362" s="4"/>
      <c r="AZ1362" s="4"/>
      <c r="BA1362" s="4"/>
      <c r="BB1362" s="4"/>
      <c r="BC1362" s="4"/>
      <c r="BD1362" s="4"/>
      <c r="BE1362" s="4"/>
    </row>
    <row r="1363" spans="2:57" x14ac:dyDescent="0.3">
      <c r="B1363" s="6" t="s">
        <v>1386</v>
      </c>
      <c r="C1363" s="6">
        <v>58</v>
      </c>
      <c r="D1363" s="6" t="s">
        <v>17</v>
      </c>
      <c r="E1363" s="6" t="s">
        <v>10</v>
      </c>
      <c r="F1363" s="6" t="s">
        <v>39</v>
      </c>
      <c r="G1363" s="19">
        <v>16291</v>
      </c>
      <c r="H1363" s="11">
        <v>16</v>
      </c>
      <c r="I1363" s="6">
        <v>2</v>
      </c>
      <c r="J1363" s="6" t="s">
        <v>14</v>
      </c>
      <c r="K1363" s="5" t="s">
        <v>14</v>
      </c>
      <c r="L1363" s="3" t="str">
        <f>IF(Table1[[#This Row],[Monthly Income]]&lt;3000,"Low",IF(Table1[[#This Row],[Monthly Income]]&lt;7000,"Medium","High"))</f>
        <v>High</v>
      </c>
      <c r="AK1363" s="6"/>
      <c r="AL1363" s="6"/>
      <c r="AM1363" s="6"/>
      <c r="AN1363" s="6"/>
      <c r="AO1363" s="6"/>
      <c r="AP1363" s="6"/>
      <c r="AQ1363" s="6"/>
      <c r="AR1363" s="6"/>
      <c r="AS1363" s="6"/>
      <c r="AU1363" s="6"/>
      <c r="AV1363" s="6"/>
      <c r="AW1363" s="6"/>
      <c r="AX1363" s="6"/>
      <c r="AY1363" s="6"/>
      <c r="AZ1363" s="6"/>
      <c r="BA1363" s="6"/>
      <c r="BB1363" s="6"/>
      <c r="BC1363" s="6"/>
      <c r="BD1363" s="6"/>
      <c r="BE1363" s="6"/>
    </row>
    <row r="1364" spans="2:57" x14ac:dyDescent="0.3">
      <c r="B1364" s="4" t="s">
        <v>1387</v>
      </c>
      <c r="C1364" s="4">
        <v>36</v>
      </c>
      <c r="D1364" s="4" t="s">
        <v>17</v>
      </c>
      <c r="E1364" s="4" t="s">
        <v>10</v>
      </c>
      <c r="F1364" s="4" t="s">
        <v>13</v>
      </c>
      <c r="G1364" s="18">
        <v>5406</v>
      </c>
      <c r="H1364" s="10">
        <v>15</v>
      </c>
      <c r="I1364" s="4">
        <v>4</v>
      </c>
      <c r="J1364" s="4" t="s">
        <v>14</v>
      </c>
      <c r="K1364" s="3" t="s">
        <v>14</v>
      </c>
      <c r="L1364" s="3" t="str">
        <f>IF(Table1[[#This Row],[Monthly Income]]&lt;3000,"Low",IF(Table1[[#This Row],[Monthly Income]]&lt;7000,"Medium","High"))</f>
        <v>Medium</v>
      </c>
      <c r="AK1364" s="4"/>
      <c r="AL1364" s="4"/>
      <c r="AM1364" s="4"/>
      <c r="AN1364" s="4"/>
      <c r="AO1364" s="4"/>
      <c r="AP1364" s="4"/>
      <c r="AQ1364" s="4"/>
      <c r="AR1364" s="4"/>
      <c r="AS1364" s="4"/>
      <c r="AU1364" s="4"/>
      <c r="AV1364" s="4"/>
      <c r="AW1364" s="4"/>
      <c r="AX1364" s="4"/>
      <c r="AY1364" s="4"/>
      <c r="AZ1364" s="4"/>
      <c r="BA1364" s="4"/>
      <c r="BB1364" s="4"/>
      <c r="BC1364" s="4"/>
      <c r="BD1364" s="4"/>
      <c r="BE1364" s="4"/>
    </row>
    <row r="1365" spans="2:57" x14ac:dyDescent="0.3">
      <c r="B1365" s="6" t="s">
        <v>1388</v>
      </c>
      <c r="C1365" s="6">
        <v>36</v>
      </c>
      <c r="D1365" s="6" t="s">
        <v>17</v>
      </c>
      <c r="E1365" s="6" t="s">
        <v>102</v>
      </c>
      <c r="F1365" s="6" t="s">
        <v>104</v>
      </c>
      <c r="G1365" s="19">
        <v>3886</v>
      </c>
      <c r="H1365" s="11">
        <v>10</v>
      </c>
      <c r="I1365" s="6">
        <v>4</v>
      </c>
      <c r="J1365" s="6" t="s">
        <v>14</v>
      </c>
      <c r="K1365" s="5" t="s">
        <v>14</v>
      </c>
      <c r="L1365" s="3" t="str">
        <f>IF(Table1[[#This Row],[Monthly Income]]&lt;3000,"Low",IF(Table1[[#This Row],[Monthly Income]]&lt;7000,"Medium","High"))</f>
        <v>Medium</v>
      </c>
      <c r="AK1365" s="6"/>
      <c r="AL1365" s="6"/>
      <c r="AM1365" s="6"/>
      <c r="AN1365" s="6"/>
      <c r="AO1365" s="6"/>
      <c r="AP1365" s="6"/>
      <c r="AQ1365" s="6"/>
      <c r="AR1365" s="6"/>
      <c r="AS1365" s="6"/>
      <c r="AU1365" s="6"/>
      <c r="AV1365" s="6"/>
      <c r="AW1365" s="6"/>
      <c r="AX1365" s="6"/>
      <c r="AY1365" s="6"/>
      <c r="AZ1365" s="6"/>
      <c r="BA1365" s="6"/>
      <c r="BB1365" s="6"/>
      <c r="BC1365" s="6"/>
      <c r="BD1365" s="6"/>
      <c r="BE1365" s="6"/>
    </row>
    <row r="1366" spans="2:57" x14ac:dyDescent="0.3">
      <c r="B1366" s="4" t="s">
        <v>1389</v>
      </c>
      <c r="C1366" s="4">
        <v>33</v>
      </c>
      <c r="D1366" s="4" t="s">
        <v>17</v>
      </c>
      <c r="E1366" s="4" t="s">
        <v>15</v>
      </c>
      <c r="F1366" s="4" t="s">
        <v>29</v>
      </c>
      <c r="G1366" s="18">
        <v>5968</v>
      </c>
      <c r="H1366" s="10">
        <v>9</v>
      </c>
      <c r="I1366" s="4">
        <v>3</v>
      </c>
      <c r="J1366" s="4" t="s">
        <v>14</v>
      </c>
      <c r="K1366" s="3" t="s">
        <v>14</v>
      </c>
      <c r="L1366" s="3" t="str">
        <f>IF(Table1[[#This Row],[Monthly Income]]&lt;3000,"Low",IF(Table1[[#This Row],[Monthly Income]]&lt;7000,"Medium","High"))</f>
        <v>Medium</v>
      </c>
      <c r="AK1366" s="4"/>
      <c r="AL1366" s="4"/>
      <c r="AM1366" s="4"/>
      <c r="AN1366" s="4"/>
      <c r="AO1366" s="4"/>
      <c r="AP1366" s="4"/>
      <c r="AQ1366" s="4"/>
      <c r="AR1366" s="4"/>
      <c r="AS1366" s="4"/>
      <c r="AU1366" s="4"/>
      <c r="AV1366" s="4"/>
      <c r="AW1366" s="4"/>
      <c r="AX1366" s="4"/>
      <c r="AY1366" s="4"/>
      <c r="AZ1366" s="4"/>
      <c r="BA1366" s="4"/>
      <c r="BB1366" s="4"/>
      <c r="BC1366" s="4"/>
      <c r="BD1366" s="4"/>
      <c r="BE1366" s="4"/>
    </row>
    <row r="1367" spans="2:57" x14ac:dyDescent="0.3">
      <c r="B1367" s="6" t="s">
        <v>1390</v>
      </c>
      <c r="C1367" s="6">
        <v>31</v>
      </c>
      <c r="D1367" s="6" t="s">
        <v>17</v>
      </c>
      <c r="E1367" s="6" t="s">
        <v>15</v>
      </c>
      <c r="F1367" s="6" t="s">
        <v>18</v>
      </c>
      <c r="G1367" s="19">
        <v>5003</v>
      </c>
      <c r="H1367" s="11">
        <v>10</v>
      </c>
      <c r="I1367" s="6">
        <v>1</v>
      </c>
      <c r="J1367" s="6" t="s">
        <v>14</v>
      </c>
      <c r="K1367" s="5" t="s">
        <v>14</v>
      </c>
      <c r="L1367" s="3" t="str">
        <f>IF(Table1[[#This Row],[Monthly Income]]&lt;3000,"Low",IF(Table1[[#This Row],[Monthly Income]]&lt;7000,"Medium","High"))</f>
        <v>Medium</v>
      </c>
      <c r="AK1367" s="6"/>
      <c r="AL1367" s="6"/>
      <c r="AM1367" s="6"/>
      <c r="AN1367" s="6"/>
      <c r="AO1367" s="6"/>
      <c r="AP1367" s="6"/>
      <c r="AQ1367" s="6"/>
      <c r="AR1367" s="6"/>
      <c r="AS1367" s="6"/>
      <c r="AU1367" s="6"/>
      <c r="AV1367" s="6"/>
      <c r="AW1367" s="6"/>
      <c r="AX1367" s="6"/>
      <c r="AY1367" s="6"/>
      <c r="AZ1367" s="6"/>
      <c r="BA1367" s="6"/>
      <c r="BB1367" s="6"/>
      <c r="BC1367" s="6"/>
      <c r="BD1367" s="6"/>
      <c r="BE1367" s="6"/>
    </row>
    <row r="1368" spans="2:57" x14ac:dyDescent="0.3">
      <c r="B1368" s="4" t="s">
        <v>1391</v>
      </c>
      <c r="C1368" s="4">
        <v>48</v>
      </c>
      <c r="D1368" s="4" t="s">
        <v>17</v>
      </c>
      <c r="E1368" s="4" t="s">
        <v>15</v>
      </c>
      <c r="F1368" s="4" t="s">
        <v>39</v>
      </c>
      <c r="G1368" s="18">
        <v>15202</v>
      </c>
      <c r="H1368" s="10">
        <v>2</v>
      </c>
      <c r="I1368" s="4">
        <v>4</v>
      </c>
      <c r="J1368" s="4" t="s">
        <v>14</v>
      </c>
      <c r="K1368" s="3" t="s">
        <v>14</v>
      </c>
      <c r="L1368" s="3" t="str">
        <f>IF(Table1[[#This Row],[Monthly Income]]&lt;3000,"Low",IF(Table1[[#This Row],[Monthly Income]]&lt;7000,"Medium","High"))</f>
        <v>High</v>
      </c>
      <c r="AK1368" s="4"/>
      <c r="AL1368" s="4"/>
      <c r="AM1368" s="4"/>
      <c r="AN1368" s="4"/>
      <c r="AO1368" s="4"/>
      <c r="AP1368" s="4"/>
      <c r="AQ1368" s="4"/>
      <c r="AR1368" s="4"/>
      <c r="AS1368" s="4"/>
      <c r="AU1368" s="4"/>
      <c r="AV1368" s="4"/>
      <c r="AW1368" s="4"/>
      <c r="AX1368" s="4"/>
      <c r="AY1368" s="4"/>
      <c r="AZ1368" s="4"/>
      <c r="BA1368" s="4"/>
      <c r="BB1368" s="4"/>
      <c r="BC1368" s="4"/>
      <c r="BD1368" s="4"/>
      <c r="BE1368" s="4"/>
    </row>
    <row r="1369" spans="2:57" x14ac:dyDescent="0.3">
      <c r="B1369" s="6" t="s">
        <v>1392</v>
      </c>
      <c r="C1369" s="6">
        <v>43</v>
      </c>
      <c r="D1369" s="6" t="s">
        <v>17</v>
      </c>
      <c r="E1369" s="6" t="s">
        <v>10</v>
      </c>
      <c r="F1369" s="6" t="s">
        <v>13</v>
      </c>
      <c r="G1369" s="19">
        <v>5675</v>
      </c>
      <c r="H1369" s="11">
        <v>7</v>
      </c>
      <c r="I1369" s="6">
        <v>4</v>
      </c>
      <c r="J1369" s="6" t="s">
        <v>14</v>
      </c>
      <c r="K1369" s="5" t="s">
        <v>14</v>
      </c>
      <c r="L1369" s="3" t="str">
        <f>IF(Table1[[#This Row],[Monthly Income]]&lt;3000,"Low",IF(Table1[[#This Row],[Monthly Income]]&lt;7000,"Medium","High"))</f>
        <v>Medium</v>
      </c>
      <c r="AK1369" s="6"/>
      <c r="AL1369" s="6"/>
      <c r="AM1369" s="6"/>
      <c r="AN1369" s="6"/>
      <c r="AO1369" s="6"/>
      <c r="AP1369" s="6"/>
      <c r="AQ1369" s="6"/>
      <c r="AR1369" s="6"/>
      <c r="AS1369" s="6"/>
      <c r="AU1369" s="6"/>
      <c r="AV1369" s="6"/>
      <c r="AW1369" s="6"/>
      <c r="AX1369" s="6"/>
      <c r="AY1369" s="6"/>
      <c r="AZ1369" s="6"/>
      <c r="BA1369" s="6"/>
      <c r="BB1369" s="6"/>
      <c r="BC1369" s="6"/>
      <c r="BD1369" s="6"/>
      <c r="BE1369" s="6"/>
    </row>
    <row r="1370" spans="2:57" x14ac:dyDescent="0.3">
      <c r="B1370" s="4" t="s">
        <v>1393</v>
      </c>
      <c r="C1370" s="4">
        <v>30</v>
      </c>
      <c r="D1370" s="4" t="s">
        <v>17</v>
      </c>
      <c r="E1370" s="4" t="s">
        <v>102</v>
      </c>
      <c r="F1370" s="4" t="s">
        <v>104</v>
      </c>
      <c r="G1370" s="18">
        <v>2064</v>
      </c>
      <c r="H1370" s="10">
        <v>5</v>
      </c>
      <c r="I1370" s="4">
        <v>3</v>
      </c>
      <c r="J1370" s="4" t="s">
        <v>14</v>
      </c>
      <c r="K1370" s="3" t="s">
        <v>14</v>
      </c>
      <c r="L1370" s="3" t="str">
        <f>IF(Table1[[#This Row],[Monthly Income]]&lt;3000,"Low",IF(Table1[[#This Row],[Monthly Income]]&lt;7000,"Medium","High"))</f>
        <v>Low</v>
      </c>
      <c r="AK1370" s="4"/>
      <c r="AL1370" s="4"/>
      <c r="AM1370" s="4"/>
      <c r="AN1370" s="4"/>
      <c r="AO1370" s="4"/>
      <c r="AP1370" s="4"/>
      <c r="AQ1370" s="4"/>
      <c r="AR1370" s="4"/>
      <c r="AS1370" s="4"/>
      <c r="AU1370" s="4"/>
      <c r="AV1370" s="4"/>
      <c r="AW1370" s="4"/>
      <c r="AX1370" s="4"/>
      <c r="AY1370" s="4"/>
      <c r="AZ1370" s="4"/>
      <c r="BA1370" s="4"/>
      <c r="BB1370" s="4"/>
      <c r="BC1370" s="4"/>
      <c r="BD1370" s="4"/>
      <c r="BE1370" s="4"/>
    </row>
    <row r="1371" spans="2:57" x14ac:dyDescent="0.3">
      <c r="B1371" s="6" t="s">
        <v>1394</v>
      </c>
      <c r="C1371" s="6">
        <v>60</v>
      </c>
      <c r="D1371" s="6" t="s">
        <v>17</v>
      </c>
      <c r="E1371" s="6" t="s">
        <v>15</v>
      </c>
      <c r="F1371" s="6" t="s">
        <v>29</v>
      </c>
      <c r="G1371" s="19">
        <v>10883</v>
      </c>
      <c r="H1371" s="11">
        <v>1</v>
      </c>
      <c r="I1371" s="6">
        <v>4</v>
      </c>
      <c r="J1371" s="6" t="s">
        <v>14</v>
      </c>
      <c r="K1371" s="5" t="s">
        <v>14</v>
      </c>
      <c r="L1371" s="3" t="str">
        <f>IF(Table1[[#This Row],[Monthly Income]]&lt;3000,"Low",IF(Table1[[#This Row],[Monthly Income]]&lt;7000,"Medium","High"))</f>
        <v>High</v>
      </c>
      <c r="AK1371" s="6"/>
      <c r="AL1371" s="6"/>
      <c r="AM1371" s="6"/>
      <c r="AN1371" s="6"/>
      <c r="AO1371" s="6"/>
      <c r="AP1371" s="6"/>
      <c r="AQ1371" s="6"/>
      <c r="AR1371" s="6"/>
      <c r="AS1371" s="6"/>
      <c r="AU1371" s="6"/>
      <c r="AV1371" s="6"/>
      <c r="AW1371" s="6"/>
      <c r="AX1371" s="6"/>
      <c r="AY1371" s="6"/>
      <c r="AZ1371" s="6"/>
      <c r="BA1371" s="6"/>
      <c r="BB1371" s="6"/>
      <c r="BC1371" s="6"/>
      <c r="BD1371" s="6"/>
      <c r="BE1371" s="6"/>
    </row>
    <row r="1372" spans="2:57" x14ac:dyDescent="0.3">
      <c r="B1372" s="4" t="s">
        <v>1395</v>
      </c>
      <c r="C1372" s="4">
        <v>36</v>
      </c>
      <c r="D1372" s="4" t="s">
        <v>17</v>
      </c>
      <c r="E1372" s="4" t="s">
        <v>15</v>
      </c>
      <c r="F1372" s="4" t="s">
        <v>29</v>
      </c>
      <c r="G1372" s="18">
        <v>6842</v>
      </c>
      <c r="H1372" s="10">
        <v>5</v>
      </c>
      <c r="I1372" s="4">
        <v>1</v>
      </c>
      <c r="J1372" s="4" t="s">
        <v>14</v>
      </c>
      <c r="K1372" s="3" t="s">
        <v>14</v>
      </c>
      <c r="L1372" s="3" t="str">
        <f>IF(Table1[[#This Row],[Monthly Income]]&lt;3000,"Low",IF(Table1[[#This Row],[Monthly Income]]&lt;7000,"Medium","High"))</f>
        <v>Medium</v>
      </c>
      <c r="AK1372" s="4"/>
      <c r="AL1372" s="4"/>
      <c r="AM1372" s="4"/>
      <c r="AN1372" s="4"/>
      <c r="AO1372" s="4"/>
      <c r="AP1372" s="4"/>
      <c r="AQ1372" s="4"/>
      <c r="AR1372" s="4"/>
      <c r="AS1372" s="4"/>
      <c r="AU1372" s="4"/>
      <c r="AV1372" s="4"/>
      <c r="AW1372" s="4"/>
      <c r="AX1372" s="4"/>
      <c r="AY1372" s="4"/>
      <c r="AZ1372" s="4"/>
      <c r="BA1372" s="4"/>
      <c r="BB1372" s="4"/>
      <c r="BC1372" s="4"/>
      <c r="BD1372" s="4"/>
      <c r="BE1372" s="4"/>
    </row>
    <row r="1373" spans="2:57" x14ac:dyDescent="0.3">
      <c r="B1373" s="6" t="s">
        <v>1396</v>
      </c>
      <c r="C1373" s="6">
        <v>41</v>
      </c>
      <c r="D1373" s="6" t="s">
        <v>17</v>
      </c>
      <c r="E1373" s="6" t="s">
        <v>15</v>
      </c>
      <c r="F1373" s="6" t="s">
        <v>20</v>
      </c>
      <c r="G1373" s="19">
        <v>2289</v>
      </c>
      <c r="H1373" s="11">
        <v>5</v>
      </c>
      <c r="I1373" s="6">
        <v>1</v>
      </c>
      <c r="J1373" s="6" t="s">
        <v>14</v>
      </c>
      <c r="K1373" s="5" t="s">
        <v>14</v>
      </c>
      <c r="L1373" s="3" t="str">
        <f>IF(Table1[[#This Row],[Monthly Income]]&lt;3000,"Low",IF(Table1[[#This Row],[Monthly Income]]&lt;7000,"Medium","High"))</f>
        <v>Low</v>
      </c>
      <c r="AK1373" s="6"/>
      <c r="AL1373" s="6"/>
      <c r="AM1373" s="6"/>
      <c r="AN1373" s="6"/>
      <c r="AO1373" s="6"/>
      <c r="AP1373" s="6"/>
      <c r="AQ1373" s="6"/>
      <c r="AR1373" s="6"/>
      <c r="AS1373" s="6"/>
      <c r="AU1373" s="6"/>
      <c r="AV1373" s="6"/>
      <c r="AW1373" s="6"/>
      <c r="AX1373" s="6"/>
      <c r="AY1373" s="6"/>
      <c r="AZ1373" s="6"/>
      <c r="BA1373" s="6"/>
      <c r="BB1373" s="6"/>
      <c r="BC1373" s="6"/>
      <c r="BD1373" s="6"/>
      <c r="BE1373" s="6"/>
    </row>
    <row r="1374" spans="2:57" x14ac:dyDescent="0.3">
      <c r="B1374" s="4" t="s">
        <v>1397</v>
      </c>
      <c r="C1374" s="4">
        <v>42</v>
      </c>
      <c r="D1374" s="4" t="s">
        <v>17</v>
      </c>
      <c r="E1374" s="4" t="s">
        <v>15</v>
      </c>
      <c r="F1374" s="4" t="s">
        <v>20</v>
      </c>
      <c r="G1374" s="18">
        <v>2766</v>
      </c>
      <c r="H1374" s="10">
        <v>5</v>
      </c>
      <c r="I1374" s="4">
        <v>2</v>
      </c>
      <c r="J1374" s="4" t="s">
        <v>14</v>
      </c>
      <c r="K1374" s="3" t="s">
        <v>14</v>
      </c>
      <c r="L1374" s="3" t="str">
        <f>IF(Table1[[#This Row],[Monthly Income]]&lt;3000,"Low",IF(Table1[[#This Row],[Monthly Income]]&lt;7000,"Medium","High"))</f>
        <v>Low</v>
      </c>
      <c r="AK1374" s="4"/>
      <c r="AL1374" s="4"/>
      <c r="AM1374" s="4"/>
      <c r="AN1374" s="4"/>
      <c r="AO1374" s="4"/>
      <c r="AP1374" s="4"/>
      <c r="AQ1374" s="4"/>
      <c r="AR1374" s="4"/>
      <c r="AS1374" s="4"/>
      <c r="AU1374" s="4"/>
      <c r="AV1374" s="4"/>
      <c r="AW1374" s="4"/>
      <c r="AX1374" s="4"/>
      <c r="AY1374" s="4"/>
      <c r="AZ1374" s="4"/>
      <c r="BA1374" s="4"/>
      <c r="BB1374" s="4"/>
      <c r="BC1374" s="4"/>
      <c r="BD1374" s="4"/>
      <c r="BE1374" s="4"/>
    </row>
    <row r="1375" spans="2:57" x14ac:dyDescent="0.3">
      <c r="B1375" s="6" t="s">
        <v>1398</v>
      </c>
      <c r="C1375" s="6">
        <v>39</v>
      </c>
      <c r="D1375" s="6" t="s">
        <v>17</v>
      </c>
      <c r="E1375" s="6" t="s">
        <v>15</v>
      </c>
      <c r="F1375" s="6" t="s">
        <v>27</v>
      </c>
      <c r="G1375" s="19">
        <v>5295</v>
      </c>
      <c r="H1375" s="11">
        <v>5</v>
      </c>
      <c r="I1375" s="6">
        <v>2</v>
      </c>
      <c r="J1375" s="6" t="s">
        <v>14</v>
      </c>
      <c r="K1375" s="5" t="s">
        <v>14</v>
      </c>
      <c r="L1375" s="3" t="str">
        <f>IF(Table1[[#This Row],[Monthly Income]]&lt;3000,"Low",IF(Table1[[#This Row],[Monthly Income]]&lt;7000,"Medium","High"))</f>
        <v>Medium</v>
      </c>
      <c r="AK1375" s="6"/>
      <c r="AL1375" s="6"/>
      <c r="AM1375" s="6"/>
      <c r="AN1375" s="6"/>
      <c r="AO1375" s="6"/>
      <c r="AP1375" s="6"/>
      <c r="AQ1375" s="6"/>
      <c r="AR1375" s="6"/>
      <c r="AS1375" s="6"/>
      <c r="AU1375" s="6"/>
      <c r="AV1375" s="6"/>
      <c r="AW1375" s="6"/>
      <c r="AX1375" s="6"/>
      <c r="AY1375" s="6"/>
      <c r="AZ1375" s="6"/>
      <c r="BA1375" s="6"/>
      <c r="BB1375" s="6"/>
      <c r="BC1375" s="6"/>
      <c r="BD1375" s="6"/>
      <c r="BE1375" s="6"/>
    </row>
    <row r="1376" spans="2:57" x14ac:dyDescent="0.3">
      <c r="B1376" s="4" t="s">
        <v>1399</v>
      </c>
      <c r="C1376" s="4">
        <v>39</v>
      </c>
      <c r="D1376" s="4" t="s">
        <v>17</v>
      </c>
      <c r="E1376" s="4" t="s">
        <v>15</v>
      </c>
      <c r="F1376" s="4" t="s">
        <v>27</v>
      </c>
      <c r="G1376" s="18">
        <v>5151</v>
      </c>
      <c r="H1376" s="10">
        <v>10</v>
      </c>
      <c r="I1376" s="4">
        <v>1</v>
      </c>
      <c r="J1376" s="4" t="s">
        <v>14</v>
      </c>
      <c r="K1376" s="3" t="s">
        <v>14</v>
      </c>
      <c r="L1376" s="3" t="str">
        <f>IF(Table1[[#This Row],[Monthly Income]]&lt;3000,"Low",IF(Table1[[#This Row],[Monthly Income]]&lt;7000,"Medium","High"))</f>
        <v>Medium</v>
      </c>
      <c r="AK1376" s="4"/>
      <c r="AL1376" s="4"/>
      <c r="AM1376" s="4"/>
      <c r="AN1376" s="4"/>
      <c r="AO1376" s="4"/>
      <c r="AP1376" s="4"/>
      <c r="AQ1376" s="4"/>
      <c r="AR1376" s="4"/>
      <c r="AS1376" s="4"/>
      <c r="AU1376" s="4"/>
      <c r="AV1376" s="4"/>
      <c r="AW1376" s="4"/>
      <c r="AX1376" s="4"/>
      <c r="AY1376" s="4"/>
      <c r="AZ1376" s="4"/>
      <c r="BA1376" s="4"/>
      <c r="BB1376" s="4"/>
      <c r="BC1376" s="4"/>
      <c r="BD1376" s="4"/>
      <c r="BE1376" s="4"/>
    </row>
    <row r="1377" spans="2:57" x14ac:dyDescent="0.3">
      <c r="B1377" s="6" t="s">
        <v>1400</v>
      </c>
      <c r="C1377" s="6">
        <v>55</v>
      </c>
      <c r="D1377" s="6" t="s">
        <v>17</v>
      </c>
      <c r="E1377" s="6" t="s">
        <v>15</v>
      </c>
      <c r="F1377" s="6" t="s">
        <v>18</v>
      </c>
      <c r="G1377" s="19">
        <v>2662</v>
      </c>
      <c r="H1377" s="11">
        <v>5</v>
      </c>
      <c r="I1377" s="6">
        <v>4</v>
      </c>
      <c r="J1377" s="6" t="s">
        <v>14</v>
      </c>
      <c r="K1377" s="5" t="s">
        <v>14</v>
      </c>
      <c r="L1377" s="3" t="str">
        <f>IF(Table1[[#This Row],[Monthly Income]]&lt;3000,"Low",IF(Table1[[#This Row],[Monthly Income]]&lt;7000,"Medium","High"))</f>
        <v>Low</v>
      </c>
      <c r="AK1377" s="6"/>
      <c r="AL1377" s="6"/>
      <c r="AM1377" s="6"/>
      <c r="AN1377" s="6"/>
      <c r="AO1377" s="6"/>
      <c r="AP1377" s="6"/>
      <c r="AQ1377" s="6"/>
      <c r="AR1377" s="6"/>
      <c r="AS1377" s="6"/>
      <c r="AU1377" s="6"/>
      <c r="AV1377" s="6"/>
      <c r="AW1377" s="6"/>
      <c r="AX1377" s="6"/>
      <c r="AY1377" s="6"/>
      <c r="AZ1377" s="6"/>
      <c r="BA1377" s="6"/>
      <c r="BB1377" s="6"/>
      <c r="BC1377" s="6"/>
      <c r="BD1377" s="6"/>
      <c r="BE1377" s="6"/>
    </row>
    <row r="1378" spans="2:57" x14ac:dyDescent="0.3">
      <c r="B1378" s="4" t="s">
        <v>1401</v>
      </c>
      <c r="C1378" s="4">
        <v>57</v>
      </c>
      <c r="D1378" s="4" t="s">
        <v>17</v>
      </c>
      <c r="E1378" s="4" t="s">
        <v>15</v>
      </c>
      <c r="F1378" s="4" t="s">
        <v>18</v>
      </c>
      <c r="G1378" s="18">
        <v>4900</v>
      </c>
      <c r="H1378" s="10">
        <v>12</v>
      </c>
      <c r="I1378" s="4">
        <v>3</v>
      </c>
      <c r="J1378" s="4" t="s">
        <v>14</v>
      </c>
      <c r="K1378" s="3" t="s">
        <v>14</v>
      </c>
      <c r="L1378" s="3" t="str">
        <f>IF(Table1[[#This Row],[Monthly Income]]&lt;3000,"Low",IF(Table1[[#This Row],[Monthly Income]]&lt;7000,"Medium","High"))</f>
        <v>Medium</v>
      </c>
      <c r="AK1378" s="4"/>
      <c r="AL1378" s="4"/>
      <c r="AM1378" s="4"/>
      <c r="AN1378" s="4"/>
      <c r="AO1378" s="4"/>
      <c r="AP1378" s="4"/>
      <c r="AQ1378" s="4"/>
      <c r="AR1378" s="4"/>
      <c r="AS1378" s="4"/>
      <c r="AU1378" s="4"/>
      <c r="AV1378" s="4"/>
      <c r="AW1378" s="4"/>
      <c r="AX1378" s="4"/>
      <c r="AY1378" s="4"/>
      <c r="AZ1378" s="4"/>
      <c r="BA1378" s="4"/>
      <c r="BB1378" s="4"/>
      <c r="BC1378" s="4"/>
      <c r="BD1378" s="4"/>
      <c r="BE1378" s="4"/>
    </row>
    <row r="1379" spans="2:57" x14ac:dyDescent="0.3">
      <c r="B1379" s="6" t="s">
        <v>1402</v>
      </c>
      <c r="C1379" s="6">
        <v>43</v>
      </c>
      <c r="D1379" s="6" t="s">
        <v>17</v>
      </c>
      <c r="E1379" s="6" t="s">
        <v>15</v>
      </c>
      <c r="F1379" s="6" t="s">
        <v>45</v>
      </c>
      <c r="G1379" s="19">
        <v>17603</v>
      </c>
      <c r="H1379" s="11">
        <v>14</v>
      </c>
      <c r="I1379" s="6">
        <v>3</v>
      </c>
      <c r="J1379" s="6" t="s">
        <v>14</v>
      </c>
      <c r="K1379" s="5" t="s">
        <v>14</v>
      </c>
      <c r="L1379" s="3" t="str">
        <f>IF(Table1[[#This Row],[Monthly Income]]&lt;3000,"Low",IF(Table1[[#This Row],[Monthly Income]]&lt;7000,"Medium","High"))</f>
        <v>High</v>
      </c>
      <c r="AK1379" s="6"/>
      <c r="AL1379" s="6"/>
      <c r="AM1379" s="6"/>
      <c r="AN1379" s="6"/>
      <c r="AO1379" s="6"/>
      <c r="AP1379" s="6"/>
      <c r="AQ1379" s="6"/>
      <c r="AR1379" s="6"/>
      <c r="AS1379" s="6"/>
      <c r="AU1379" s="6"/>
      <c r="AV1379" s="6"/>
      <c r="AW1379" s="6"/>
      <c r="AX1379" s="6"/>
      <c r="AY1379" s="6"/>
      <c r="AZ1379" s="6"/>
      <c r="BA1379" s="6"/>
      <c r="BB1379" s="6"/>
      <c r="BC1379" s="6"/>
      <c r="BD1379" s="6"/>
      <c r="BE1379" s="6"/>
    </row>
    <row r="1380" spans="2:57" x14ac:dyDescent="0.3">
      <c r="B1380" s="4" t="s">
        <v>1403</v>
      </c>
      <c r="C1380" s="4">
        <v>41</v>
      </c>
      <c r="D1380" s="4" t="s">
        <v>17</v>
      </c>
      <c r="E1380" s="4" t="s">
        <v>15</v>
      </c>
      <c r="F1380" s="4" t="s">
        <v>18</v>
      </c>
      <c r="G1380" s="18">
        <v>2782</v>
      </c>
      <c r="H1380" s="10">
        <v>5</v>
      </c>
      <c r="I1380" s="4">
        <v>4</v>
      </c>
      <c r="J1380" s="4" t="s">
        <v>14</v>
      </c>
      <c r="K1380" s="3" t="s">
        <v>14</v>
      </c>
      <c r="L1380" s="3" t="str">
        <f>IF(Table1[[#This Row],[Monthly Income]]&lt;3000,"Low",IF(Table1[[#This Row],[Monthly Income]]&lt;7000,"Medium","High"))</f>
        <v>Low</v>
      </c>
      <c r="AK1380" s="4"/>
      <c r="AL1380" s="4"/>
      <c r="AM1380" s="4"/>
      <c r="AN1380" s="4"/>
      <c r="AO1380" s="4"/>
      <c r="AP1380" s="4"/>
      <c r="AQ1380" s="4"/>
      <c r="AR1380" s="4"/>
      <c r="AS1380" s="4"/>
      <c r="AU1380" s="4"/>
      <c r="AV1380" s="4"/>
      <c r="AW1380" s="4"/>
      <c r="AX1380" s="4"/>
      <c r="AY1380" s="4"/>
      <c r="AZ1380" s="4"/>
      <c r="BA1380" s="4"/>
      <c r="BB1380" s="4"/>
      <c r="BC1380" s="4"/>
      <c r="BD1380" s="4"/>
      <c r="BE1380" s="4"/>
    </row>
    <row r="1381" spans="2:57" x14ac:dyDescent="0.3">
      <c r="B1381" s="6" t="s">
        <v>1404</v>
      </c>
      <c r="C1381" s="6">
        <v>45</v>
      </c>
      <c r="D1381" s="6" t="s">
        <v>17</v>
      </c>
      <c r="E1381" s="6" t="s">
        <v>15</v>
      </c>
      <c r="F1381" s="6" t="s">
        <v>18</v>
      </c>
      <c r="G1381" s="19">
        <v>2132</v>
      </c>
      <c r="H1381" s="11">
        <v>5</v>
      </c>
      <c r="I1381" s="6">
        <v>4</v>
      </c>
      <c r="J1381" s="6" t="s">
        <v>14</v>
      </c>
      <c r="K1381" s="5" t="s">
        <v>14</v>
      </c>
      <c r="L1381" s="3" t="str">
        <f>IF(Table1[[#This Row],[Monthly Income]]&lt;3000,"Low",IF(Table1[[#This Row],[Monthly Income]]&lt;7000,"Medium","High"))</f>
        <v>Low</v>
      </c>
      <c r="AK1381" s="6"/>
      <c r="AL1381" s="6"/>
      <c r="AM1381" s="6"/>
      <c r="AN1381" s="6"/>
      <c r="AO1381" s="6"/>
      <c r="AP1381" s="6"/>
      <c r="AQ1381" s="6"/>
      <c r="AR1381" s="6"/>
      <c r="AS1381" s="6"/>
      <c r="AU1381" s="6"/>
      <c r="AV1381" s="6"/>
      <c r="AW1381" s="6"/>
      <c r="AX1381" s="6"/>
      <c r="AY1381" s="6"/>
      <c r="AZ1381" s="6"/>
      <c r="BA1381" s="6"/>
      <c r="BB1381" s="6"/>
      <c r="BC1381" s="6"/>
      <c r="BD1381" s="6"/>
      <c r="BE1381" s="6"/>
    </row>
    <row r="1382" spans="2:57" x14ac:dyDescent="0.3">
      <c r="B1382" s="4" t="s">
        <v>1405</v>
      </c>
      <c r="C1382" s="4">
        <v>47</v>
      </c>
      <c r="D1382" s="4" t="s">
        <v>17</v>
      </c>
      <c r="E1382" s="4" t="s">
        <v>15</v>
      </c>
      <c r="F1382" s="4" t="s">
        <v>29</v>
      </c>
      <c r="G1382" s="18">
        <v>8633</v>
      </c>
      <c r="H1382" s="10">
        <v>17</v>
      </c>
      <c r="I1382" s="4">
        <v>3</v>
      </c>
      <c r="J1382" s="4" t="s">
        <v>14</v>
      </c>
      <c r="K1382" s="3" t="s">
        <v>14</v>
      </c>
      <c r="L1382" s="3" t="str">
        <f>IF(Table1[[#This Row],[Monthly Income]]&lt;3000,"Low",IF(Table1[[#This Row],[Monthly Income]]&lt;7000,"Medium","High"))</f>
        <v>High</v>
      </c>
      <c r="AK1382" s="4"/>
      <c r="AL1382" s="4"/>
      <c r="AM1382" s="4"/>
      <c r="AN1382" s="4"/>
      <c r="AO1382" s="4"/>
      <c r="AP1382" s="4"/>
      <c r="AQ1382" s="4"/>
      <c r="AR1382" s="4"/>
      <c r="AS1382" s="4"/>
      <c r="AU1382" s="4"/>
      <c r="AV1382" s="4"/>
      <c r="AW1382" s="4"/>
      <c r="AX1382" s="4"/>
      <c r="AY1382" s="4"/>
      <c r="AZ1382" s="4"/>
      <c r="BA1382" s="4"/>
      <c r="BB1382" s="4"/>
      <c r="BC1382" s="4"/>
      <c r="BD1382" s="4"/>
      <c r="BE1382" s="4"/>
    </row>
    <row r="1383" spans="2:57" x14ac:dyDescent="0.3">
      <c r="B1383" s="6" t="s">
        <v>1406</v>
      </c>
      <c r="C1383" s="6">
        <v>39</v>
      </c>
      <c r="D1383" s="6" t="s">
        <v>17</v>
      </c>
      <c r="E1383" s="6" t="s">
        <v>15</v>
      </c>
      <c r="F1383" s="6" t="s">
        <v>45</v>
      </c>
      <c r="G1383" s="19">
        <v>13464</v>
      </c>
      <c r="H1383" s="11">
        <v>4</v>
      </c>
      <c r="I1383" s="6">
        <v>3</v>
      </c>
      <c r="J1383" s="6" t="s">
        <v>14</v>
      </c>
      <c r="K1383" s="5" t="s">
        <v>14</v>
      </c>
      <c r="L1383" s="3" t="str">
        <f>IF(Table1[[#This Row],[Monthly Income]]&lt;3000,"Low",IF(Table1[[#This Row],[Monthly Income]]&lt;7000,"Medium","High"))</f>
        <v>High</v>
      </c>
      <c r="AK1383" s="6"/>
      <c r="AL1383" s="6"/>
      <c r="AM1383" s="6"/>
      <c r="AN1383" s="6"/>
      <c r="AO1383" s="6"/>
      <c r="AP1383" s="6"/>
      <c r="AQ1383" s="6"/>
      <c r="AR1383" s="6"/>
      <c r="AS1383" s="6"/>
      <c r="AU1383" s="6"/>
      <c r="AV1383" s="6"/>
      <c r="AW1383" s="6"/>
      <c r="AX1383" s="6"/>
      <c r="AY1383" s="6"/>
      <c r="AZ1383" s="6"/>
      <c r="BA1383" s="6"/>
      <c r="BB1383" s="6"/>
      <c r="BC1383" s="6"/>
      <c r="BD1383" s="6"/>
      <c r="BE1383" s="6"/>
    </row>
    <row r="1384" spans="2:57" x14ac:dyDescent="0.3">
      <c r="B1384" s="4" t="s">
        <v>1407</v>
      </c>
      <c r="C1384" s="4">
        <v>32</v>
      </c>
      <c r="D1384" s="4" t="s">
        <v>17</v>
      </c>
      <c r="E1384" s="4" t="s">
        <v>15</v>
      </c>
      <c r="F1384" s="4" t="s">
        <v>39</v>
      </c>
      <c r="G1384" s="18">
        <v>11244</v>
      </c>
      <c r="H1384" s="10">
        <v>5</v>
      </c>
      <c r="I1384" s="4">
        <v>4</v>
      </c>
      <c r="J1384" s="4" t="s">
        <v>14</v>
      </c>
      <c r="K1384" s="3" t="s">
        <v>14</v>
      </c>
      <c r="L1384" s="3" t="str">
        <f>IF(Table1[[#This Row],[Monthly Income]]&lt;3000,"Low",IF(Table1[[#This Row],[Monthly Income]]&lt;7000,"Medium","High"))</f>
        <v>High</v>
      </c>
      <c r="AK1384" s="4"/>
      <c r="AL1384" s="4"/>
      <c r="AM1384" s="4"/>
      <c r="AN1384" s="4"/>
      <c r="AO1384" s="4"/>
      <c r="AP1384" s="4"/>
      <c r="AQ1384" s="4"/>
      <c r="AR1384" s="4"/>
      <c r="AS1384" s="4"/>
      <c r="AU1384" s="4"/>
      <c r="AV1384" s="4"/>
      <c r="AW1384" s="4"/>
      <c r="AX1384" s="4"/>
      <c r="AY1384" s="4"/>
      <c r="AZ1384" s="4"/>
      <c r="BA1384" s="4"/>
      <c r="BB1384" s="4"/>
      <c r="BC1384" s="4"/>
      <c r="BD1384" s="4"/>
      <c r="BE1384" s="4"/>
    </row>
    <row r="1385" spans="2:57" x14ac:dyDescent="0.3">
      <c r="B1385" s="6" t="s">
        <v>1408</v>
      </c>
      <c r="C1385" s="6">
        <v>32</v>
      </c>
      <c r="D1385" s="6" t="s">
        <v>17</v>
      </c>
      <c r="E1385" s="6" t="s">
        <v>15</v>
      </c>
      <c r="F1385" s="6" t="s">
        <v>27</v>
      </c>
      <c r="G1385" s="19">
        <v>9679</v>
      </c>
      <c r="H1385" s="11">
        <v>1</v>
      </c>
      <c r="I1385" s="6">
        <v>4</v>
      </c>
      <c r="J1385" s="6" t="s">
        <v>14</v>
      </c>
      <c r="K1385" s="5" t="s">
        <v>14</v>
      </c>
      <c r="L1385" s="3" t="str">
        <f>IF(Table1[[#This Row],[Monthly Income]]&lt;3000,"Low",IF(Table1[[#This Row],[Monthly Income]]&lt;7000,"Medium","High"))</f>
        <v>High</v>
      </c>
      <c r="AK1385" s="6"/>
      <c r="AL1385" s="6"/>
      <c r="AM1385" s="6"/>
      <c r="AN1385" s="6"/>
      <c r="AO1385" s="6"/>
      <c r="AP1385" s="6"/>
      <c r="AQ1385" s="6"/>
      <c r="AR1385" s="6"/>
      <c r="AS1385" s="6"/>
      <c r="AU1385" s="6"/>
      <c r="AV1385" s="6"/>
      <c r="AW1385" s="6"/>
      <c r="AX1385" s="6"/>
      <c r="AY1385" s="6"/>
      <c r="AZ1385" s="6"/>
      <c r="BA1385" s="6"/>
      <c r="BB1385" s="6"/>
      <c r="BC1385" s="6"/>
      <c r="BD1385" s="6"/>
      <c r="BE1385" s="6"/>
    </row>
    <row r="1386" spans="2:57" x14ac:dyDescent="0.3">
      <c r="B1386" s="4" t="s">
        <v>1409</v>
      </c>
      <c r="C1386" s="4">
        <v>42</v>
      </c>
      <c r="D1386" s="4" t="s">
        <v>17</v>
      </c>
      <c r="E1386" s="4" t="s">
        <v>15</v>
      </c>
      <c r="F1386" s="4" t="s">
        <v>39</v>
      </c>
      <c r="G1386" s="18">
        <v>19613</v>
      </c>
      <c r="H1386" s="10">
        <v>1</v>
      </c>
      <c r="I1386" s="4">
        <v>4</v>
      </c>
      <c r="J1386" s="4" t="s">
        <v>14</v>
      </c>
      <c r="K1386" s="3" t="s">
        <v>14</v>
      </c>
      <c r="L1386" s="3" t="str">
        <f>IF(Table1[[#This Row],[Monthly Income]]&lt;3000,"Low",IF(Table1[[#This Row],[Monthly Income]]&lt;7000,"Medium","High"))</f>
        <v>High</v>
      </c>
      <c r="AK1386" s="4"/>
      <c r="AL1386" s="4"/>
      <c r="AM1386" s="4"/>
      <c r="AN1386" s="4"/>
      <c r="AO1386" s="4"/>
      <c r="AP1386" s="4"/>
      <c r="AQ1386" s="4"/>
      <c r="AR1386" s="4"/>
      <c r="AS1386" s="4"/>
      <c r="AU1386" s="4"/>
      <c r="AV1386" s="4"/>
      <c r="AW1386" s="4"/>
      <c r="AX1386" s="4"/>
      <c r="AY1386" s="4"/>
      <c r="AZ1386" s="4"/>
      <c r="BA1386" s="4"/>
      <c r="BB1386" s="4"/>
      <c r="BC1386" s="4"/>
      <c r="BD1386" s="4"/>
      <c r="BE1386" s="4"/>
    </row>
    <row r="1387" spans="2:57" x14ac:dyDescent="0.3">
      <c r="B1387" s="6" t="s">
        <v>1410</v>
      </c>
      <c r="C1387" s="6">
        <v>55</v>
      </c>
      <c r="D1387" s="6" t="s">
        <v>17</v>
      </c>
      <c r="E1387" s="6" t="s">
        <v>10</v>
      </c>
      <c r="F1387" s="6" t="s">
        <v>39</v>
      </c>
      <c r="G1387" s="19">
        <v>19586</v>
      </c>
      <c r="H1387" s="11">
        <v>36</v>
      </c>
      <c r="I1387" s="6">
        <v>4</v>
      </c>
      <c r="J1387" s="6" t="s">
        <v>14</v>
      </c>
      <c r="K1387" s="5" t="s">
        <v>14</v>
      </c>
      <c r="L1387" s="3" t="str">
        <f>IF(Table1[[#This Row],[Monthly Income]]&lt;3000,"Low",IF(Table1[[#This Row],[Monthly Income]]&lt;7000,"Medium","High"))</f>
        <v>High</v>
      </c>
      <c r="AK1387" s="6"/>
      <c r="AL1387" s="6"/>
      <c r="AM1387" s="6"/>
      <c r="AN1387" s="6"/>
      <c r="AO1387" s="6"/>
      <c r="AP1387" s="6"/>
      <c r="AQ1387" s="6"/>
      <c r="AR1387" s="6"/>
      <c r="AS1387" s="6"/>
      <c r="AU1387" s="6"/>
      <c r="AV1387" s="6"/>
      <c r="AW1387" s="6"/>
      <c r="AX1387" s="6"/>
      <c r="AY1387" s="6"/>
      <c r="AZ1387" s="6"/>
      <c r="BA1387" s="6"/>
      <c r="BB1387" s="6"/>
      <c r="BC1387" s="6"/>
      <c r="BD1387" s="6"/>
      <c r="BE1387" s="6"/>
    </row>
    <row r="1388" spans="2:57" x14ac:dyDescent="0.3">
      <c r="B1388" s="4" t="s">
        <v>1411</v>
      </c>
      <c r="C1388" s="4">
        <v>34</v>
      </c>
      <c r="D1388" s="4" t="s">
        <v>17</v>
      </c>
      <c r="E1388" s="4" t="s">
        <v>10</v>
      </c>
      <c r="F1388" s="4" t="s">
        <v>13</v>
      </c>
      <c r="G1388" s="18">
        <v>6799</v>
      </c>
      <c r="H1388" s="10">
        <v>10</v>
      </c>
      <c r="I1388" s="4">
        <v>3</v>
      </c>
      <c r="J1388" s="4" t="s">
        <v>14</v>
      </c>
      <c r="K1388" s="3" t="s">
        <v>14</v>
      </c>
      <c r="L1388" s="3" t="str">
        <f>IF(Table1[[#This Row],[Monthly Income]]&lt;3000,"Low",IF(Table1[[#This Row],[Monthly Income]]&lt;7000,"Medium","High"))</f>
        <v>Medium</v>
      </c>
      <c r="AK1388" s="4"/>
      <c r="AL1388" s="4"/>
      <c r="AM1388" s="4"/>
      <c r="AN1388" s="4"/>
      <c r="AO1388" s="4"/>
      <c r="AP1388" s="4"/>
      <c r="AQ1388" s="4"/>
      <c r="AR1388" s="4"/>
      <c r="AS1388" s="4"/>
      <c r="AU1388" s="4"/>
      <c r="AV1388" s="4"/>
      <c r="AW1388" s="4"/>
      <c r="AX1388" s="4"/>
      <c r="AY1388" s="4"/>
      <c r="AZ1388" s="4"/>
      <c r="BA1388" s="4"/>
      <c r="BB1388" s="4"/>
      <c r="BC1388" s="4"/>
      <c r="BD1388" s="4"/>
      <c r="BE1388" s="4"/>
    </row>
    <row r="1389" spans="2:57" x14ac:dyDescent="0.3">
      <c r="B1389" s="6" t="s">
        <v>1412</v>
      </c>
      <c r="C1389" s="6">
        <v>34</v>
      </c>
      <c r="D1389" s="6" t="s">
        <v>17</v>
      </c>
      <c r="E1389" s="6" t="s">
        <v>10</v>
      </c>
      <c r="F1389" s="6" t="s">
        <v>13</v>
      </c>
      <c r="G1389" s="19">
        <v>9888</v>
      </c>
      <c r="H1389" s="11">
        <v>14</v>
      </c>
      <c r="I1389" s="6">
        <v>4</v>
      </c>
      <c r="J1389" s="6" t="s">
        <v>14</v>
      </c>
      <c r="K1389" s="5" t="s">
        <v>14</v>
      </c>
      <c r="L1389" s="3" t="str">
        <f>IF(Table1[[#This Row],[Monthly Income]]&lt;3000,"Low",IF(Table1[[#This Row],[Monthly Income]]&lt;7000,"Medium","High"))</f>
        <v>High</v>
      </c>
      <c r="AK1389" s="6"/>
      <c r="AL1389" s="6"/>
      <c r="AM1389" s="6"/>
      <c r="AN1389" s="6"/>
      <c r="AO1389" s="6"/>
      <c r="AP1389" s="6"/>
      <c r="AQ1389" s="6"/>
      <c r="AR1389" s="6"/>
      <c r="AS1389" s="6"/>
      <c r="AU1389" s="6"/>
      <c r="AV1389" s="6"/>
      <c r="AW1389" s="6"/>
      <c r="AX1389" s="6"/>
      <c r="AY1389" s="6"/>
      <c r="AZ1389" s="6"/>
      <c r="BA1389" s="6"/>
      <c r="BB1389" s="6"/>
      <c r="BC1389" s="6"/>
      <c r="BD1389" s="6"/>
      <c r="BE1389" s="6"/>
    </row>
    <row r="1390" spans="2:57" x14ac:dyDescent="0.3">
      <c r="B1390" s="4" t="s">
        <v>1413</v>
      </c>
      <c r="C1390" s="4">
        <v>53</v>
      </c>
      <c r="D1390" s="4" t="s">
        <v>12</v>
      </c>
      <c r="E1390" s="4" t="s">
        <v>15</v>
      </c>
      <c r="F1390" s="4" t="s">
        <v>27</v>
      </c>
      <c r="G1390" s="18">
        <v>12965</v>
      </c>
      <c r="H1390" s="10">
        <v>3</v>
      </c>
      <c r="I1390" s="4">
        <v>3</v>
      </c>
      <c r="J1390" s="4" t="s">
        <v>9</v>
      </c>
      <c r="K1390" s="3" t="s">
        <v>14</v>
      </c>
      <c r="L1390" s="3" t="str">
        <f>IF(Table1[[#This Row],[Monthly Income]]&lt;3000,"Low",IF(Table1[[#This Row],[Monthly Income]]&lt;7000,"Medium","High"))</f>
        <v>High</v>
      </c>
      <c r="AK1390" s="4"/>
      <c r="AL1390" s="4"/>
      <c r="AM1390" s="4"/>
      <c r="AN1390" s="4"/>
      <c r="AO1390" s="4"/>
      <c r="AP1390" s="4"/>
      <c r="AQ1390" s="4"/>
      <c r="AR1390" s="4"/>
      <c r="AS1390" s="4"/>
      <c r="AU1390" s="4"/>
      <c r="AV1390" s="4"/>
      <c r="AW1390" s="4"/>
      <c r="AX1390" s="4"/>
      <c r="AY1390" s="4"/>
      <c r="AZ1390" s="4"/>
      <c r="BA1390" s="4"/>
      <c r="BB1390" s="4"/>
      <c r="BC1390" s="4"/>
      <c r="BD1390" s="4"/>
      <c r="BE1390" s="4"/>
    </row>
    <row r="1391" spans="2:57" x14ac:dyDescent="0.3">
      <c r="B1391" s="6" t="s">
        <v>1414</v>
      </c>
      <c r="C1391" s="6">
        <v>33</v>
      </c>
      <c r="D1391" s="6" t="s">
        <v>12</v>
      </c>
      <c r="E1391" s="6" t="s">
        <v>10</v>
      </c>
      <c r="F1391" s="6" t="s">
        <v>13</v>
      </c>
      <c r="G1391" s="19">
        <v>5368</v>
      </c>
      <c r="H1391" s="11">
        <v>6</v>
      </c>
      <c r="I1391" s="6">
        <v>4</v>
      </c>
      <c r="J1391" s="6" t="s">
        <v>9</v>
      </c>
      <c r="K1391" s="5" t="s">
        <v>14</v>
      </c>
      <c r="L1391" s="3" t="str">
        <f>IF(Table1[[#This Row],[Monthly Income]]&lt;3000,"Low",IF(Table1[[#This Row],[Monthly Income]]&lt;7000,"Medium","High"))</f>
        <v>Medium</v>
      </c>
      <c r="AK1391" s="6"/>
      <c r="AL1391" s="6"/>
      <c r="AM1391" s="6"/>
      <c r="AN1391" s="6"/>
      <c r="AO1391" s="6"/>
      <c r="AP1391" s="6"/>
      <c r="AQ1391" s="6"/>
      <c r="AR1391" s="6"/>
      <c r="AS1391" s="6"/>
      <c r="AU1391" s="6"/>
      <c r="AV1391" s="6"/>
      <c r="AW1391" s="6"/>
      <c r="AX1391" s="6"/>
      <c r="AY1391" s="6"/>
      <c r="AZ1391" s="6"/>
      <c r="BA1391" s="6"/>
      <c r="BB1391" s="6"/>
      <c r="BC1391" s="6"/>
      <c r="BD1391" s="6"/>
      <c r="BE1391" s="6"/>
    </row>
    <row r="1392" spans="2:57" x14ac:dyDescent="0.3">
      <c r="B1392" s="4" t="s">
        <v>1415</v>
      </c>
      <c r="C1392" s="4">
        <v>37</v>
      </c>
      <c r="D1392" s="4" t="s">
        <v>12</v>
      </c>
      <c r="E1392" s="4" t="s">
        <v>15</v>
      </c>
      <c r="F1392" s="4" t="s">
        <v>45</v>
      </c>
      <c r="G1392" s="18">
        <v>13744</v>
      </c>
      <c r="H1392" s="10">
        <v>16</v>
      </c>
      <c r="I1392" s="4">
        <v>4</v>
      </c>
      <c r="J1392" s="4" t="s">
        <v>9</v>
      </c>
      <c r="K1392" s="3" t="s">
        <v>14</v>
      </c>
      <c r="L1392" s="3" t="str">
        <f>IF(Table1[[#This Row],[Monthly Income]]&lt;3000,"Low",IF(Table1[[#This Row],[Monthly Income]]&lt;7000,"Medium","High"))</f>
        <v>High</v>
      </c>
      <c r="AK1392" s="4"/>
      <c r="AL1392" s="4"/>
      <c r="AM1392" s="4"/>
      <c r="AN1392" s="4"/>
      <c r="AO1392" s="4"/>
      <c r="AP1392" s="4"/>
      <c r="AQ1392" s="4"/>
      <c r="AR1392" s="4"/>
      <c r="AS1392" s="4"/>
      <c r="AU1392" s="4"/>
      <c r="AV1392" s="4"/>
      <c r="AW1392" s="4"/>
      <c r="AX1392" s="4"/>
      <c r="AY1392" s="4"/>
      <c r="AZ1392" s="4"/>
      <c r="BA1392" s="4"/>
      <c r="BB1392" s="4"/>
      <c r="BC1392" s="4"/>
      <c r="BD1392" s="4"/>
      <c r="BE1392" s="4"/>
    </row>
    <row r="1393" spans="2:57" x14ac:dyDescent="0.3">
      <c r="B1393" s="6" t="s">
        <v>1416</v>
      </c>
      <c r="C1393" s="6">
        <v>58</v>
      </c>
      <c r="D1393" s="6" t="s">
        <v>12</v>
      </c>
      <c r="E1393" s="6" t="s">
        <v>15</v>
      </c>
      <c r="F1393" s="6" t="s">
        <v>45</v>
      </c>
      <c r="G1393" s="19">
        <v>19701</v>
      </c>
      <c r="H1393" s="11">
        <v>9</v>
      </c>
      <c r="I1393" s="6">
        <v>1</v>
      </c>
      <c r="J1393" s="6" t="s">
        <v>9</v>
      </c>
      <c r="K1393" s="5" t="s">
        <v>14</v>
      </c>
      <c r="L1393" s="3" t="str">
        <f>IF(Table1[[#This Row],[Monthly Income]]&lt;3000,"Low",IF(Table1[[#This Row],[Monthly Income]]&lt;7000,"Medium","High"))</f>
        <v>High</v>
      </c>
      <c r="AK1393" s="6"/>
      <c r="AL1393" s="6"/>
      <c r="AM1393" s="6"/>
      <c r="AN1393" s="6"/>
      <c r="AO1393" s="6"/>
      <c r="AP1393" s="6"/>
      <c r="AQ1393" s="6"/>
      <c r="AR1393" s="6"/>
      <c r="AS1393" s="6"/>
      <c r="AU1393" s="6"/>
      <c r="AV1393" s="6"/>
      <c r="AW1393" s="6"/>
      <c r="AX1393" s="6"/>
      <c r="AY1393" s="6"/>
      <c r="AZ1393" s="6"/>
      <c r="BA1393" s="6"/>
      <c r="BB1393" s="6"/>
      <c r="BC1393" s="6"/>
      <c r="BD1393" s="6"/>
      <c r="BE1393" s="6"/>
    </row>
    <row r="1394" spans="2:57" x14ac:dyDescent="0.3">
      <c r="B1394" s="4" t="s">
        <v>1417</v>
      </c>
      <c r="C1394" s="4">
        <v>36</v>
      </c>
      <c r="D1394" s="4" t="s">
        <v>12</v>
      </c>
      <c r="E1394" s="4" t="s">
        <v>15</v>
      </c>
      <c r="F1394" s="4" t="s">
        <v>18</v>
      </c>
      <c r="G1394" s="18">
        <v>6962</v>
      </c>
      <c r="H1394" s="10">
        <v>1</v>
      </c>
      <c r="I1394" s="4">
        <v>2</v>
      </c>
      <c r="J1394" s="4" t="s">
        <v>9</v>
      </c>
      <c r="K1394" s="3" t="s">
        <v>14</v>
      </c>
      <c r="L1394" s="3" t="str">
        <f>IF(Table1[[#This Row],[Monthly Income]]&lt;3000,"Low",IF(Table1[[#This Row],[Monthly Income]]&lt;7000,"Medium","High"))</f>
        <v>Medium</v>
      </c>
      <c r="AK1394" s="4"/>
      <c r="AL1394" s="4"/>
      <c r="AM1394" s="4"/>
      <c r="AN1394" s="4"/>
      <c r="AO1394" s="4"/>
      <c r="AP1394" s="4"/>
      <c r="AQ1394" s="4"/>
      <c r="AR1394" s="4"/>
      <c r="AS1394" s="4"/>
      <c r="AU1394" s="4"/>
      <c r="AV1394" s="4"/>
      <c r="AW1394" s="4"/>
      <c r="AX1394" s="4"/>
      <c r="AY1394" s="4"/>
      <c r="AZ1394" s="4"/>
      <c r="BA1394" s="4"/>
      <c r="BB1394" s="4"/>
      <c r="BC1394" s="4"/>
      <c r="BD1394" s="4"/>
      <c r="BE1394" s="4"/>
    </row>
    <row r="1395" spans="2:57" x14ac:dyDescent="0.3">
      <c r="B1395" s="6" t="s">
        <v>1418</v>
      </c>
      <c r="C1395" s="6">
        <v>25</v>
      </c>
      <c r="D1395" s="6" t="s">
        <v>12</v>
      </c>
      <c r="E1395" s="6" t="s">
        <v>10</v>
      </c>
      <c r="F1395" s="6" t="s">
        <v>13</v>
      </c>
      <c r="G1395" s="19">
        <v>4907</v>
      </c>
      <c r="H1395" s="11">
        <v>5</v>
      </c>
      <c r="I1395" s="6">
        <v>3</v>
      </c>
      <c r="J1395" s="6" t="s">
        <v>9</v>
      </c>
      <c r="K1395" s="5" t="s">
        <v>14</v>
      </c>
      <c r="L1395" s="3" t="str">
        <f>IF(Table1[[#This Row],[Monthly Income]]&lt;3000,"Low",IF(Table1[[#This Row],[Monthly Income]]&lt;7000,"Medium","High"))</f>
        <v>Medium</v>
      </c>
      <c r="AK1395" s="6"/>
      <c r="AL1395" s="6"/>
      <c r="AM1395" s="6"/>
      <c r="AN1395" s="6"/>
      <c r="AO1395" s="6"/>
      <c r="AP1395" s="6"/>
      <c r="AQ1395" s="6"/>
      <c r="AR1395" s="6"/>
      <c r="AS1395" s="6"/>
      <c r="AU1395" s="6"/>
      <c r="AV1395" s="6"/>
      <c r="AW1395" s="6"/>
      <c r="AX1395" s="6"/>
      <c r="AY1395" s="6"/>
      <c r="AZ1395" s="6"/>
      <c r="BA1395" s="6"/>
      <c r="BB1395" s="6"/>
      <c r="BC1395" s="6"/>
      <c r="BD1395" s="6"/>
      <c r="BE1395" s="6"/>
    </row>
    <row r="1396" spans="2:57" x14ac:dyDescent="0.3">
      <c r="B1396" s="4" t="s">
        <v>1419</v>
      </c>
      <c r="C1396" s="4">
        <v>38</v>
      </c>
      <c r="D1396" s="4" t="s">
        <v>12</v>
      </c>
      <c r="E1396" s="4" t="s">
        <v>10</v>
      </c>
      <c r="F1396" s="4" t="s">
        <v>43</v>
      </c>
      <c r="G1396" s="18">
        <v>5405</v>
      </c>
      <c r="H1396" s="10">
        <v>4</v>
      </c>
      <c r="I1396" s="4">
        <v>4</v>
      </c>
      <c r="J1396" s="4" t="s">
        <v>9</v>
      </c>
      <c r="K1396" s="3" t="s">
        <v>14</v>
      </c>
      <c r="L1396" s="3" t="str">
        <f>IF(Table1[[#This Row],[Monthly Income]]&lt;3000,"Low",IF(Table1[[#This Row],[Monthly Income]]&lt;7000,"Medium","High"))</f>
        <v>Medium</v>
      </c>
      <c r="AK1396" s="4"/>
      <c r="AL1396" s="4"/>
      <c r="AM1396" s="4"/>
      <c r="AN1396" s="4"/>
      <c r="AO1396" s="4"/>
      <c r="AP1396" s="4"/>
      <c r="AQ1396" s="4"/>
      <c r="AR1396" s="4"/>
      <c r="AS1396" s="4"/>
      <c r="AU1396" s="4"/>
      <c r="AV1396" s="4"/>
      <c r="AW1396" s="4"/>
      <c r="AX1396" s="4"/>
      <c r="AY1396" s="4"/>
      <c r="AZ1396" s="4"/>
      <c r="BA1396" s="4"/>
      <c r="BB1396" s="4"/>
      <c r="BC1396" s="4"/>
      <c r="BD1396" s="4"/>
      <c r="BE1396" s="4"/>
    </row>
    <row r="1397" spans="2:57" x14ac:dyDescent="0.3">
      <c r="B1397" s="6" t="s">
        <v>1420</v>
      </c>
      <c r="C1397" s="6">
        <v>40</v>
      </c>
      <c r="D1397" s="6" t="s">
        <v>17</v>
      </c>
      <c r="E1397" s="6" t="s">
        <v>102</v>
      </c>
      <c r="F1397" s="6" t="s">
        <v>39</v>
      </c>
      <c r="G1397" s="19">
        <v>16437</v>
      </c>
      <c r="H1397" s="11">
        <v>21</v>
      </c>
      <c r="I1397" s="6">
        <v>4</v>
      </c>
      <c r="J1397" s="6" t="s">
        <v>9</v>
      </c>
      <c r="K1397" s="5" t="s">
        <v>14</v>
      </c>
      <c r="L1397" s="3" t="str">
        <f>IF(Table1[[#This Row],[Monthly Income]]&lt;3000,"Low",IF(Table1[[#This Row],[Monthly Income]]&lt;7000,"Medium","High"))</f>
        <v>High</v>
      </c>
      <c r="AK1397" s="6"/>
      <c r="AL1397" s="6"/>
      <c r="AM1397" s="6"/>
      <c r="AN1397" s="6"/>
      <c r="AO1397" s="6"/>
      <c r="AP1397" s="6"/>
      <c r="AQ1397" s="6"/>
      <c r="AR1397" s="6"/>
      <c r="AS1397" s="6"/>
      <c r="AU1397" s="6"/>
      <c r="AV1397" s="6"/>
      <c r="AW1397" s="6"/>
      <c r="AX1397" s="6"/>
      <c r="AY1397" s="6"/>
      <c r="AZ1397" s="6"/>
      <c r="BA1397" s="6"/>
      <c r="BB1397" s="6"/>
      <c r="BC1397" s="6"/>
      <c r="BD1397" s="6"/>
      <c r="BE1397" s="6"/>
    </row>
    <row r="1398" spans="2:57" x14ac:dyDescent="0.3">
      <c r="B1398" s="4" t="s">
        <v>1421</v>
      </c>
      <c r="C1398" s="4">
        <v>27</v>
      </c>
      <c r="D1398" s="4" t="s">
        <v>17</v>
      </c>
      <c r="E1398" s="4" t="s">
        <v>15</v>
      </c>
      <c r="F1398" s="4" t="s">
        <v>27</v>
      </c>
      <c r="G1398" s="18">
        <v>6142</v>
      </c>
      <c r="H1398" s="10">
        <v>6</v>
      </c>
      <c r="I1398" s="4">
        <v>2</v>
      </c>
      <c r="J1398" s="4" t="s">
        <v>9</v>
      </c>
      <c r="K1398" s="3" t="s">
        <v>14</v>
      </c>
      <c r="L1398" s="3" t="str">
        <f>IF(Table1[[#This Row],[Monthly Income]]&lt;3000,"Low",IF(Table1[[#This Row],[Monthly Income]]&lt;7000,"Medium","High"))</f>
        <v>Medium</v>
      </c>
      <c r="AK1398" s="4"/>
      <c r="AL1398" s="4"/>
      <c r="AM1398" s="4"/>
      <c r="AN1398" s="4"/>
      <c r="AO1398" s="4"/>
      <c r="AP1398" s="4"/>
      <c r="AQ1398" s="4"/>
      <c r="AR1398" s="4"/>
      <c r="AS1398" s="4"/>
      <c r="AU1398" s="4"/>
      <c r="AV1398" s="4"/>
      <c r="AW1398" s="4"/>
      <c r="AX1398" s="4"/>
      <c r="AY1398" s="4"/>
      <c r="AZ1398" s="4"/>
      <c r="BA1398" s="4"/>
      <c r="BB1398" s="4"/>
      <c r="BC1398" s="4"/>
      <c r="BD1398" s="4"/>
      <c r="BE1398" s="4"/>
    </row>
    <row r="1399" spans="2:57" x14ac:dyDescent="0.3">
      <c r="B1399" s="6" t="s">
        <v>1422</v>
      </c>
      <c r="C1399" s="6">
        <v>37</v>
      </c>
      <c r="D1399" s="6" t="s">
        <v>17</v>
      </c>
      <c r="E1399" s="6" t="s">
        <v>15</v>
      </c>
      <c r="F1399" s="6" t="s">
        <v>18</v>
      </c>
      <c r="G1399" s="19">
        <v>4284</v>
      </c>
      <c r="H1399" s="11">
        <v>5</v>
      </c>
      <c r="I1399" s="6">
        <v>1</v>
      </c>
      <c r="J1399" s="6" t="s">
        <v>9</v>
      </c>
      <c r="K1399" s="5" t="s">
        <v>14</v>
      </c>
      <c r="L1399" s="3" t="str">
        <f>IF(Table1[[#This Row],[Monthly Income]]&lt;3000,"Low",IF(Table1[[#This Row],[Monthly Income]]&lt;7000,"Medium","High"))</f>
        <v>Medium</v>
      </c>
      <c r="AK1399" s="6"/>
      <c r="AL1399" s="6"/>
      <c r="AM1399" s="6"/>
      <c r="AN1399" s="6"/>
      <c r="AO1399" s="6"/>
      <c r="AP1399" s="6"/>
      <c r="AQ1399" s="6"/>
      <c r="AR1399" s="6"/>
      <c r="AS1399" s="6"/>
      <c r="AU1399" s="6"/>
      <c r="AV1399" s="6"/>
      <c r="AW1399" s="6"/>
      <c r="AX1399" s="6"/>
      <c r="AY1399" s="6"/>
      <c r="AZ1399" s="6"/>
      <c r="BA1399" s="6"/>
      <c r="BB1399" s="6"/>
      <c r="BC1399" s="6"/>
      <c r="BD1399" s="6"/>
      <c r="BE1399" s="6"/>
    </row>
    <row r="1400" spans="2:57" x14ac:dyDescent="0.3">
      <c r="B1400" s="4" t="s">
        <v>1423</v>
      </c>
      <c r="C1400" s="4">
        <v>34</v>
      </c>
      <c r="D1400" s="4" t="s">
        <v>17</v>
      </c>
      <c r="E1400" s="4" t="s">
        <v>10</v>
      </c>
      <c r="F1400" s="4" t="s">
        <v>43</v>
      </c>
      <c r="G1400" s="18">
        <v>2308</v>
      </c>
      <c r="H1400" s="10">
        <v>11</v>
      </c>
      <c r="I1400" s="4">
        <v>3</v>
      </c>
      <c r="J1400" s="4" t="s">
        <v>9</v>
      </c>
      <c r="K1400" s="3" t="s">
        <v>14</v>
      </c>
      <c r="L1400" s="3" t="str">
        <f>IF(Table1[[#This Row],[Monthly Income]]&lt;3000,"Low",IF(Table1[[#This Row],[Monthly Income]]&lt;7000,"Medium","High"))</f>
        <v>Low</v>
      </c>
      <c r="AK1400" s="4"/>
      <c r="AL1400" s="4"/>
      <c r="AM1400" s="4"/>
      <c r="AN1400" s="4"/>
      <c r="AO1400" s="4"/>
      <c r="AP1400" s="4"/>
      <c r="AQ1400" s="4"/>
      <c r="AR1400" s="4"/>
      <c r="AS1400" s="4"/>
      <c r="AU1400" s="4"/>
      <c r="AV1400" s="4"/>
      <c r="AW1400" s="4"/>
      <c r="AX1400" s="4"/>
      <c r="AY1400" s="4"/>
      <c r="AZ1400" s="4"/>
      <c r="BA1400" s="4"/>
      <c r="BB1400" s="4"/>
      <c r="BC1400" s="4"/>
      <c r="BD1400" s="4"/>
      <c r="BE1400" s="4"/>
    </row>
    <row r="1401" spans="2:57" x14ac:dyDescent="0.3">
      <c r="B1401" s="6" t="s">
        <v>1424</v>
      </c>
      <c r="C1401" s="6">
        <v>36</v>
      </c>
      <c r="D1401" s="6" t="s">
        <v>17</v>
      </c>
      <c r="E1401" s="6" t="s">
        <v>10</v>
      </c>
      <c r="F1401" s="6" t="s">
        <v>43</v>
      </c>
      <c r="G1401" s="19">
        <v>2644</v>
      </c>
      <c r="H1401" s="11">
        <v>3</v>
      </c>
      <c r="I1401" s="6">
        <v>4</v>
      </c>
      <c r="J1401" s="6" t="s">
        <v>9</v>
      </c>
      <c r="K1401" s="5" t="s">
        <v>14</v>
      </c>
      <c r="L1401" s="3" t="str">
        <f>IF(Table1[[#This Row],[Monthly Income]]&lt;3000,"Low",IF(Table1[[#This Row],[Monthly Income]]&lt;7000,"Medium","High"))</f>
        <v>Low</v>
      </c>
      <c r="AK1401" s="6"/>
      <c r="AL1401" s="6"/>
      <c r="AM1401" s="6"/>
      <c r="AN1401" s="6"/>
      <c r="AO1401" s="6"/>
      <c r="AP1401" s="6"/>
      <c r="AQ1401" s="6"/>
      <c r="AR1401" s="6"/>
      <c r="AS1401" s="6"/>
      <c r="AU1401" s="6"/>
      <c r="AV1401" s="6"/>
      <c r="AW1401" s="6"/>
      <c r="AX1401" s="6"/>
      <c r="AY1401" s="6"/>
      <c r="AZ1401" s="6"/>
      <c r="BA1401" s="6"/>
      <c r="BB1401" s="6"/>
      <c r="BC1401" s="6"/>
      <c r="BD1401" s="6"/>
      <c r="BE1401" s="6"/>
    </row>
    <row r="1402" spans="2:57" x14ac:dyDescent="0.3">
      <c r="B1402" s="4" t="s">
        <v>1425</v>
      </c>
      <c r="C1402" s="4">
        <v>30</v>
      </c>
      <c r="D1402" s="4" t="s">
        <v>12</v>
      </c>
      <c r="E1402" s="4" t="s">
        <v>102</v>
      </c>
      <c r="F1402" s="4" t="s">
        <v>104</v>
      </c>
      <c r="G1402" s="18">
        <v>2180</v>
      </c>
      <c r="H1402" s="10">
        <v>4</v>
      </c>
      <c r="I1402" s="4">
        <v>4</v>
      </c>
      <c r="J1402" s="4" t="s">
        <v>14</v>
      </c>
      <c r="K1402" s="3" t="s">
        <v>9</v>
      </c>
      <c r="L1402" s="3" t="str">
        <f>IF(Table1[[#This Row],[Monthly Income]]&lt;3000,"Low",IF(Table1[[#This Row],[Monthly Income]]&lt;7000,"Medium","High"))</f>
        <v>Low</v>
      </c>
      <c r="AK1402" s="4"/>
      <c r="AL1402" s="4"/>
      <c r="AM1402" s="4"/>
      <c r="AN1402" s="4"/>
      <c r="AO1402" s="4"/>
      <c r="AP1402" s="4"/>
      <c r="AQ1402" s="4"/>
      <c r="AR1402" s="4"/>
      <c r="AS1402" s="4"/>
      <c r="AU1402" s="4"/>
      <c r="AV1402" s="4"/>
      <c r="AW1402" s="4"/>
      <c r="AX1402" s="4"/>
      <c r="AY1402" s="4"/>
      <c r="AZ1402" s="4"/>
      <c r="BA1402" s="4"/>
      <c r="BB1402" s="4"/>
      <c r="BC1402" s="4"/>
      <c r="BD1402" s="4"/>
      <c r="BE1402" s="4"/>
    </row>
    <row r="1403" spans="2:57" x14ac:dyDescent="0.3">
      <c r="B1403" s="6" t="s">
        <v>1426</v>
      </c>
      <c r="C1403" s="6">
        <v>27</v>
      </c>
      <c r="D1403" s="6" t="s">
        <v>12</v>
      </c>
      <c r="E1403" s="6" t="s">
        <v>102</v>
      </c>
      <c r="F1403" s="6" t="s">
        <v>104</v>
      </c>
      <c r="G1403" s="19">
        <v>2863</v>
      </c>
      <c r="H1403" s="11">
        <v>1</v>
      </c>
      <c r="I1403" s="6">
        <v>2</v>
      </c>
      <c r="J1403" s="6" t="s">
        <v>14</v>
      </c>
      <c r="K1403" s="5" t="s">
        <v>9</v>
      </c>
      <c r="L1403" s="3" t="str">
        <f>IF(Table1[[#This Row],[Monthly Income]]&lt;3000,"Low",IF(Table1[[#This Row],[Monthly Income]]&lt;7000,"Medium","High"))</f>
        <v>Low</v>
      </c>
      <c r="AK1403" s="6"/>
      <c r="AL1403" s="6"/>
      <c r="AM1403" s="6"/>
      <c r="AN1403" s="6"/>
      <c r="AO1403" s="6"/>
      <c r="AP1403" s="6"/>
      <c r="AQ1403" s="6"/>
      <c r="AR1403" s="6"/>
      <c r="AS1403" s="6"/>
      <c r="AU1403" s="6"/>
      <c r="AV1403" s="6"/>
      <c r="AW1403" s="6"/>
      <c r="AX1403" s="6"/>
      <c r="AY1403" s="6"/>
      <c r="AZ1403" s="6"/>
      <c r="BA1403" s="6"/>
      <c r="BB1403" s="6"/>
      <c r="BC1403" s="6"/>
      <c r="BD1403" s="6"/>
      <c r="BE1403" s="6"/>
    </row>
    <row r="1404" spans="2:57" x14ac:dyDescent="0.3">
      <c r="B1404" s="4" t="s">
        <v>1427</v>
      </c>
      <c r="C1404" s="4">
        <v>31</v>
      </c>
      <c r="D1404" s="4" t="s">
        <v>12</v>
      </c>
      <c r="E1404" s="4" t="s">
        <v>15</v>
      </c>
      <c r="F1404" s="4" t="s">
        <v>27</v>
      </c>
      <c r="G1404" s="18">
        <v>7446</v>
      </c>
      <c r="H1404" s="10">
        <v>10</v>
      </c>
      <c r="I1404" s="4">
        <v>2</v>
      </c>
      <c r="J1404" s="4" t="s">
        <v>14</v>
      </c>
      <c r="K1404" s="3" t="s">
        <v>9</v>
      </c>
      <c r="L1404" s="3" t="str">
        <f>IF(Table1[[#This Row],[Monthly Income]]&lt;3000,"Low",IF(Table1[[#This Row],[Monthly Income]]&lt;7000,"Medium","High"))</f>
        <v>High</v>
      </c>
      <c r="AK1404" s="4"/>
      <c r="AL1404" s="4"/>
      <c r="AM1404" s="4"/>
      <c r="AN1404" s="4"/>
      <c r="AO1404" s="4"/>
      <c r="AP1404" s="4"/>
      <c r="AQ1404" s="4"/>
      <c r="AR1404" s="4"/>
      <c r="AS1404" s="4"/>
      <c r="AU1404" s="4"/>
      <c r="AV1404" s="4"/>
      <c r="AW1404" s="4"/>
      <c r="AX1404" s="4"/>
      <c r="AY1404" s="4"/>
      <c r="AZ1404" s="4"/>
      <c r="BA1404" s="4"/>
      <c r="BB1404" s="4"/>
      <c r="BC1404" s="4"/>
      <c r="BD1404" s="4"/>
      <c r="BE1404" s="4"/>
    </row>
    <row r="1405" spans="2:57" x14ac:dyDescent="0.3">
      <c r="B1405" s="6" t="s">
        <v>1428</v>
      </c>
      <c r="C1405" s="6">
        <v>31</v>
      </c>
      <c r="D1405" s="6" t="s">
        <v>12</v>
      </c>
      <c r="E1405" s="6" t="s">
        <v>15</v>
      </c>
      <c r="F1405" s="6" t="s">
        <v>18</v>
      </c>
      <c r="G1405" s="19">
        <v>4084</v>
      </c>
      <c r="H1405" s="11">
        <v>7</v>
      </c>
      <c r="I1405" s="6">
        <v>3</v>
      </c>
      <c r="J1405" s="6" t="s">
        <v>14</v>
      </c>
      <c r="K1405" s="5" t="s">
        <v>9</v>
      </c>
      <c r="L1405" s="3" t="str">
        <f>IF(Table1[[#This Row],[Monthly Income]]&lt;3000,"Low",IF(Table1[[#This Row],[Monthly Income]]&lt;7000,"Medium","High"))</f>
        <v>Medium</v>
      </c>
      <c r="AK1405" s="6"/>
      <c r="AL1405" s="6"/>
      <c r="AM1405" s="6"/>
      <c r="AN1405" s="6"/>
      <c r="AO1405" s="6"/>
      <c r="AP1405" s="6"/>
      <c r="AQ1405" s="6"/>
      <c r="AR1405" s="6"/>
      <c r="AS1405" s="6"/>
      <c r="AU1405" s="6"/>
      <c r="AV1405" s="6"/>
      <c r="AW1405" s="6"/>
      <c r="AX1405" s="6"/>
      <c r="AY1405" s="6"/>
      <c r="AZ1405" s="6"/>
      <c r="BA1405" s="6"/>
      <c r="BB1405" s="6"/>
      <c r="BC1405" s="6"/>
      <c r="BD1405" s="6"/>
      <c r="BE1405" s="6"/>
    </row>
    <row r="1406" spans="2:57" x14ac:dyDescent="0.3">
      <c r="B1406" s="4" t="s">
        <v>1429</v>
      </c>
      <c r="C1406" s="4">
        <v>29</v>
      </c>
      <c r="D1406" s="4" t="s">
        <v>12</v>
      </c>
      <c r="E1406" s="4" t="s">
        <v>10</v>
      </c>
      <c r="F1406" s="4" t="s">
        <v>13</v>
      </c>
      <c r="G1406" s="18">
        <v>5765</v>
      </c>
      <c r="H1406" s="10">
        <v>5</v>
      </c>
      <c r="I1406" s="4">
        <v>2</v>
      </c>
      <c r="J1406" s="4" t="s">
        <v>14</v>
      </c>
      <c r="K1406" s="3" t="s">
        <v>9</v>
      </c>
      <c r="L1406" s="3" t="str">
        <f>IF(Table1[[#This Row],[Monthly Income]]&lt;3000,"Low",IF(Table1[[#This Row],[Monthly Income]]&lt;7000,"Medium","High"))</f>
        <v>Medium</v>
      </c>
      <c r="AK1406" s="4"/>
      <c r="AL1406" s="4"/>
      <c r="AM1406" s="4"/>
      <c r="AN1406" s="4"/>
      <c r="AO1406" s="4"/>
      <c r="AP1406" s="4"/>
      <c r="AQ1406" s="4"/>
      <c r="AR1406" s="4"/>
      <c r="AS1406" s="4"/>
      <c r="AU1406" s="4"/>
      <c r="AV1406" s="4"/>
      <c r="AW1406" s="4"/>
      <c r="AX1406" s="4"/>
      <c r="AY1406" s="4"/>
      <c r="AZ1406" s="4"/>
      <c r="BA1406" s="4"/>
      <c r="BB1406" s="4"/>
      <c r="BC1406" s="4"/>
      <c r="BD1406" s="4"/>
      <c r="BE1406" s="4"/>
    </row>
    <row r="1407" spans="2:57" x14ac:dyDescent="0.3">
      <c r="B1407" s="6" t="s">
        <v>1430</v>
      </c>
      <c r="C1407" s="6">
        <v>31</v>
      </c>
      <c r="D1407" s="6" t="s">
        <v>12</v>
      </c>
      <c r="E1407" s="6" t="s">
        <v>10</v>
      </c>
      <c r="F1407" s="6" t="s">
        <v>43</v>
      </c>
      <c r="G1407" s="19">
        <v>1359</v>
      </c>
      <c r="H1407" s="11">
        <v>1</v>
      </c>
      <c r="I1407" s="6">
        <v>3</v>
      </c>
      <c r="J1407" s="6" t="s">
        <v>14</v>
      </c>
      <c r="K1407" s="5" t="s">
        <v>9</v>
      </c>
      <c r="L1407" s="3" t="str">
        <f>IF(Table1[[#This Row],[Monthly Income]]&lt;3000,"Low",IF(Table1[[#This Row],[Monthly Income]]&lt;7000,"Medium","High"))</f>
        <v>Low</v>
      </c>
      <c r="AK1407" s="6"/>
      <c r="AL1407" s="6"/>
      <c r="AM1407" s="6"/>
      <c r="AN1407" s="6"/>
      <c r="AO1407" s="6"/>
      <c r="AP1407" s="6"/>
      <c r="AQ1407" s="6"/>
      <c r="AR1407" s="6"/>
      <c r="AS1407" s="6"/>
      <c r="AU1407" s="6"/>
      <c r="AV1407" s="6"/>
      <c r="AW1407" s="6"/>
      <c r="AX1407" s="6"/>
      <c r="AY1407" s="6"/>
      <c r="AZ1407" s="6"/>
      <c r="BA1407" s="6"/>
      <c r="BB1407" s="6"/>
      <c r="BC1407" s="6"/>
      <c r="BD1407" s="6"/>
      <c r="BE1407" s="6"/>
    </row>
    <row r="1408" spans="2:57" x14ac:dyDescent="0.3">
      <c r="B1408" s="4" t="s">
        <v>1431</v>
      </c>
      <c r="C1408" s="4">
        <v>34</v>
      </c>
      <c r="D1408" s="4" t="s">
        <v>12</v>
      </c>
      <c r="E1408" s="4" t="s">
        <v>102</v>
      </c>
      <c r="F1408" s="4" t="s">
        <v>104</v>
      </c>
      <c r="G1408" s="18">
        <v>2742</v>
      </c>
      <c r="H1408" s="10">
        <v>2</v>
      </c>
      <c r="I1408" s="4">
        <v>3</v>
      </c>
      <c r="J1408" s="4" t="s">
        <v>14</v>
      </c>
      <c r="K1408" s="3" t="s">
        <v>9</v>
      </c>
      <c r="L1408" s="3" t="str">
        <f>IF(Table1[[#This Row],[Monthly Income]]&lt;3000,"Low",IF(Table1[[#This Row],[Monthly Income]]&lt;7000,"Medium","High"))</f>
        <v>Low</v>
      </c>
      <c r="AK1408" s="4"/>
      <c r="AL1408" s="4"/>
      <c r="AM1408" s="4"/>
      <c r="AN1408" s="4"/>
      <c r="AO1408" s="4"/>
      <c r="AP1408" s="4"/>
      <c r="AQ1408" s="4"/>
      <c r="AR1408" s="4"/>
      <c r="AS1408" s="4"/>
      <c r="AU1408" s="4"/>
      <c r="AV1408" s="4"/>
      <c r="AW1408" s="4"/>
      <c r="AX1408" s="4"/>
      <c r="AY1408" s="4"/>
      <c r="AZ1408" s="4"/>
      <c r="BA1408" s="4"/>
      <c r="BB1408" s="4"/>
      <c r="BC1408" s="4"/>
      <c r="BD1408" s="4"/>
      <c r="BE1408" s="4"/>
    </row>
    <row r="1409" spans="2:57" x14ac:dyDescent="0.3">
      <c r="B1409" s="6" t="s">
        <v>1432</v>
      </c>
      <c r="C1409" s="6">
        <v>53</v>
      </c>
      <c r="D1409" s="6" t="s">
        <v>12</v>
      </c>
      <c r="E1409" s="6" t="s">
        <v>15</v>
      </c>
      <c r="F1409" s="6" t="s">
        <v>27</v>
      </c>
      <c r="G1409" s="19">
        <v>10169</v>
      </c>
      <c r="H1409" s="11">
        <v>33</v>
      </c>
      <c r="I1409" s="6">
        <v>4</v>
      </c>
      <c r="J1409" s="6" t="s">
        <v>14</v>
      </c>
      <c r="K1409" s="5" t="s">
        <v>9</v>
      </c>
      <c r="L1409" s="3" t="str">
        <f>IF(Table1[[#This Row],[Monthly Income]]&lt;3000,"Low",IF(Table1[[#This Row],[Monthly Income]]&lt;7000,"Medium","High"))</f>
        <v>High</v>
      </c>
      <c r="AK1409" s="6"/>
      <c r="AL1409" s="6"/>
      <c r="AM1409" s="6"/>
      <c r="AN1409" s="6"/>
      <c r="AO1409" s="6"/>
      <c r="AP1409" s="6"/>
      <c r="AQ1409" s="6"/>
      <c r="AR1409" s="6"/>
      <c r="AS1409" s="6"/>
      <c r="AU1409" s="6"/>
      <c r="AV1409" s="6"/>
      <c r="AW1409" s="6"/>
      <c r="AX1409" s="6"/>
      <c r="AY1409" s="6"/>
      <c r="AZ1409" s="6"/>
      <c r="BA1409" s="6"/>
      <c r="BB1409" s="6"/>
      <c r="BC1409" s="6"/>
      <c r="BD1409" s="6"/>
      <c r="BE1409" s="6"/>
    </row>
    <row r="1410" spans="2:57" x14ac:dyDescent="0.3">
      <c r="B1410" s="4" t="s">
        <v>1433</v>
      </c>
      <c r="C1410" s="4">
        <v>31</v>
      </c>
      <c r="D1410" s="4" t="s">
        <v>12</v>
      </c>
      <c r="E1410" s="4" t="s">
        <v>15</v>
      </c>
      <c r="F1410" s="4" t="s">
        <v>18</v>
      </c>
      <c r="G1410" s="18">
        <v>1261</v>
      </c>
      <c r="H1410" s="10">
        <v>1</v>
      </c>
      <c r="I1410" s="4">
        <v>2</v>
      </c>
      <c r="J1410" s="4" t="s">
        <v>14</v>
      </c>
      <c r="K1410" s="3" t="s">
        <v>9</v>
      </c>
      <c r="L1410" s="3" t="str">
        <f>IF(Table1[[#This Row],[Monthly Income]]&lt;3000,"Low",IF(Table1[[#This Row],[Monthly Income]]&lt;7000,"Medium","High"))</f>
        <v>Low</v>
      </c>
      <c r="AK1410" s="4"/>
      <c r="AL1410" s="4"/>
      <c r="AM1410" s="4"/>
      <c r="AN1410" s="4"/>
      <c r="AO1410" s="4"/>
      <c r="AP1410" s="4"/>
      <c r="AQ1410" s="4"/>
      <c r="AR1410" s="4"/>
      <c r="AS1410" s="4"/>
      <c r="AU1410" s="4"/>
      <c r="AV1410" s="4"/>
      <c r="AW1410" s="4"/>
      <c r="AX1410" s="4"/>
      <c r="AY1410" s="4"/>
      <c r="AZ1410" s="4"/>
      <c r="BA1410" s="4"/>
      <c r="BB1410" s="4"/>
      <c r="BC1410" s="4"/>
      <c r="BD1410" s="4"/>
      <c r="BE1410" s="4"/>
    </row>
    <row r="1411" spans="2:57" x14ac:dyDescent="0.3">
      <c r="B1411" s="6" t="s">
        <v>1434</v>
      </c>
      <c r="C1411" s="6">
        <v>29</v>
      </c>
      <c r="D1411" s="6" t="s">
        <v>12</v>
      </c>
      <c r="E1411" s="6" t="s">
        <v>10</v>
      </c>
      <c r="F1411" s="6" t="s">
        <v>43</v>
      </c>
      <c r="G1411" s="19">
        <v>2760</v>
      </c>
      <c r="H1411" s="11">
        <v>2</v>
      </c>
      <c r="I1411" s="6">
        <v>2</v>
      </c>
      <c r="J1411" s="6" t="s">
        <v>14</v>
      </c>
      <c r="K1411" s="5" t="s">
        <v>9</v>
      </c>
      <c r="L1411" s="3" t="str">
        <f>IF(Table1[[#This Row],[Monthly Income]]&lt;3000,"Low",IF(Table1[[#This Row],[Monthly Income]]&lt;7000,"Medium","High"))</f>
        <v>Low</v>
      </c>
      <c r="AK1411" s="6"/>
      <c r="AL1411" s="6"/>
      <c r="AM1411" s="6"/>
      <c r="AN1411" s="6"/>
      <c r="AO1411" s="6"/>
      <c r="AP1411" s="6"/>
      <c r="AQ1411" s="6"/>
      <c r="AR1411" s="6"/>
      <c r="AS1411" s="6"/>
      <c r="AU1411" s="6"/>
      <c r="AV1411" s="6"/>
      <c r="AW1411" s="6"/>
      <c r="AX1411" s="6"/>
      <c r="AY1411" s="6"/>
      <c r="AZ1411" s="6"/>
      <c r="BA1411" s="6"/>
      <c r="BB1411" s="6"/>
      <c r="BC1411" s="6"/>
      <c r="BD1411" s="6"/>
      <c r="BE1411" s="6"/>
    </row>
    <row r="1412" spans="2:57" x14ac:dyDescent="0.3">
      <c r="B1412" s="4" t="s">
        <v>1435</v>
      </c>
      <c r="C1412" s="4">
        <v>34</v>
      </c>
      <c r="D1412" s="4" t="s">
        <v>17</v>
      </c>
      <c r="E1412" s="4" t="s">
        <v>15</v>
      </c>
      <c r="F1412" s="4" t="s">
        <v>20</v>
      </c>
      <c r="G1412" s="18">
        <v>5346</v>
      </c>
      <c r="H1412" s="10">
        <v>7</v>
      </c>
      <c r="I1412" s="4">
        <v>1</v>
      </c>
      <c r="J1412" s="4" t="s">
        <v>14</v>
      </c>
      <c r="K1412" s="3" t="s">
        <v>9</v>
      </c>
      <c r="L1412" s="3" t="str">
        <f>IF(Table1[[#This Row],[Monthly Income]]&lt;3000,"Low",IF(Table1[[#This Row],[Monthly Income]]&lt;7000,"Medium","High"))</f>
        <v>Medium</v>
      </c>
      <c r="AK1412" s="4"/>
      <c r="AL1412" s="4"/>
      <c r="AM1412" s="4"/>
      <c r="AN1412" s="4"/>
      <c r="AO1412" s="4"/>
      <c r="AP1412" s="4"/>
      <c r="AQ1412" s="4"/>
      <c r="AR1412" s="4"/>
      <c r="AS1412" s="4"/>
      <c r="AU1412" s="4"/>
      <c r="AV1412" s="4"/>
      <c r="AW1412" s="4"/>
      <c r="AX1412" s="4"/>
      <c r="AY1412" s="4"/>
      <c r="AZ1412" s="4"/>
      <c r="BA1412" s="4"/>
      <c r="BB1412" s="4"/>
      <c r="BC1412" s="4"/>
      <c r="BD1412" s="4"/>
      <c r="BE1412" s="4"/>
    </row>
    <row r="1413" spans="2:57" x14ac:dyDescent="0.3">
      <c r="B1413" s="6" t="s">
        <v>1436</v>
      </c>
      <c r="C1413" s="6">
        <v>28</v>
      </c>
      <c r="D1413" s="6" t="s">
        <v>17</v>
      </c>
      <c r="E1413" s="6" t="s">
        <v>15</v>
      </c>
      <c r="F1413" s="6" t="s">
        <v>20</v>
      </c>
      <c r="G1413" s="19">
        <v>2561</v>
      </c>
      <c r="H1413" s="11">
        <v>0</v>
      </c>
      <c r="I1413" s="6">
        <v>1</v>
      </c>
      <c r="J1413" s="6" t="s">
        <v>14</v>
      </c>
      <c r="K1413" s="5" t="s">
        <v>9</v>
      </c>
      <c r="L1413" s="3" t="str">
        <f>IF(Table1[[#This Row],[Monthly Income]]&lt;3000,"Low",IF(Table1[[#This Row],[Monthly Income]]&lt;7000,"Medium","High"))</f>
        <v>Low</v>
      </c>
      <c r="AK1413" s="6"/>
      <c r="AL1413" s="6"/>
      <c r="AM1413" s="6"/>
      <c r="AN1413" s="6"/>
      <c r="AO1413" s="6"/>
      <c r="AP1413" s="6"/>
      <c r="AQ1413" s="6"/>
      <c r="AR1413" s="6"/>
      <c r="AS1413" s="6"/>
      <c r="AU1413" s="6"/>
      <c r="AV1413" s="6"/>
      <c r="AW1413" s="6"/>
      <c r="AX1413" s="6"/>
      <c r="AY1413" s="6"/>
      <c r="AZ1413" s="6"/>
      <c r="BA1413" s="6"/>
      <c r="BB1413" s="6"/>
      <c r="BC1413" s="6"/>
      <c r="BD1413" s="6"/>
      <c r="BE1413" s="6"/>
    </row>
    <row r="1414" spans="2:57" x14ac:dyDescent="0.3">
      <c r="B1414" s="4" t="s">
        <v>1437</v>
      </c>
      <c r="C1414" s="4">
        <v>50</v>
      </c>
      <c r="D1414" s="4" t="s">
        <v>17</v>
      </c>
      <c r="E1414" s="4" t="s">
        <v>10</v>
      </c>
      <c r="F1414" s="4" t="s">
        <v>13</v>
      </c>
      <c r="G1414" s="18">
        <v>6728</v>
      </c>
      <c r="H1414" s="10">
        <v>6</v>
      </c>
      <c r="I1414" s="4">
        <v>3</v>
      </c>
      <c r="J1414" s="4" t="s">
        <v>14</v>
      </c>
      <c r="K1414" s="3" t="s">
        <v>9</v>
      </c>
      <c r="L1414" s="3" t="str">
        <f>IF(Table1[[#This Row],[Monthly Income]]&lt;3000,"Low",IF(Table1[[#This Row],[Monthly Income]]&lt;7000,"Medium","High"))</f>
        <v>Medium</v>
      </c>
      <c r="AK1414" s="4"/>
      <c r="AL1414" s="4"/>
      <c r="AM1414" s="4"/>
      <c r="AN1414" s="4"/>
      <c r="AO1414" s="4"/>
      <c r="AP1414" s="4"/>
      <c r="AQ1414" s="4"/>
      <c r="AR1414" s="4"/>
      <c r="AS1414" s="4"/>
      <c r="AU1414" s="4"/>
      <c r="AV1414" s="4"/>
      <c r="AW1414" s="4"/>
      <c r="AX1414" s="4"/>
      <c r="AY1414" s="4"/>
      <c r="AZ1414" s="4"/>
      <c r="BA1414" s="4"/>
      <c r="BB1414" s="4"/>
      <c r="BC1414" s="4"/>
      <c r="BD1414" s="4"/>
      <c r="BE1414" s="4"/>
    </row>
    <row r="1415" spans="2:57" x14ac:dyDescent="0.3">
      <c r="B1415" s="6" t="s">
        <v>1438</v>
      </c>
      <c r="C1415" s="6">
        <v>47</v>
      </c>
      <c r="D1415" s="6" t="s">
        <v>17</v>
      </c>
      <c r="E1415" s="6" t="s">
        <v>10</v>
      </c>
      <c r="F1415" s="6" t="s">
        <v>13</v>
      </c>
      <c r="G1415" s="19">
        <v>12936</v>
      </c>
      <c r="H1415" s="11">
        <v>23</v>
      </c>
      <c r="I1415" s="6">
        <v>3</v>
      </c>
      <c r="J1415" s="6" t="s">
        <v>14</v>
      </c>
      <c r="K1415" s="5" t="s">
        <v>9</v>
      </c>
      <c r="L1415" s="3" t="str">
        <f>IF(Table1[[#This Row],[Monthly Income]]&lt;3000,"Low",IF(Table1[[#This Row],[Monthly Income]]&lt;7000,"Medium","High"))</f>
        <v>High</v>
      </c>
      <c r="AK1415" s="6"/>
      <c r="AL1415" s="6"/>
      <c r="AM1415" s="6"/>
      <c r="AN1415" s="6"/>
      <c r="AO1415" s="6"/>
      <c r="AP1415" s="6"/>
      <c r="AQ1415" s="6"/>
      <c r="AR1415" s="6"/>
      <c r="AS1415" s="6"/>
      <c r="AU1415" s="6"/>
      <c r="AV1415" s="6"/>
      <c r="AW1415" s="6"/>
      <c r="AX1415" s="6"/>
      <c r="AY1415" s="6"/>
      <c r="AZ1415" s="6"/>
      <c r="BA1415" s="6"/>
      <c r="BB1415" s="6"/>
      <c r="BC1415" s="6"/>
      <c r="BD1415" s="6"/>
      <c r="BE1415" s="6"/>
    </row>
    <row r="1416" spans="2:57" x14ac:dyDescent="0.3">
      <c r="B1416" s="4" t="s">
        <v>1439</v>
      </c>
      <c r="C1416" s="4">
        <v>28</v>
      </c>
      <c r="D1416" s="4" t="s">
        <v>17</v>
      </c>
      <c r="E1416" s="4" t="s">
        <v>10</v>
      </c>
      <c r="F1416" s="4" t="s">
        <v>43</v>
      </c>
      <c r="G1416" s="18">
        <v>2909</v>
      </c>
      <c r="H1416" s="10">
        <v>3</v>
      </c>
      <c r="I1416" s="4">
        <v>3</v>
      </c>
      <c r="J1416" s="4" t="s">
        <v>14</v>
      </c>
      <c r="K1416" s="3" t="s">
        <v>9</v>
      </c>
      <c r="L1416" s="3" t="str">
        <f>IF(Table1[[#This Row],[Monthly Income]]&lt;3000,"Low",IF(Table1[[#This Row],[Monthly Income]]&lt;7000,"Medium","High"))</f>
        <v>Low</v>
      </c>
      <c r="AK1416" s="4"/>
      <c r="AL1416" s="4"/>
      <c r="AM1416" s="4"/>
      <c r="AN1416" s="4"/>
      <c r="AO1416" s="4"/>
      <c r="AP1416" s="4"/>
      <c r="AQ1416" s="4"/>
      <c r="AR1416" s="4"/>
      <c r="AS1416" s="4"/>
      <c r="AU1416" s="4"/>
      <c r="AV1416" s="4"/>
      <c r="AW1416" s="4"/>
      <c r="AX1416" s="4"/>
      <c r="AY1416" s="4"/>
      <c r="AZ1416" s="4"/>
      <c r="BA1416" s="4"/>
      <c r="BB1416" s="4"/>
      <c r="BC1416" s="4"/>
      <c r="BD1416" s="4"/>
      <c r="BE1416" s="4"/>
    </row>
    <row r="1417" spans="2:57" x14ac:dyDescent="0.3">
      <c r="B1417" s="6" t="s">
        <v>1440</v>
      </c>
      <c r="C1417" s="6">
        <v>23</v>
      </c>
      <c r="D1417" s="6" t="s">
        <v>17</v>
      </c>
      <c r="E1417" s="6" t="s">
        <v>10</v>
      </c>
      <c r="F1417" s="6" t="s">
        <v>43</v>
      </c>
      <c r="G1417" s="19">
        <v>1790</v>
      </c>
      <c r="H1417" s="11">
        <v>1</v>
      </c>
      <c r="I1417" s="6">
        <v>1</v>
      </c>
      <c r="J1417" s="6" t="s">
        <v>14</v>
      </c>
      <c r="K1417" s="5" t="s">
        <v>9</v>
      </c>
      <c r="L1417" s="3" t="str">
        <f>IF(Table1[[#This Row],[Monthly Income]]&lt;3000,"Low",IF(Table1[[#This Row],[Monthly Income]]&lt;7000,"Medium","High"))</f>
        <v>Low</v>
      </c>
      <c r="AK1417" s="6"/>
      <c r="AL1417" s="6"/>
      <c r="AM1417" s="6"/>
      <c r="AN1417" s="6"/>
      <c r="AO1417" s="6"/>
      <c r="AP1417" s="6"/>
      <c r="AQ1417" s="6"/>
      <c r="AR1417" s="6"/>
      <c r="AS1417" s="6"/>
      <c r="AU1417" s="6"/>
      <c r="AV1417" s="6"/>
      <c r="AW1417" s="6"/>
      <c r="AX1417" s="6"/>
      <c r="AY1417" s="6"/>
      <c r="AZ1417" s="6"/>
      <c r="BA1417" s="6"/>
      <c r="BB1417" s="6"/>
      <c r="BC1417" s="6"/>
      <c r="BD1417" s="6"/>
      <c r="BE1417" s="6"/>
    </row>
    <row r="1418" spans="2:57" x14ac:dyDescent="0.3">
      <c r="B1418" s="4" t="s">
        <v>1441</v>
      </c>
      <c r="C1418" s="4">
        <v>29</v>
      </c>
      <c r="D1418" s="4" t="s">
        <v>17</v>
      </c>
      <c r="E1418" s="4" t="s">
        <v>10</v>
      </c>
      <c r="F1418" s="4" t="s">
        <v>43</v>
      </c>
      <c r="G1418" s="18">
        <v>1091</v>
      </c>
      <c r="H1418" s="10">
        <v>1</v>
      </c>
      <c r="I1418" s="4">
        <v>1</v>
      </c>
      <c r="J1418" s="4" t="s">
        <v>14</v>
      </c>
      <c r="K1418" s="3" t="s">
        <v>9</v>
      </c>
      <c r="L1418" s="3" t="str">
        <f>IF(Table1[[#This Row],[Monthly Income]]&lt;3000,"Low",IF(Table1[[#This Row],[Monthly Income]]&lt;7000,"Medium","High"))</f>
        <v>Low</v>
      </c>
      <c r="AK1418" s="4"/>
      <c r="AL1418" s="4"/>
      <c r="AM1418" s="4"/>
      <c r="AN1418" s="4"/>
      <c r="AO1418" s="4"/>
      <c r="AP1418" s="4"/>
      <c r="AQ1418" s="4"/>
      <c r="AR1418" s="4"/>
      <c r="AS1418" s="4"/>
      <c r="AU1418" s="4"/>
      <c r="AV1418" s="4"/>
      <c r="AW1418" s="4"/>
      <c r="AX1418" s="4"/>
      <c r="AY1418" s="4"/>
      <c r="AZ1418" s="4"/>
      <c r="BA1418" s="4"/>
      <c r="BB1418" s="4"/>
      <c r="BC1418" s="4"/>
      <c r="BD1418" s="4"/>
      <c r="BE1418" s="4"/>
    </row>
    <row r="1419" spans="2:57" x14ac:dyDescent="0.3">
      <c r="B1419" s="6" t="s">
        <v>1442</v>
      </c>
      <c r="C1419" s="6">
        <v>31</v>
      </c>
      <c r="D1419" s="6" t="s">
        <v>17</v>
      </c>
      <c r="E1419" s="6" t="s">
        <v>102</v>
      </c>
      <c r="F1419" s="6" t="s">
        <v>104</v>
      </c>
      <c r="G1419" s="19">
        <v>2956</v>
      </c>
      <c r="H1419" s="11">
        <v>1</v>
      </c>
      <c r="I1419" s="6">
        <v>1</v>
      </c>
      <c r="J1419" s="6" t="s">
        <v>14</v>
      </c>
      <c r="K1419" s="5" t="s">
        <v>9</v>
      </c>
      <c r="L1419" s="3" t="str">
        <f>IF(Table1[[#This Row],[Monthly Income]]&lt;3000,"Low",IF(Table1[[#This Row],[Monthly Income]]&lt;7000,"Medium","High"))</f>
        <v>Low</v>
      </c>
      <c r="AK1419" s="6"/>
      <c r="AL1419" s="6"/>
      <c r="AM1419" s="6"/>
      <c r="AN1419" s="6"/>
      <c r="AO1419" s="6"/>
      <c r="AP1419" s="6"/>
      <c r="AQ1419" s="6"/>
      <c r="AR1419" s="6"/>
      <c r="AS1419" s="6"/>
      <c r="AU1419" s="6"/>
      <c r="AV1419" s="6"/>
      <c r="AW1419" s="6"/>
      <c r="AX1419" s="6"/>
      <c r="AY1419" s="6"/>
      <c r="AZ1419" s="6"/>
      <c r="BA1419" s="6"/>
      <c r="BB1419" s="6"/>
      <c r="BC1419" s="6"/>
      <c r="BD1419" s="6"/>
      <c r="BE1419" s="6"/>
    </row>
    <row r="1420" spans="2:57" x14ac:dyDescent="0.3">
      <c r="B1420" s="4" t="s">
        <v>1443</v>
      </c>
      <c r="C1420" s="4">
        <v>24</v>
      </c>
      <c r="D1420" s="4" t="s">
        <v>17</v>
      </c>
      <c r="E1420" s="4" t="s">
        <v>102</v>
      </c>
      <c r="F1420" s="4" t="s">
        <v>104</v>
      </c>
      <c r="G1420" s="18">
        <v>1555</v>
      </c>
      <c r="H1420" s="10">
        <v>1</v>
      </c>
      <c r="I1420" s="4">
        <v>3</v>
      </c>
      <c r="J1420" s="4" t="s">
        <v>14</v>
      </c>
      <c r="K1420" s="3" t="s">
        <v>9</v>
      </c>
      <c r="L1420" s="3" t="str">
        <f>IF(Table1[[#This Row],[Monthly Income]]&lt;3000,"Low",IF(Table1[[#This Row],[Monthly Income]]&lt;7000,"Medium","High"))</f>
        <v>Low</v>
      </c>
      <c r="AK1420" s="4"/>
      <c r="AL1420" s="4"/>
      <c r="AM1420" s="4"/>
      <c r="AN1420" s="4"/>
      <c r="AO1420" s="4"/>
      <c r="AP1420" s="4"/>
      <c r="AQ1420" s="4"/>
      <c r="AR1420" s="4"/>
      <c r="AS1420" s="4"/>
      <c r="AU1420" s="4"/>
      <c r="AV1420" s="4"/>
      <c r="AW1420" s="4"/>
      <c r="AX1420" s="4"/>
      <c r="AY1420" s="4"/>
      <c r="AZ1420" s="4"/>
      <c r="BA1420" s="4"/>
      <c r="BB1420" s="4"/>
      <c r="BC1420" s="4"/>
      <c r="BD1420" s="4"/>
      <c r="BE1420" s="4"/>
    </row>
    <row r="1421" spans="2:57" x14ac:dyDescent="0.3">
      <c r="B1421" s="6" t="s">
        <v>1444</v>
      </c>
      <c r="C1421" s="6">
        <v>28</v>
      </c>
      <c r="D1421" s="6" t="s">
        <v>17</v>
      </c>
      <c r="E1421" s="6" t="s">
        <v>15</v>
      </c>
      <c r="F1421" s="6" t="s">
        <v>20</v>
      </c>
      <c r="G1421" s="19">
        <v>2367</v>
      </c>
      <c r="H1421" s="11">
        <v>4</v>
      </c>
      <c r="I1421" s="6">
        <v>4</v>
      </c>
      <c r="J1421" s="6" t="s">
        <v>14</v>
      </c>
      <c r="K1421" s="5" t="s">
        <v>9</v>
      </c>
      <c r="L1421" s="3" t="str">
        <f>IF(Table1[[#This Row],[Monthly Income]]&lt;3000,"Low",IF(Table1[[#This Row],[Monthly Income]]&lt;7000,"Medium","High"))</f>
        <v>Low</v>
      </c>
      <c r="AK1421" s="6"/>
      <c r="AL1421" s="6"/>
      <c r="AM1421" s="6"/>
      <c r="AN1421" s="6"/>
      <c r="AO1421" s="6"/>
      <c r="AP1421" s="6"/>
      <c r="AQ1421" s="6"/>
      <c r="AR1421" s="6"/>
      <c r="AS1421" s="6"/>
      <c r="AU1421" s="6"/>
      <c r="AV1421" s="6"/>
      <c r="AW1421" s="6"/>
      <c r="AX1421" s="6"/>
      <c r="AY1421" s="6"/>
      <c r="AZ1421" s="6"/>
      <c r="BA1421" s="6"/>
      <c r="BB1421" s="6"/>
      <c r="BC1421" s="6"/>
      <c r="BD1421" s="6"/>
      <c r="BE1421" s="6"/>
    </row>
    <row r="1422" spans="2:57" x14ac:dyDescent="0.3">
      <c r="B1422" s="4" t="s">
        <v>1445</v>
      </c>
      <c r="C1422" s="4">
        <v>56</v>
      </c>
      <c r="D1422" s="4" t="s">
        <v>17</v>
      </c>
      <c r="E1422" s="4" t="s">
        <v>15</v>
      </c>
      <c r="F1422" s="4" t="s">
        <v>20</v>
      </c>
      <c r="G1422" s="18">
        <v>2339</v>
      </c>
      <c r="H1422" s="10">
        <v>10</v>
      </c>
      <c r="I1422" s="4">
        <v>3</v>
      </c>
      <c r="J1422" s="4" t="s">
        <v>14</v>
      </c>
      <c r="K1422" s="3" t="s">
        <v>9</v>
      </c>
      <c r="L1422" s="3" t="str">
        <f>IF(Table1[[#This Row],[Monthly Income]]&lt;3000,"Low",IF(Table1[[#This Row],[Monthly Income]]&lt;7000,"Medium","High"))</f>
        <v>Low</v>
      </c>
      <c r="AK1422" s="4"/>
      <c r="AL1422" s="4"/>
      <c r="AM1422" s="4"/>
      <c r="AN1422" s="4"/>
      <c r="AO1422" s="4"/>
      <c r="AP1422" s="4"/>
      <c r="AQ1422" s="4"/>
      <c r="AR1422" s="4"/>
      <c r="AS1422" s="4"/>
      <c r="AU1422" s="4"/>
      <c r="AV1422" s="4"/>
      <c r="AW1422" s="4"/>
      <c r="AX1422" s="4"/>
      <c r="AY1422" s="4"/>
      <c r="AZ1422" s="4"/>
      <c r="BA1422" s="4"/>
      <c r="BB1422" s="4"/>
      <c r="BC1422" s="4"/>
      <c r="BD1422" s="4"/>
      <c r="BE1422" s="4"/>
    </row>
    <row r="1423" spans="2:57" x14ac:dyDescent="0.3">
      <c r="B1423" s="6" t="s">
        <v>1446</v>
      </c>
      <c r="C1423" s="6">
        <v>38</v>
      </c>
      <c r="D1423" s="6" t="s">
        <v>17</v>
      </c>
      <c r="E1423" s="6" t="s">
        <v>15</v>
      </c>
      <c r="F1423" s="6" t="s">
        <v>27</v>
      </c>
      <c r="G1423" s="19">
        <v>4855</v>
      </c>
      <c r="H1423" s="11">
        <v>5</v>
      </c>
      <c r="I1423" s="6">
        <v>2</v>
      </c>
      <c r="J1423" s="6" t="s">
        <v>14</v>
      </c>
      <c r="K1423" s="5" t="s">
        <v>9</v>
      </c>
      <c r="L1423" s="3" t="str">
        <f>IF(Table1[[#This Row],[Monthly Income]]&lt;3000,"Low",IF(Table1[[#This Row],[Monthly Income]]&lt;7000,"Medium","High"))</f>
        <v>Medium</v>
      </c>
      <c r="AK1423" s="6"/>
      <c r="AL1423" s="6"/>
      <c r="AM1423" s="6"/>
      <c r="AN1423" s="6"/>
      <c r="AO1423" s="6"/>
      <c r="AP1423" s="6"/>
      <c r="AQ1423" s="6"/>
      <c r="AR1423" s="6"/>
      <c r="AS1423" s="6"/>
      <c r="AU1423" s="6"/>
      <c r="AV1423" s="6"/>
      <c r="AW1423" s="6"/>
      <c r="AX1423" s="6"/>
      <c r="AY1423" s="6"/>
      <c r="AZ1423" s="6"/>
      <c r="BA1423" s="6"/>
      <c r="BB1423" s="6"/>
      <c r="BC1423" s="6"/>
      <c r="BD1423" s="6"/>
      <c r="BE1423" s="6"/>
    </row>
    <row r="1424" spans="2:57" x14ac:dyDescent="0.3">
      <c r="B1424" s="4" t="s">
        <v>1447</v>
      </c>
      <c r="C1424" s="4">
        <v>29</v>
      </c>
      <c r="D1424" s="4" t="s">
        <v>17</v>
      </c>
      <c r="E1424" s="4" t="s">
        <v>15</v>
      </c>
      <c r="F1424" s="4" t="s">
        <v>18</v>
      </c>
      <c r="G1424" s="18">
        <v>2362</v>
      </c>
      <c r="H1424" s="10">
        <v>9</v>
      </c>
      <c r="I1424" s="4">
        <v>1</v>
      </c>
      <c r="J1424" s="4" t="s">
        <v>14</v>
      </c>
      <c r="K1424" s="3" t="s">
        <v>9</v>
      </c>
      <c r="L1424" s="3" t="str">
        <f>IF(Table1[[#This Row],[Monthly Income]]&lt;3000,"Low",IF(Table1[[#This Row],[Monthly Income]]&lt;7000,"Medium","High"))</f>
        <v>Low</v>
      </c>
      <c r="AK1424" s="4"/>
      <c r="AL1424" s="4"/>
      <c r="AM1424" s="4"/>
      <c r="AN1424" s="4"/>
      <c r="AO1424" s="4"/>
      <c r="AP1424" s="4"/>
      <c r="AQ1424" s="4"/>
      <c r="AR1424" s="4"/>
      <c r="AS1424" s="4"/>
      <c r="AU1424" s="4"/>
      <c r="AV1424" s="4"/>
      <c r="AW1424" s="4"/>
      <c r="AX1424" s="4"/>
      <c r="AY1424" s="4"/>
      <c r="AZ1424" s="4"/>
      <c r="BA1424" s="4"/>
      <c r="BB1424" s="4"/>
      <c r="BC1424" s="4"/>
      <c r="BD1424" s="4"/>
      <c r="BE1424" s="4"/>
    </row>
    <row r="1425" spans="2:57" x14ac:dyDescent="0.3">
      <c r="B1425" s="6" t="s">
        <v>1448</v>
      </c>
      <c r="C1425" s="6">
        <v>56</v>
      </c>
      <c r="D1425" s="6" t="s">
        <v>17</v>
      </c>
      <c r="E1425" s="6" t="s">
        <v>15</v>
      </c>
      <c r="F1425" s="6" t="s">
        <v>20</v>
      </c>
      <c r="G1425" s="19">
        <v>2587</v>
      </c>
      <c r="H1425" s="11">
        <v>4</v>
      </c>
      <c r="I1425" s="6">
        <v>4</v>
      </c>
      <c r="J1425" s="6" t="s">
        <v>14</v>
      </c>
      <c r="K1425" s="5" t="s">
        <v>9</v>
      </c>
      <c r="L1425" s="3" t="str">
        <f>IF(Table1[[#This Row],[Monthly Income]]&lt;3000,"Low",IF(Table1[[#This Row],[Monthly Income]]&lt;7000,"Medium","High"))</f>
        <v>Low</v>
      </c>
      <c r="AK1425" s="6"/>
      <c r="AL1425" s="6"/>
      <c r="AM1425" s="6"/>
      <c r="AN1425" s="6"/>
      <c r="AO1425" s="6"/>
      <c r="AP1425" s="6"/>
      <c r="AQ1425" s="6"/>
      <c r="AR1425" s="6"/>
      <c r="AS1425" s="6"/>
      <c r="AU1425" s="6"/>
      <c r="AV1425" s="6"/>
      <c r="AW1425" s="6"/>
      <c r="AX1425" s="6"/>
      <c r="AY1425" s="6"/>
      <c r="AZ1425" s="6"/>
      <c r="BA1425" s="6"/>
      <c r="BB1425" s="6"/>
      <c r="BC1425" s="6"/>
      <c r="BD1425" s="6"/>
      <c r="BE1425" s="6"/>
    </row>
    <row r="1426" spans="2:57" x14ac:dyDescent="0.3">
      <c r="B1426" s="4" t="s">
        <v>1449</v>
      </c>
      <c r="C1426" s="4">
        <v>40</v>
      </c>
      <c r="D1426" s="4" t="s">
        <v>17</v>
      </c>
      <c r="E1426" s="4" t="s">
        <v>15</v>
      </c>
      <c r="F1426" s="4" t="s">
        <v>20</v>
      </c>
      <c r="G1426" s="18">
        <v>2018</v>
      </c>
      <c r="H1426" s="10">
        <v>5</v>
      </c>
      <c r="I1426" s="4">
        <v>1</v>
      </c>
      <c r="J1426" s="4" t="s">
        <v>14</v>
      </c>
      <c r="K1426" s="3" t="s">
        <v>9</v>
      </c>
      <c r="L1426" s="3" t="str">
        <f>IF(Table1[[#This Row],[Monthly Income]]&lt;3000,"Low",IF(Table1[[#This Row],[Monthly Income]]&lt;7000,"Medium","High"))</f>
        <v>Low</v>
      </c>
      <c r="AK1426" s="4"/>
      <c r="AL1426" s="4"/>
      <c r="AM1426" s="4"/>
      <c r="AN1426" s="4"/>
      <c r="AO1426" s="4"/>
      <c r="AP1426" s="4"/>
      <c r="AQ1426" s="4"/>
      <c r="AR1426" s="4"/>
      <c r="AS1426" s="4"/>
      <c r="AU1426" s="4"/>
      <c r="AV1426" s="4"/>
      <c r="AW1426" s="4"/>
      <c r="AX1426" s="4"/>
      <c r="AY1426" s="4"/>
      <c r="AZ1426" s="4"/>
      <c r="BA1426" s="4"/>
      <c r="BB1426" s="4"/>
      <c r="BC1426" s="4"/>
      <c r="BD1426" s="4"/>
      <c r="BE1426" s="4"/>
    </row>
    <row r="1427" spans="2:57" x14ac:dyDescent="0.3">
      <c r="B1427" s="6" t="s">
        <v>1450</v>
      </c>
      <c r="C1427" s="6">
        <v>37</v>
      </c>
      <c r="D1427" s="6" t="s">
        <v>17</v>
      </c>
      <c r="E1427" s="6" t="s">
        <v>15</v>
      </c>
      <c r="F1427" s="6" t="s">
        <v>27</v>
      </c>
      <c r="G1427" s="19">
        <v>4213</v>
      </c>
      <c r="H1427" s="11">
        <v>10</v>
      </c>
      <c r="I1427" s="6">
        <v>1</v>
      </c>
      <c r="J1427" s="6" t="s">
        <v>14</v>
      </c>
      <c r="K1427" s="5" t="s">
        <v>9</v>
      </c>
      <c r="L1427" s="3" t="str">
        <f>IF(Table1[[#This Row],[Monthly Income]]&lt;3000,"Low",IF(Table1[[#This Row],[Monthly Income]]&lt;7000,"Medium","High"))</f>
        <v>Medium</v>
      </c>
      <c r="AK1427" s="6"/>
      <c r="AL1427" s="6"/>
      <c r="AM1427" s="6"/>
      <c r="AN1427" s="6"/>
      <c r="AO1427" s="6"/>
      <c r="AP1427" s="6"/>
      <c r="AQ1427" s="6"/>
      <c r="AR1427" s="6"/>
      <c r="AS1427" s="6"/>
      <c r="AU1427" s="6"/>
      <c r="AV1427" s="6"/>
      <c r="AW1427" s="6"/>
      <c r="AX1427" s="6"/>
      <c r="AY1427" s="6"/>
      <c r="AZ1427" s="6"/>
      <c r="BA1427" s="6"/>
      <c r="BB1427" s="6"/>
      <c r="BC1427" s="6"/>
      <c r="BD1427" s="6"/>
      <c r="BE1427" s="6"/>
    </row>
    <row r="1428" spans="2:57" x14ac:dyDescent="0.3">
      <c r="B1428" s="4" t="s">
        <v>1451</v>
      </c>
      <c r="C1428" s="4">
        <v>32</v>
      </c>
      <c r="D1428" s="4" t="s">
        <v>17</v>
      </c>
      <c r="E1428" s="4" t="s">
        <v>15</v>
      </c>
      <c r="F1428" s="4" t="s">
        <v>20</v>
      </c>
      <c r="G1428" s="18">
        <v>1393</v>
      </c>
      <c r="H1428" s="10">
        <v>1</v>
      </c>
      <c r="I1428" s="4">
        <v>2</v>
      </c>
      <c r="J1428" s="4" t="s">
        <v>14</v>
      </c>
      <c r="K1428" s="3" t="s">
        <v>9</v>
      </c>
      <c r="L1428" s="3" t="str">
        <f>IF(Table1[[#This Row],[Monthly Income]]&lt;3000,"Low",IF(Table1[[#This Row],[Monthly Income]]&lt;7000,"Medium","High"))</f>
        <v>Low</v>
      </c>
      <c r="AK1428" s="4"/>
      <c r="AL1428" s="4"/>
      <c r="AM1428" s="4"/>
      <c r="AN1428" s="4"/>
      <c r="AO1428" s="4"/>
      <c r="AP1428" s="4"/>
      <c r="AQ1428" s="4"/>
      <c r="AR1428" s="4"/>
      <c r="AS1428" s="4"/>
      <c r="AU1428" s="4"/>
      <c r="AV1428" s="4"/>
      <c r="AW1428" s="4"/>
      <c r="AX1428" s="4"/>
      <c r="AY1428" s="4"/>
      <c r="AZ1428" s="4"/>
      <c r="BA1428" s="4"/>
      <c r="BB1428" s="4"/>
      <c r="BC1428" s="4"/>
      <c r="BD1428" s="4"/>
      <c r="BE1428" s="4"/>
    </row>
    <row r="1429" spans="2:57" x14ac:dyDescent="0.3">
      <c r="B1429" s="6" t="s">
        <v>1452</v>
      </c>
      <c r="C1429" s="6">
        <v>46</v>
      </c>
      <c r="D1429" s="6" t="s">
        <v>17</v>
      </c>
      <c r="E1429" s="6" t="s">
        <v>10</v>
      </c>
      <c r="F1429" s="6" t="s">
        <v>13</v>
      </c>
      <c r="G1429" s="19">
        <v>10096</v>
      </c>
      <c r="H1429" s="11">
        <v>7</v>
      </c>
      <c r="I1429" s="6">
        <v>4</v>
      </c>
      <c r="J1429" s="6" t="s">
        <v>14</v>
      </c>
      <c r="K1429" s="5" t="s">
        <v>9</v>
      </c>
      <c r="L1429" s="3" t="str">
        <f>IF(Table1[[#This Row],[Monthly Income]]&lt;3000,"Low",IF(Table1[[#This Row],[Monthly Income]]&lt;7000,"Medium","High"))</f>
        <v>High</v>
      </c>
      <c r="AK1429" s="6"/>
      <c r="AL1429" s="6"/>
      <c r="AM1429" s="6"/>
      <c r="AN1429" s="6"/>
      <c r="AO1429" s="6"/>
      <c r="AP1429" s="6"/>
      <c r="AQ1429" s="6"/>
      <c r="AR1429" s="6"/>
      <c r="AS1429" s="6"/>
      <c r="AU1429" s="6"/>
      <c r="AV1429" s="6"/>
      <c r="AW1429" s="6"/>
      <c r="AX1429" s="6"/>
      <c r="AY1429" s="6"/>
      <c r="AZ1429" s="6"/>
      <c r="BA1429" s="6"/>
      <c r="BB1429" s="6"/>
      <c r="BC1429" s="6"/>
      <c r="BD1429" s="6"/>
      <c r="BE1429" s="6"/>
    </row>
    <row r="1430" spans="2:57" x14ac:dyDescent="0.3">
      <c r="B1430" s="4" t="s">
        <v>1453</v>
      </c>
      <c r="C1430" s="4">
        <v>25</v>
      </c>
      <c r="D1430" s="4" t="s">
        <v>17</v>
      </c>
      <c r="E1430" s="4" t="s">
        <v>10</v>
      </c>
      <c r="F1430" s="4" t="s">
        <v>43</v>
      </c>
      <c r="G1430" s="18">
        <v>4400</v>
      </c>
      <c r="H1430" s="10">
        <v>3</v>
      </c>
      <c r="I1430" s="4">
        <v>1</v>
      </c>
      <c r="J1430" s="4" t="s">
        <v>14</v>
      </c>
      <c r="K1430" s="3" t="s">
        <v>9</v>
      </c>
      <c r="L1430" s="3" t="str">
        <f>IF(Table1[[#This Row],[Monthly Income]]&lt;3000,"Low",IF(Table1[[#This Row],[Monthly Income]]&lt;7000,"Medium","High"))</f>
        <v>Medium</v>
      </c>
      <c r="AK1430" s="4"/>
      <c r="AL1430" s="4"/>
      <c r="AM1430" s="4"/>
      <c r="AN1430" s="4"/>
      <c r="AO1430" s="4"/>
      <c r="AP1430" s="4"/>
      <c r="AQ1430" s="4"/>
      <c r="AR1430" s="4"/>
      <c r="AS1430" s="4"/>
      <c r="AU1430" s="4"/>
      <c r="AV1430" s="4"/>
      <c r="AW1430" s="4"/>
      <c r="AX1430" s="4"/>
      <c r="AY1430" s="4"/>
      <c r="AZ1430" s="4"/>
      <c r="BA1430" s="4"/>
      <c r="BB1430" s="4"/>
      <c r="BC1430" s="4"/>
      <c r="BD1430" s="4"/>
      <c r="BE1430" s="4"/>
    </row>
    <row r="1431" spans="2:57" x14ac:dyDescent="0.3">
      <c r="B1431" s="6" t="s">
        <v>1454</v>
      </c>
      <c r="C1431" s="6">
        <v>35</v>
      </c>
      <c r="D1431" s="6" t="s">
        <v>17</v>
      </c>
      <c r="E1431" s="6" t="s">
        <v>10</v>
      </c>
      <c r="F1431" s="6" t="s">
        <v>13</v>
      </c>
      <c r="G1431" s="19">
        <v>10306</v>
      </c>
      <c r="H1431" s="11">
        <v>13</v>
      </c>
      <c r="I1431" s="6">
        <v>1</v>
      </c>
      <c r="J1431" s="6" t="s">
        <v>14</v>
      </c>
      <c r="K1431" s="5" t="s">
        <v>9</v>
      </c>
      <c r="L1431" s="3" t="str">
        <f>IF(Table1[[#This Row],[Monthly Income]]&lt;3000,"Low",IF(Table1[[#This Row],[Monthly Income]]&lt;7000,"Medium","High"))</f>
        <v>High</v>
      </c>
      <c r="AK1431" s="6"/>
      <c r="AL1431" s="6"/>
      <c r="AM1431" s="6"/>
      <c r="AN1431" s="6"/>
      <c r="AO1431" s="6"/>
      <c r="AP1431" s="6"/>
      <c r="AQ1431" s="6"/>
      <c r="AR1431" s="6"/>
      <c r="AS1431" s="6"/>
      <c r="AU1431" s="6"/>
      <c r="AV1431" s="6"/>
      <c r="AW1431" s="6"/>
      <c r="AX1431" s="6"/>
      <c r="AY1431" s="6"/>
      <c r="AZ1431" s="6"/>
      <c r="BA1431" s="6"/>
      <c r="BB1431" s="6"/>
      <c r="BC1431" s="6"/>
      <c r="BD1431" s="6"/>
      <c r="BE1431" s="6"/>
    </row>
    <row r="1432" spans="2:57" x14ac:dyDescent="0.3">
      <c r="B1432" s="4" t="s">
        <v>1455</v>
      </c>
      <c r="C1432" s="4">
        <v>30</v>
      </c>
      <c r="D1432" s="4" t="s">
        <v>17</v>
      </c>
      <c r="E1432" s="4" t="s">
        <v>10</v>
      </c>
      <c r="F1432" s="4" t="s">
        <v>13</v>
      </c>
      <c r="G1432" s="18">
        <v>9714</v>
      </c>
      <c r="H1432" s="10">
        <v>10</v>
      </c>
      <c r="I1432" s="4">
        <v>1</v>
      </c>
      <c r="J1432" s="4" t="s">
        <v>14</v>
      </c>
      <c r="K1432" s="3" t="s">
        <v>9</v>
      </c>
      <c r="L1432" s="3" t="str">
        <f>IF(Table1[[#This Row],[Monthly Income]]&lt;3000,"Low",IF(Table1[[#This Row],[Monthly Income]]&lt;7000,"Medium","High"))</f>
        <v>High</v>
      </c>
      <c r="AK1432" s="4"/>
      <c r="AL1432" s="4"/>
      <c r="AM1432" s="4"/>
      <c r="AN1432" s="4"/>
      <c r="AO1432" s="4"/>
      <c r="AP1432" s="4"/>
      <c r="AQ1432" s="4"/>
      <c r="AR1432" s="4"/>
      <c r="AS1432" s="4"/>
      <c r="AU1432" s="4"/>
      <c r="AV1432" s="4"/>
      <c r="AW1432" s="4"/>
      <c r="AX1432" s="4"/>
      <c r="AY1432" s="4"/>
      <c r="AZ1432" s="4"/>
      <c r="BA1432" s="4"/>
      <c r="BB1432" s="4"/>
      <c r="BC1432" s="4"/>
      <c r="BD1432" s="4"/>
      <c r="BE1432" s="4"/>
    </row>
    <row r="1433" spans="2:57" x14ac:dyDescent="0.3">
      <c r="B1433" s="6" t="s">
        <v>1456</v>
      </c>
      <c r="C1433" s="6">
        <v>31</v>
      </c>
      <c r="D1433" s="6" t="s">
        <v>17</v>
      </c>
      <c r="E1433" s="6" t="s">
        <v>10</v>
      </c>
      <c r="F1433" s="6" t="s">
        <v>13</v>
      </c>
      <c r="G1433" s="19">
        <v>8161</v>
      </c>
      <c r="H1433" s="11">
        <v>1</v>
      </c>
      <c r="I1433" s="6">
        <v>3</v>
      </c>
      <c r="J1433" s="6" t="s">
        <v>14</v>
      </c>
      <c r="K1433" s="5" t="s">
        <v>9</v>
      </c>
      <c r="L1433" s="3" t="str">
        <f>IF(Table1[[#This Row],[Monthly Income]]&lt;3000,"Low",IF(Table1[[#This Row],[Monthly Income]]&lt;7000,"Medium","High"))</f>
        <v>High</v>
      </c>
      <c r="AK1433" s="6"/>
      <c r="AL1433" s="6"/>
      <c r="AM1433" s="6"/>
      <c r="AN1433" s="6"/>
      <c r="AO1433" s="6"/>
      <c r="AP1433" s="6"/>
      <c r="AQ1433" s="6"/>
      <c r="AR1433" s="6"/>
      <c r="AS1433" s="6"/>
      <c r="AU1433" s="6"/>
      <c r="AV1433" s="6"/>
      <c r="AW1433" s="6"/>
      <c r="AX1433" s="6"/>
      <c r="AY1433" s="6"/>
      <c r="AZ1433" s="6"/>
      <c r="BA1433" s="6"/>
      <c r="BB1433" s="6"/>
      <c r="BC1433" s="6"/>
      <c r="BD1433" s="6"/>
      <c r="BE1433" s="6"/>
    </row>
    <row r="1434" spans="2:57" x14ac:dyDescent="0.3">
      <c r="B1434" s="4" t="s">
        <v>1457</v>
      </c>
      <c r="C1434" s="4">
        <v>32</v>
      </c>
      <c r="D1434" s="4" t="s">
        <v>17</v>
      </c>
      <c r="E1434" s="4" t="s">
        <v>10</v>
      </c>
      <c r="F1434" s="4" t="s">
        <v>13</v>
      </c>
      <c r="G1434" s="18">
        <v>6735</v>
      </c>
      <c r="H1434" s="10">
        <v>0</v>
      </c>
      <c r="I1434" s="4">
        <v>2</v>
      </c>
      <c r="J1434" s="4" t="s">
        <v>14</v>
      </c>
      <c r="K1434" s="3" t="s">
        <v>9</v>
      </c>
      <c r="L1434" s="3" t="str">
        <f>IF(Table1[[#This Row],[Monthly Income]]&lt;3000,"Low",IF(Table1[[#This Row],[Monthly Income]]&lt;7000,"Medium","High"))</f>
        <v>Medium</v>
      </c>
      <c r="AK1434" s="4"/>
      <c r="AL1434" s="4"/>
      <c r="AM1434" s="4"/>
      <c r="AN1434" s="4"/>
      <c r="AO1434" s="4"/>
      <c r="AP1434" s="4"/>
      <c r="AQ1434" s="4"/>
      <c r="AR1434" s="4"/>
      <c r="AS1434" s="4"/>
      <c r="AU1434" s="4"/>
      <c r="AV1434" s="4"/>
      <c r="AW1434" s="4"/>
      <c r="AX1434" s="4"/>
      <c r="AY1434" s="4"/>
      <c r="AZ1434" s="4"/>
      <c r="BA1434" s="4"/>
      <c r="BB1434" s="4"/>
      <c r="BC1434" s="4"/>
      <c r="BD1434" s="4"/>
      <c r="BE1434" s="4"/>
    </row>
    <row r="1435" spans="2:57" x14ac:dyDescent="0.3">
      <c r="B1435" s="6" t="s">
        <v>1458</v>
      </c>
      <c r="C1435" s="6">
        <v>21</v>
      </c>
      <c r="D1435" s="6" t="s">
        <v>17</v>
      </c>
      <c r="E1435" s="6" t="s">
        <v>10</v>
      </c>
      <c r="F1435" s="6" t="s">
        <v>43</v>
      </c>
      <c r="G1435" s="19">
        <v>2679</v>
      </c>
      <c r="H1435" s="11">
        <v>1</v>
      </c>
      <c r="I1435" s="6">
        <v>2</v>
      </c>
      <c r="J1435" s="6" t="s">
        <v>14</v>
      </c>
      <c r="K1435" s="5" t="s">
        <v>9</v>
      </c>
      <c r="L1435" s="3" t="str">
        <f>IF(Table1[[#This Row],[Monthly Income]]&lt;3000,"Low",IF(Table1[[#This Row],[Monthly Income]]&lt;7000,"Medium","High"))</f>
        <v>Low</v>
      </c>
      <c r="AK1435" s="6"/>
      <c r="AL1435" s="6"/>
      <c r="AM1435" s="6"/>
      <c r="AN1435" s="6"/>
      <c r="AO1435" s="6"/>
      <c r="AP1435" s="6"/>
      <c r="AQ1435" s="6"/>
      <c r="AR1435" s="6"/>
      <c r="AS1435" s="6"/>
      <c r="AU1435" s="6"/>
      <c r="AV1435" s="6"/>
      <c r="AW1435" s="6"/>
      <c r="AX1435" s="6"/>
      <c r="AY1435" s="6"/>
      <c r="AZ1435" s="6"/>
      <c r="BA1435" s="6"/>
      <c r="BB1435" s="6"/>
      <c r="BC1435" s="6"/>
      <c r="BD1435" s="6"/>
      <c r="BE1435" s="6"/>
    </row>
    <row r="1436" spans="2:57" x14ac:dyDescent="0.3">
      <c r="B1436" s="4" t="s">
        <v>1459</v>
      </c>
      <c r="C1436" s="4">
        <v>30</v>
      </c>
      <c r="D1436" s="4" t="s">
        <v>17</v>
      </c>
      <c r="E1436" s="4" t="s">
        <v>10</v>
      </c>
      <c r="F1436" s="4" t="s">
        <v>43</v>
      </c>
      <c r="G1436" s="18">
        <v>1081</v>
      </c>
      <c r="H1436" s="10">
        <v>1</v>
      </c>
      <c r="I1436" s="4">
        <v>4</v>
      </c>
      <c r="J1436" s="4" t="s">
        <v>14</v>
      </c>
      <c r="K1436" s="3" t="s">
        <v>9</v>
      </c>
      <c r="L1436" s="3" t="str">
        <f>IF(Table1[[#This Row],[Monthly Income]]&lt;3000,"Low",IF(Table1[[#This Row],[Monthly Income]]&lt;7000,"Medium","High"))</f>
        <v>Low</v>
      </c>
      <c r="AK1436" s="4"/>
      <c r="AL1436" s="4"/>
      <c r="AM1436" s="4"/>
      <c r="AN1436" s="4"/>
      <c r="AO1436" s="4"/>
      <c r="AP1436" s="4"/>
      <c r="AQ1436" s="4"/>
      <c r="AR1436" s="4"/>
      <c r="AS1436" s="4"/>
      <c r="AU1436" s="4"/>
      <c r="AV1436" s="4"/>
      <c r="AW1436" s="4"/>
      <c r="AX1436" s="4"/>
      <c r="AY1436" s="4"/>
      <c r="AZ1436" s="4"/>
      <c r="BA1436" s="4"/>
      <c r="BB1436" s="4"/>
      <c r="BC1436" s="4"/>
      <c r="BD1436" s="4"/>
      <c r="BE1436" s="4"/>
    </row>
    <row r="1437" spans="2:57" x14ac:dyDescent="0.3">
      <c r="B1437" s="6" t="s">
        <v>1460</v>
      </c>
      <c r="C1437" s="6">
        <v>32</v>
      </c>
      <c r="D1437" s="6" t="s">
        <v>12</v>
      </c>
      <c r="E1437" s="6" t="s">
        <v>15</v>
      </c>
      <c r="F1437" s="6" t="s">
        <v>18</v>
      </c>
      <c r="G1437" s="19">
        <v>2432</v>
      </c>
      <c r="H1437" s="11">
        <v>4</v>
      </c>
      <c r="I1437" s="6">
        <v>3</v>
      </c>
      <c r="J1437" s="6" t="s">
        <v>9</v>
      </c>
      <c r="K1437" s="5" t="s">
        <v>9</v>
      </c>
      <c r="L1437" s="3" t="str">
        <f>IF(Table1[[#This Row],[Monthly Income]]&lt;3000,"Low",IF(Table1[[#This Row],[Monthly Income]]&lt;7000,"Medium","High"))</f>
        <v>Low</v>
      </c>
      <c r="AK1437" s="6"/>
      <c r="AL1437" s="6"/>
      <c r="AM1437" s="6"/>
      <c r="AN1437" s="6"/>
      <c r="AO1437" s="6"/>
      <c r="AP1437" s="6"/>
      <c r="AQ1437" s="6"/>
      <c r="AR1437" s="6"/>
      <c r="AS1437" s="6"/>
      <c r="AU1437" s="6"/>
      <c r="AV1437" s="6"/>
      <c r="AW1437" s="6"/>
      <c r="AX1437" s="6"/>
      <c r="AY1437" s="6"/>
      <c r="AZ1437" s="6"/>
      <c r="BA1437" s="6"/>
      <c r="BB1437" s="6"/>
      <c r="BC1437" s="6"/>
      <c r="BD1437" s="6"/>
      <c r="BE1437" s="6"/>
    </row>
    <row r="1438" spans="2:57" x14ac:dyDescent="0.3">
      <c r="B1438" s="4" t="s">
        <v>1461</v>
      </c>
      <c r="C1438" s="4">
        <v>29</v>
      </c>
      <c r="D1438" s="4" t="s">
        <v>12</v>
      </c>
      <c r="E1438" s="4" t="s">
        <v>15</v>
      </c>
      <c r="F1438" s="4" t="s">
        <v>29</v>
      </c>
      <c r="G1438" s="18">
        <v>7553</v>
      </c>
      <c r="H1438" s="10">
        <v>8</v>
      </c>
      <c r="I1438" s="4">
        <v>4</v>
      </c>
      <c r="J1438" s="4" t="s">
        <v>9</v>
      </c>
      <c r="K1438" s="3" t="s">
        <v>9</v>
      </c>
      <c r="L1438" s="3" t="str">
        <f>IF(Table1[[#This Row],[Monthly Income]]&lt;3000,"Low",IF(Table1[[#This Row],[Monthly Income]]&lt;7000,"Medium","High"))</f>
        <v>High</v>
      </c>
      <c r="AK1438" s="4"/>
      <c r="AL1438" s="4"/>
      <c r="AM1438" s="4"/>
      <c r="AN1438" s="4"/>
      <c r="AO1438" s="4"/>
      <c r="AP1438" s="4"/>
      <c r="AQ1438" s="4"/>
      <c r="AR1438" s="4"/>
      <c r="AS1438" s="4"/>
      <c r="AU1438" s="4"/>
      <c r="AV1438" s="4"/>
      <c r="AW1438" s="4"/>
      <c r="AX1438" s="4"/>
      <c r="AY1438" s="4"/>
      <c r="AZ1438" s="4"/>
      <c r="BA1438" s="4"/>
      <c r="BB1438" s="4"/>
      <c r="BC1438" s="4"/>
      <c r="BD1438" s="4"/>
      <c r="BE1438" s="4"/>
    </row>
    <row r="1439" spans="2:57" x14ac:dyDescent="0.3">
      <c r="B1439" s="6" t="s">
        <v>1462</v>
      </c>
      <c r="C1439" s="6">
        <v>48</v>
      </c>
      <c r="D1439" s="6" t="s">
        <v>12</v>
      </c>
      <c r="E1439" s="6" t="s">
        <v>10</v>
      </c>
      <c r="F1439" s="6" t="s">
        <v>43</v>
      </c>
      <c r="G1439" s="19">
        <v>2655</v>
      </c>
      <c r="H1439" s="11">
        <v>9</v>
      </c>
      <c r="I1439" s="6">
        <v>3</v>
      </c>
      <c r="J1439" s="6" t="s">
        <v>9</v>
      </c>
      <c r="K1439" s="5" t="s">
        <v>9</v>
      </c>
      <c r="L1439" s="3" t="str">
        <f>IF(Table1[[#This Row],[Monthly Income]]&lt;3000,"Low",IF(Table1[[#This Row],[Monthly Income]]&lt;7000,"Medium","High"))</f>
        <v>Low</v>
      </c>
      <c r="AK1439" s="6"/>
      <c r="AL1439" s="6"/>
      <c r="AM1439" s="6"/>
      <c r="AN1439" s="6"/>
      <c r="AO1439" s="6"/>
      <c r="AP1439" s="6"/>
      <c r="AQ1439" s="6"/>
      <c r="AR1439" s="6"/>
      <c r="AS1439" s="6"/>
      <c r="AU1439" s="6"/>
      <c r="AV1439" s="6"/>
      <c r="AW1439" s="6"/>
      <c r="AX1439" s="6"/>
      <c r="AY1439" s="6"/>
      <c r="AZ1439" s="6"/>
      <c r="BA1439" s="6"/>
      <c r="BB1439" s="6"/>
      <c r="BC1439" s="6"/>
      <c r="BD1439" s="6"/>
      <c r="BE1439" s="6"/>
    </row>
    <row r="1440" spans="2:57" x14ac:dyDescent="0.3">
      <c r="B1440" s="4" t="s">
        <v>1463</v>
      </c>
      <c r="C1440" s="4">
        <v>18</v>
      </c>
      <c r="D1440" s="4" t="s">
        <v>12</v>
      </c>
      <c r="E1440" s="4" t="s">
        <v>10</v>
      </c>
      <c r="F1440" s="4" t="s">
        <v>43</v>
      </c>
      <c r="G1440" s="18">
        <v>1569</v>
      </c>
      <c r="H1440" s="10">
        <v>0</v>
      </c>
      <c r="I1440" s="4">
        <v>4</v>
      </c>
      <c r="J1440" s="4" t="s">
        <v>9</v>
      </c>
      <c r="K1440" s="3" t="s">
        <v>9</v>
      </c>
      <c r="L1440" s="3" t="str">
        <f>IF(Table1[[#This Row],[Monthly Income]]&lt;3000,"Low",IF(Table1[[#This Row],[Monthly Income]]&lt;7000,"Medium","High"))</f>
        <v>Low</v>
      </c>
      <c r="AK1440" s="4"/>
      <c r="AL1440" s="4"/>
      <c r="AM1440" s="4"/>
      <c r="AN1440" s="4"/>
      <c r="AO1440" s="4"/>
      <c r="AP1440" s="4"/>
      <c r="AQ1440" s="4"/>
      <c r="AR1440" s="4"/>
      <c r="AS1440" s="4"/>
      <c r="AU1440" s="4"/>
      <c r="AV1440" s="4"/>
      <c r="AW1440" s="4"/>
      <c r="AX1440" s="4"/>
      <c r="AY1440" s="4"/>
      <c r="AZ1440" s="4"/>
      <c r="BA1440" s="4"/>
      <c r="BB1440" s="4"/>
      <c r="BC1440" s="4"/>
      <c r="BD1440" s="4"/>
      <c r="BE1440" s="4"/>
    </row>
    <row r="1441" spans="2:57" x14ac:dyDescent="0.3">
      <c r="B1441" s="6" t="s">
        <v>1464</v>
      </c>
      <c r="C1441" s="6">
        <v>26</v>
      </c>
      <c r="D1441" s="6" t="s">
        <v>12</v>
      </c>
      <c r="E1441" s="6" t="s">
        <v>102</v>
      </c>
      <c r="F1441" s="6" t="s">
        <v>104</v>
      </c>
      <c r="G1441" s="19">
        <v>2148</v>
      </c>
      <c r="H1441" s="11">
        <v>5</v>
      </c>
      <c r="I1441" s="6">
        <v>2</v>
      </c>
      <c r="J1441" s="6" t="s">
        <v>9</v>
      </c>
      <c r="K1441" s="5" t="s">
        <v>9</v>
      </c>
      <c r="L1441" s="3" t="str">
        <f>IF(Table1[[#This Row],[Monthly Income]]&lt;3000,"Low",IF(Table1[[#This Row],[Monthly Income]]&lt;7000,"Medium","High"))</f>
        <v>Low</v>
      </c>
      <c r="AK1441" s="6"/>
      <c r="AL1441" s="6"/>
      <c r="AM1441" s="6"/>
      <c r="AN1441" s="6"/>
      <c r="AO1441" s="6"/>
      <c r="AP1441" s="6"/>
      <c r="AQ1441" s="6"/>
      <c r="AR1441" s="6"/>
      <c r="AS1441" s="6"/>
      <c r="AU1441" s="6"/>
      <c r="AV1441" s="6"/>
      <c r="AW1441" s="6"/>
      <c r="AX1441" s="6"/>
      <c r="AY1441" s="6"/>
      <c r="AZ1441" s="6"/>
      <c r="BA1441" s="6"/>
      <c r="BB1441" s="6"/>
      <c r="BC1441" s="6"/>
      <c r="BD1441" s="6"/>
      <c r="BE1441" s="6"/>
    </row>
    <row r="1442" spans="2:57" x14ac:dyDescent="0.3">
      <c r="B1442" s="4" t="s">
        <v>1465</v>
      </c>
      <c r="C1442" s="4">
        <v>35</v>
      </c>
      <c r="D1442" s="4" t="s">
        <v>12</v>
      </c>
      <c r="E1442" s="4" t="s">
        <v>15</v>
      </c>
      <c r="F1442" s="4" t="s">
        <v>20</v>
      </c>
      <c r="G1442" s="18">
        <v>2074</v>
      </c>
      <c r="H1442" s="10">
        <v>1</v>
      </c>
      <c r="I1442" s="4">
        <v>1</v>
      </c>
      <c r="J1442" s="4" t="s">
        <v>9</v>
      </c>
      <c r="K1442" s="3" t="s">
        <v>9</v>
      </c>
      <c r="L1442" s="3" t="str">
        <f>IF(Table1[[#This Row],[Monthly Income]]&lt;3000,"Low",IF(Table1[[#This Row],[Monthly Income]]&lt;7000,"Medium","High"))</f>
        <v>Low</v>
      </c>
      <c r="AK1442" s="4"/>
      <c r="AL1442" s="4"/>
      <c r="AM1442" s="4"/>
      <c r="AN1442" s="4"/>
      <c r="AO1442" s="4"/>
      <c r="AP1442" s="4"/>
      <c r="AQ1442" s="4"/>
      <c r="AR1442" s="4"/>
      <c r="AS1442" s="4"/>
      <c r="AU1442" s="4"/>
      <c r="AV1442" s="4"/>
      <c r="AW1442" s="4"/>
      <c r="AX1442" s="4"/>
      <c r="AY1442" s="4"/>
      <c r="AZ1442" s="4"/>
      <c r="BA1442" s="4"/>
      <c r="BB1442" s="4"/>
      <c r="BC1442" s="4"/>
      <c r="BD1442" s="4"/>
      <c r="BE1442" s="4"/>
    </row>
    <row r="1443" spans="2:57" x14ac:dyDescent="0.3">
      <c r="B1443" s="6" t="s">
        <v>1466</v>
      </c>
      <c r="C1443" s="6">
        <v>22</v>
      </c>
      <c r="D1443" s="6" t="s">
        <v>12</v>
      </c>
      <c r="E1443" s="6" t="s">
        <v>15</v>
      </c>
      <c r="F1443" s="6" t="s">
        <v>20</v>
      </c>
      <c r="G1443" s="19">
        <v>2398</v>
      </c>
      <c r="H1443" s="11">
        <v>1</v>
      </c>
      <c r="I1443" s="6">
        <v>1</v>
      </c>
      <c r="J1443" s="6" t="s">
        <v>9</v>
      </c>
      <c r="K1443" s="5" t="s">
        <v>9</v>
      </c>
      <c r="L1443" s="3" t="str">
        <f>IF(Table1[[#This Row],[Monthly Income]]&lt;3000,"Low",IF(Table1[[#This Row],[Monthly Income]]&lt;7000,"Medium","High"))</f>
        <v>Low</v>
      </c>
      <c r="AK1443" s="6"/>
      <c r="AL1443" s="6"/>
      <c r="AM1443" s="6"/>
      <c r="AN1443" s="6"/>
      <c r="AO1443" s="6"/>
      <c r="AP1443" s="6"/>
      <c r="AQ1443" s="6"/>
      <c r="AR1443" s="6"/>
      <c r="AS1443" s="6"/>
      <c r="AU1443" s="6"/>
      <c r="AV1443" s="6"/>
      <c r="AW1443" s="6"/>
      <c r="AX1443" s="6"/>
      <c r="AY1443" s="6"/>
      <c r="AZ1443" s="6"/>
      <c r="BA1443" s="6"/>
      <c r="BB1443" s="6"/>
      <c r="BC1443" s="6"/>
      <c r="BD1443" s="6"/>
      <c r="BE1443" s="6"/>
    </row>
    <row r="1444" spans="2:57" x14ac:dyDescent="0.3">
      <c r="B1444" s="4" t="s">
        <v>1467</v>
      </c>
      <c r="C1444" s="4">
        <v>28</v>
      </c>
      <c r="D1444" s="4" t="s">
        <v>12</v>
      </c>
      <c r="E1444" s="4" t="s">
        <v>10</v>
      </c>
      <c r="F1444" s="4" t="s">
        <v>13</v>
      </c>
      <c r="G1444" s="18">
        <v>9854</v>
      </c>
      <c r="H1444" s="10">
        <v>2</v>
      </c>
      <c r="I1444" s="4">
        <v>3</v>
      </c>
      <c r="J1444" s="4" t="s">
        <v>9</v>
      </c>
      <c r="K1444" s="3" t="s">
        <v>9</v>
      </c>
      <c r="L1444" s="3" t="str">
        <f>IF(Table1[[#This Row],[Monthly Income]]&lt;3000,"Low",IF(Table1[[#This Row],[Monthly Income]]&lt;7000,"Medium","High"))</f>
        <v>High</v>
      </c>
      <c r="AK1444" s="4"/>
      <c r="AL1444" s="4"/>
      <c r="AM1444" s="4"/>
      <c r="AN1444" s="4"/>
      <c r="AO1444" s="4"/>
      <c r="AP1444" s="4"/>
      <c r="AQ1444" s="4"/>
      <c r="AR1444" s="4"/>
      <c r="AS1444" s="4"/>
      <c r="AU1444" s="4"/>
      <c r="AV1444" s="4"/>
      <c r="AW1444" s="4"/>
      <c r="AX1444" s="4"/>
      <c r="AY1444" s="4"/>
      <c r="AZ1444" s="4"/>
      <c r="BA1444" s="4"/>
      <c r="BB1444" s="4"/>
      <c r="BC1444" s="4"/>
      <c r="BD1444" s="4"/>
      <c r="BE1444" s="4"/>
    </row>
    <row r="1445" spans="2:57" x14ac:dyDescent="0.3">
      <c r="B1445" s="6" t="s">
        <v>1468</v>
      </c>
      <c r="C1445" s="6">
        <v>44</v>
      </c>
      <c r="D1445" s="6" t="s">
        <v>17</v>
      </c>
      <c r="E1445" s="6" t="s">
        <v>15</v>
      </c>
      <c r="F1445" s="6" t="s">
        <v>18</v>
      </c>
      <c r="G1445" s="19">
        <v>2342</v>
      </c>
      <c r="H1445" s="11">
        <v>5</v>
      </c>
      <c r="I1445" s="6">
        <v>2</v>
      </c>
      <c r="J1445" s="6" t="s">
        <v>9</v>
      </c>
      <c r="K1445" s="5" t="s">
        <v>9</v>
      </c>
      <c r="L1445" s="3" t="str">
        <f>IF(Table1[[#This Row],[Monthly Income]]&lt;3000,"Low",IF(Table1[[#This Row],[Monthly Income]]&lt;7000,"Medium","High"))</f>
        <v>Low</v>
      </c>
      <c r="AK1445" s="6"/>
      <c r="AL1445" s="6"/>
      <c r="AM1445" s="6"/>
      <c r="AN1445" s="6"/>
      <c r="AO1445" s="6"/>
      <c r="AP1445" s="6"/>
      <c r="AQ1445" s="6"/>
      <c r="AR1445" s="6"/>
      <c r="AS1445" s="6"/>
      <c r="AU1445" s="6"/>
      <c r="AV1445" s="6"/>
      <c r="AW1445" s="6"/>
      <c r="AX1445" s="6"/>
      <c r="AY1445" s="6"/>
      <c r="AZ1445" s="6"/>
      <c r="BA1445" s="6"/>
      <c r="BB1445" s="6"/>
      <c r="BC1445" s="6"/>
      <c r="BD1445" s="6"/>
      <c r="BE1445" s="6"/>
    </row>
    <row r="1446" spans="2:57" x14ac:dyDescent="0.3">
      <c r="B1446" s="4" t="s">
        <v>1469</v>
      </c>
      <c r="C1446" s="4">
        <v>31</v>
      </c>
      <c r="D1446" s="4" t="s">
        <v>17</v>
      </c>
      <c r="E1446" s="4" t="s">
        <v>15</v>
      </c>
      <c r="F1446" s="4" t="s">
        <v>20</v>
      </c>
      <c r="G1446" s="18">
        <v>3722</v>
      </c>
      <c r="H1446" s="10">
        <v>2</v>
      </c>
      <c r="I1446" s="4">
        <v>4</v>
      </c>
      <c r="J1446" s="4" t="s">
        <v>9</v>
      </c>
      <c r="K1446" s="3" t="s">
        <v>9</v>
      </c>
      <c r="L1446" s="3" t="str">
        <f>IF(Table1[[#This Row],[Monthly Income]]&lt;3000,"Low",IF(Table1[[#This Row],[Monthly Income]]&lt;7000,"Medium","High"))</f>
        <v>Medium</v>
      </c>
      <c r="AK1446" s="4"/>
      <c r="AL1446" s="4"/>
      <c r="AM1446" s="4"/>
      <c r="AN1446" s="4"/>
      <c r="AO1446" s="4"/>
      <c r="AP1446" s="4"/>
      <c r="AQ1446" s="4"/>
      <c r="AR1446" s="4"/>
      <c r="AS1446" s="4"/>
      <c r="AU1446" s="4"/>
      <c r="AV1446" s="4"/>
      <c r="AW1446" s="4"/>
      <c r="AX1446" s="4"/>
      <c r="AY1446" s="4"/>
      <c r="AZ1446" s="4"/>
      <c r="BA1446" s="4"/>
      <c r="BB1446" s="4"/>
      <c r="BC1446" s="4"/>
      <c r="BD1446" s="4"/>
      <c r="BE1446" s="4"/>
    </row>
    <row r="1447" spans="2:57" x14ac:dyDescent="0.3">
      <c r="B1447" s="6" t="s">
        <v>1470</v>
      </c>
      <c r="C1447" s="6">
        <v>43</v>
      </c>
      <c r="D1447" s="6" t="s">
        <v>17</v>
      </c>
      <c r="E1447" s="6" t="s">
        <v>15</v>
      </c>
      <c r="F1447" s="6" t="s">
        <v>18</v>
      </c>
      <c r="G1447" s="19">
        <v>2437</v>
      </c>
      <c r="H1447" s="11">
        <v>1</v>
      </c>
      <c r="I1447" s="6">
        <v>3</v>
      </c>
      <c r="J1447" s="6" t="s">
        <v>9</v>
      </c>
      <c r="K1447" s="5" t="s">
        <v>9</v>
      </c>
      <c r="L1447" s="3" t="str">
        <f>IF(Table1[[#This Row],[Monthly Income]]&lt;3000,"Low",IF(Table1[[#This Row],[Monthly Income]]&lt;7000,"Medium","High"))</f>
        <v>Low</v>
      </c>
      <c r="AK1447" s="6"/>
      <c r="AL1447" s="6"/>
      <c r="AM1447" s="6"/>
      <c r="AN1447" s="6"/>
      <c r="AO1447" s="6"/>
      <c r="AP1447" s="6"/>
      <c r="AQ1447" s="6"/>
      <c r="AR1447" s="6"/>
      <c r="AS1447" s="6"/>
      <c r="AU1447" s="6"/>
      <c r="AV1447" s="6"/>
      <c r="AW1447" s="6"/>
      <c r="AX1447" s="6"/>
      <c r="AY1447" s="6"/>
      <c r="AZ1447" s="6"/>
      <c r="BA1447" s="6"/>
      <c r="BB1447" s="6"/>
      <c r="BC1447" s="6"/>
      <c r="BD1447" s="6"/>
      <c r="BE1447" s="6"/>
    </row>
    <row r="1448" spans="2:57" x14ac:dyDescent="0.3">
      <c r="B1448" s="4" t="s">
        <v>1471</v>
      </c>
      <c r="C1448" s="4">
        <v>24</v>
      </c>
      <c r="D1448" s="4" t="s">
        <v>17</v>
      </c>
      <c r="E1448" s="4" t="s">
        <v>15</v>
      </c>
      <c r="F1448" s="4" t="s">
        <v>20</v>
      </c>
      <c r="G1448" s="18">
        <v>3172</v>
      </c>
      <c r="H1448" s="10">
        <v>0</v>
      </c>
      <c r="I1448" s="4">
        <v>1</v>
      </c>
      <c r="J1448" s="4" t="s">
        <v>9</v>
      </c>
      <c r="K1448" s="3" t="s">
        <v>9</v>
      </c>
      <c r="L1448" s="3" t="str">
        <f>IF(Table1[[#This Row],[Monthly Income]]&lt;3000,"Low",IF(Table1[[#This Row],[Monthly Income]]&lt;7000,"Medium","High"))</f>
        <v>Medium</v>
      </c>
      <c r="AK1448" s="4"/>
      <c r="AL1448" s="4"/>
      <c r="AM1448" s="4"/>
      <c r="AN1448" s="4"/>
      <c r="AO1448" s="4"/>
      <c r="AP1448" s="4"/>
      <c r="AQ1448" s="4"/>
      <c r="AR1448" s="4"/>
      <c r="AS1448" s="4"/>
      <c r="AU1448" s="4"/>
      <c r="AV1448" s="4"/>
      <c r="AW1448" s="4"/>
      <c r="AX1448" s="4"/>
      <c r="AY1448" s="4"/>
      <c r="AZ1448" s="4"/>
      <c r="BA1448" s="4"/>
      <c r="BB1448" s="4"/>
      <c r="BC1448" s="4"/>
      <c r="BD1448" s="4"/>
      <c r="BE1448" s="4"/>
    </row>
    <row r="1449" spans="2:57" x14ac:dyDescent="0.3">
      <c r="B1449" s="6" t="s">
        <v>1472</v>
      </c>
      <c r="C1449" s="6">
        <v>31</v>
      </c>
      <c r="D1449" s="6" t="s">
        <v>17</v>
      </c>
      <c r="E1449" s="6" t="s">
        <v>10</v>
      </c>
      <c r="F1449" s="6" t="s">
        <v>13</v>
      </c>
      <c r="G1449" s="19">
        <v>5617</v>
      </c>
      <c r="H1449" s="11">
        <v>10</v>
      </c>
      <c r="I1449" s="6">
        <v>4</v>
      </c>
      <c r="J1449" s="6" t="s">
        <v>9</v>
      </c>
      <c r="K1449" s="5" t="s">
        <v>9</v>
      </c>
      <c r="L1449" s="3" t="str">
        <f>IF(Table1[[#This Row],[Monthly Income]]&lt;3000,"Low",IF(Table1[[#This Row],[Monthly Income]]&lt;7000,"Medium","High"))</f>
        <v>Medium</v>
      </c>
      <c r="AK1449" s="6"/>
      <c r="AL1449" s="6"/>
      <c r="AM1449" s="6"/>
      <c r="AN1449" s="6"/>
      <c r="AO1449" s="6"/>
      <c r="AP1449" s="6"/>
      <c r="AQ1449" s="6"/>
      <c r="AR1449" s="6"/>
      <c r="AS1449" s="6"/>
      <c r="AU1449" s="6"/>
      <c r="AV1449" s="6"/>
      <c r="AW1449" s="6"/>
      <c r="AX1449" s="6"/>
      <c r="AY1449" s="6"/>
      <c r="AZ1449" s="6"/>
      <c r="BA1449" s="6"/>
      <c r="BB1449" s="6"/>
      <c r="BC1449" s="6"/>
      <c r="BD1449" s="6"/>
      <c r="BE1449" s="6"/>
    </row>
    <row r="1450" spans="2:57" x14ac:dyDescent="0.3">
      <c r="B1450" s="4" t="s">
        <v>1473</v>
      </c>
      <c r="C1450" s="4">
        <v>29</v>
      </c>
      <c r="D1450" s="4" t="s">
        <v>17</v>
      </c>
      <c r="E1450" s="4" t="s">
        <v>102</v>
      </c>
      <c r="F1450" s="4" t="s">
        <v>104</v>
      </c>
      <c r="G1450" s="18">
        <v>2335</v>
      </c>
      <c r="H1450" s="10">
        <v>2</v>
      </c>
      <c r="I1450" s="4">
        <v>1</v>
      </c>
      <c r="J1450" s="4" t="s">
        <v>9</v>
      </c>
      <c r="K1450" s="3" t="s">
        <v>9</v>
      </c>
      <c r="L1450" s="3" t="str">
        <f>IF(Table1[[#This Row],[Monthly Income]]&lt;3000,"Low",IF(Table1[[#This Row],[Monthly Income]]&lt;7000,"Medium","High"))</f>
        <v>Low</v>
      </c>
      <c r="AK1450" s="4"/>
      <c r="AL1450" s="4"/>
      <c r="AM1450" s="4"/>
      <c r="AN1450" s="4"/>
      <c r="AO1450" s="4"/>
      <c r="AP1450" s="4"/>
      <c r="AQ1450" s="4"/>
      <c r="AR1450" s="4"/>
      <c r="AS1450" s="4"/>
      <c r="AU1450" s="4"/>
      <c r="AV1450" s="4"/>
      <c r="AW1450" s="4"/>
      <c r="AX1450" s="4"/>
      <c r="AY1450" s="4"/>
      <c r="AZ1450" s="4"/>
      <c r="BA1450" s="4"/>
      <c r="BB1450" s="4"/>
      <c r="BC1450" s="4"/>
      <c r="BD1450" s="4"/>
      <c r="BE1450" s="4"/>
    </row>
    <row r="1451" spans="2:57" x14ac:dyDescent="0.3">
      <c r="B1451" s="6" t="s">
        <v>1474</v>
      </c>
      <c r="C1451" s="6">
        <v>29</v>
      </c>
      <c r="D1451" s="6" t="s">
        <v>17</v>
      </c>
      <c r="E1451" s="6" t="s">
        <v>15</v>
      </c>
      <c r="F1451" s="6" t="s">
        <v>18</v>
      </c>
      <c r="G1451" s="19">
        <v>4787</v>
      </c>
      <c r="H1451" s="11">
        <v>2</v>
      </c>
      <c r="I1451" s="6">
        <v>4</v>
      </c>
      <c r="J1451" s="6" t="s">
        <v>9</v>
      </c>
      <c r="K1451" s="5" t="s">
        <v>9</v>
      </c>
      <c r="L1451" s="3" t="str">
        <f>IF(Table1[[#This Row],[Monthly Income]]&lt;3000,"Low",IF(Table1[[#This Row],[Monthly Income]]&lt;7000,"Medium","High"))</f>
        <v>Medium</v>
      </c>
      <c r="AK1451" s="6"/>
      <c r="AL1451" s="6"/>
      <c r="AM1451" s="6"/>
      <c r="AN1451" s="6"/>
      <c r="AO1451" s="6"/>
      <c r="AP1451" s="6"/>
      <c r="AQ1451" s="6"/>
      <c r="AR1451" s="6"/>
      <c r="AS1451" s="6"/>
      <c r="AU1451" s="6"/>
      <c r="AV1451" s="6"/>
      <c r="AW1451" s="6"/>
      <c r="AX1451" s="6"/>
      <c r="AY1451" s="6"/>
      <c r="AZ1451" s="6"/>
      <c r="BA1451" s="6"/>
      <c r="BB1451" s="6"/>
      <c r="BC1451" s="6"/>
      <c r="BD1451" s="6"/>
      <c r="BE1451" s="6"/>
    </row>
    <row r="1452" spans="2:57" x14ac:dyDescent="0.3">
      <c r="B1452" s="4" t="s">
        <v>1475</v>
      </c>
      <c r="C1452" s="4">
        <v>28</v>
      </c>
      <c r="D1452" s="4" t="s">
        <v>17</v>
      </c>
      <c r="E1452" s="4" t="s">
        <v>15</v>
      </c>
      <c r="F1452" s="4" t="s">
        <v>20</v>
      </c>
      <c r="G1452" s="18">
        <v>2408</v>
      </c>
      <c r="H1452" s="10">
        <v>1</v>
      </c>
      <c r="I1452" s="4">
        <v>2</v>
      </c>
      <c r="J1452" s="4" t="s">
        <v>9</v>
      </c>
      <c r="K1452" s="3" t="s">
        <v>9</v>
      </c>
      <c r="L1452" s="3" t="str">
        <f>IF(Table1[[#This Row],[Monthly Income]]&lt;3000,"Low",IF(Table1[[#This Row],[Monthly Income]]&lt;7000,"Medium","High"))</f>
        <v>Low</v>
      </c>
      <c r="AK1452" s="4"/>
      <c r="AL1452" s="4"/>
      <c r="AM1452" s="4"/>
      <c r="AN1452" s="4"/>
      <c r="AO1452" s="4"/>
      <c r="AP1452" s="4"/>
      <c r="AQ1452" s="4"/>
      <c r="AR1452" s="4"/>
      <c r="AS1452" s="4"/>
      <c r="AU1452" s="4"/>
      <c r="AV1452" s="4"/>
      <c r="AW1452" s="4"/>
      <c r="AX1452" s="4"/>
      <c r="AY1452" s="4"/>
      <c r="AZ1452" s="4"/>
      <c r="BA1452" s="4"/>
      <c r="BB1452" s="4"/>
      <c r="BC1452" s="4"/>
      <c r="BD1452" s="4"/>
      <c r="BE1452" s="4"/>
    </row>
    <row r="1453" spans="2:57" x14ac:dyDescent="0.3">
      <c r="B1453" s="6" t="s">
        <v>1476</v>
      </c>
      <c r="C1453" s="6">
        <v>40</v>
      </c>
      <c r="D1453" s="6" t="s">
        <v>17</v>
      </c>
      <c r="E1453" s="6" t="s">
        <v>15</v>
      </c>
      <c r="F1453" s="6" t="s">
        <v>20</v>
      </c>
      <c r="G1453" s="19">
        <v>2166</v>
      </c>
      <c r="H1453" s="11">
        <v>4</v>
      </c>
      <c r="I1453" s="6">
        <v>1</v>
      </c>
      <c r="J1453" s="6" t="s">
        <v>9</v>
      </c>
      <c r="K1453" s="5" t="s">
        <v>9</v>
      </c>
      <c r="L1453" s="3" t="str">
        <f>IF(Table1[[#This Row],[Monthly Income]]&lt;3000,"Low",IF(Table1[[#This Row],[Monthly Income]]&lt;7000,"Medium","High"))</f>
        <v>Low</v>
      </c>
      <c r="AK1453" s="6"/>
      <c r="AL1453" s="6"/>
      <c r="AM1453" s="6"/>
      <c r="AN1453" s="6"/>
      <c r="AO1453" s="6"/>
      <c r="AP1453" s="6"/>
      <c r="AQ1453" s="6"/>
      <c r="AR1453" s="6"/>
      <c r="AS1453" s="6"/>
      <c r="AU1453" s="6"/>
      <c r="AV1453" s="6"/>
      <c r="AW1453" s="6"/>
      <c r="AX1453" s="6"/>
      <c r="AY1453" s="6"/>
      <c r="AZ1453" s="6"/>
      <c r="BA1453" s="6"/>
      <c r="BB1453" s="6"/>
      <c r="BC1453" s="6"/>
      <c r="BD1453" s="6"/>
      <c r="BE1453" s="6"/>
    </row>
    <row r="1454" spans="2:57" x14ac:dyDescent="0.3">
      <c r="B1454" s="4" t="s">
        <v>1477</v>
      </c>
      <c r="C1454" s="4">
        <v>23</v>
      </c>
      <c r="D1454" s="4" t="s">
        <v>17</v>
      </c>
      <c r="E1454" s="4" t="s">
        <v>15</v>
      </c>
      <c r="F1454" s="4" t="s">
        <v>20</v>
      </c>
      <c r="G1454" s="18">
        <v>3989</v>
      </c>
      <c r="H1454" s="10">
        <v>5</v>
      </c>
      <c r="I1454" s="4">
        <v>3</v>
      </c>
      <c r="J1454" s="4" t="s">
        <v>9</v>
      </c>
      <c r="K1454" s="3" t="s">
        <v>9</v>
      </c>
      <c r="L1454" s="3" t="str">
        <f>IF(Table1[[#This Row],[Monthly Income]]&lt;3000,"Low",IF(Table1[[#This Row],[Monthly Income]]&lt;7000,"Medium","High"))</f>
        <v>Medium</v>
      </c>
      <c r="AK1454" s="4"/>
      <c r="AL1454" s="4"/>
      <c r="AM1454" s="4"/>
      <c r="AN1454" s="4"/>
      <c r="AO1454" s="4"/>
      <c r="AP1454" s="4"/>
      <c r="AQ1454" s="4"/>
      <c r="AR1454" s="4"/>
      <c r="AS1454" s="4"/>
      <c r="AU1454" s="4"/>
      <c r="AV1454" s="4"/>
      <c r="AW1454" s="4"/>
      <c r="AX1454" s="4"/>
      <c r="AY1454" s="4"/>
      <c r="AZ1454" s="4"/>
      <c r="BA1454" s="4"/>
      <c r="BB1454" s="4"/>
      <c r="BC1454" s="4"/>
      <c r="BD1454" s="4"/>
      <c r="BE1454" s="4"/>
    </row>
    <row r="1455" spans="2:57" x14ac:dyDescent="0.3">
      <c r="B1455" s="6" t="s">
        <v>1478</v>
      </c>
      <c r="C1455" s="6">
        <v>50</v>
      </c>
      <c r="D1455" s="6" t="s">
        <v>17</v>
      </c>
      <c r="E1455" s="6" t="s">
        <v>10</v>
      </c>
      <c r="F1455" s="6" t="s">
        <v>13</v>
      </c>
      <c r="G1455" s="19">
        <v>10854</v>
      </c>
      <c r="H1455" s="11">
        <v>3</v>
      </c>
      <c r="I1455" s="6">
        <v>1</v>
      </c>
      <c r="J1455" s="6" t="s">
        <v>9</v>
      </c>
      <c r="K1455" s="5" t="s">
        <v>9</v>
      </c>
      <c r="L1455" s="3" t="str">
        <f>IF(Table1[[#This Row],[Monthly Income]]&lt;3000,"Low",IF(Table1[[#This Row],[Monthly Income]]&lt;7000,"Medium","High"))</f>
        <v>High</v>
      </c>
      <c r="AK1455" s="6"/>
      <c r="AL1455" s="6"/>
      <c r="AM1455" s="6"/>
      <c r="AN1455" s="6"/>
      <c r="AO1455" s="6"/>
      <c r="AP1455" s="6"/>
      <c r="AQ1455" s="6"/>
      <c r="AR1455" s="6"/>
      <c r="AS1455" s="6"/>
      <c r="AU1455" s="6"/>
      <c r="AV1455" s="6"/>
      <c r="AW1455" s="6"/>
      <c r="AX1455" s="6"/>
      <c r="AY1455" s="6"/>
      <c r="AZ1455" s="6"/>
      <c r="BA1455" s="6"/>
      <c r="BB1455" s="6"/>
      <c r="BC1455" s="6"/>
      <c r="BD1455" s="6"/>
      <c r="BE1455" s="6"/>
    </row>
    <row r="1456" spans="2:57" x14ac:dyDescent="0.3">
      <c r="B1456" s="4" t="s">
        <v>1479</v>
      </c>
      <c r="C1456" s="4">
        <v>35</v>
      </c>
      <c r="D1456" s="4" t="s">
        <v>17</v>
      </c>
      <c r="E1456" s="4" t="s">
        <v>10</v>
      </c>
      <c r="F1456" s="4" t="s">
        <v>13</v>
      </c>
      <c r="G1456" s="18">
        <v>5440</v>
      </c>
      <c r="H1456" s="10">
        <v>2</v>
      </c>
      <c r="I1456" s="4">
        <v>4</v>
      </c>
      <c r="J1456" s="4" t="s">
        <v>9</v>
      </c>
      <c r="K1456" s="3" t="s">
        <v>9</v>
      </c>
      <c r="L1456" s="3" t="str">
        <f>IF(Table1[[#This Row],[Monthly Income]]&lt;3000,"Low",IF(Table1[[#This Row],[Monthly Income]]&lt;7000,"Medium","High"))</f>
        <v>Medium</v>
      </c>
      <c r="AK1456" s="4"/>
      <c r="AL1456" s="4"/>
      <c r="AM1456" s="4"/>
      <c r="AN1456" s="4"/>
      <c r="AO1456" s="4"/>
      <c r="AP1456" s="4"/>
      <c r="AQ1456" s="4"/>
      <c r="AR1456" s="4"/>
      <c r="AS1456" s="4"/>
      <c r="AU1456" s="4"/>
      <c r="AV1456" s="4"/>
      <c r="AW1456" s="4"/>
      <c r="AX1456" s="4"/>
      <c r="AY1456" s="4"/>
      <c r="AZ1456" s="4"/>
      <c r="BA1456" s="4"/>
      <c r="BB1456" s="4"/>
      <c r="BC1456" s="4"/>
      <c r="BD1456" s="4"/>
      <c r="BE1456" s="4"/>
    </row>
    <row r="1457" spans="2:57" x14ac:dyDescent="0.3">
      <c r="B1457" s="6" t="s">
        <v>1480</v>
      </c>
      <c r="C1457" s="6">
        <v>36</v>
      </c>
      <c r="D1457" s="6" t="s">
        <v>17</v>
      </c>
      <c r="E1457" s="6" t="s">
        <v>10</v>
      </c>
      <c r="F1457" s="6" t="s">
        <v>13</v>
      </c>
      <c r="G1457" s="19">
        <v>6134</v>
      </c>
      <c r="H1457" s="11">
        <v>2</v>
      </c>
      <c r="I1457" s="6">
        <v>1</v>
      </c>
      <c r="J1457" s="6" t="s">
        <v>9</v>
      </c>
      <c r="K1457" s="5" t="s">
        <v>9</v>
      </c>
      <c r="L1457" s="3" t="str">
        <f>IF(Table1[[#This Row],[Monthly Income]]&lt;3000,"Low",IF(Table1[[#This Row],[Monthly Income]]&lt;7000,"Medium","High"))</f>
        <v>Medium</v>
      </c>
      <c r="AK1457" s="6"/>
      <c r="AL1457" s="6"/>
      <c r="AM1457" s="6"/>
      <c r="AN1457" s="6"/>
      <c r="AO1457" s="6"/>
      <c r="AP1457" s="6"/>
      <c r="AQ1457" s="6"/>
      <c r="AR1457" s="6"/>
      <c r="AS1457" s="6"/>
      <c r="AU1457" s="6"/>
      <c r="AV1457" s="6"/>
      <c r="AW1457" s="6"/>
      <c r="AX1457" s="6"/>
      <c r="AY1457" s="6"/>
      <c r="AZ1457" s="6"/>
      <c r="BA1457" s="6"/>
      <c r="BB1457" s="6"/>
      <c r="BC1457" s="6"/>
      <c r="BD1457" s="6"/>
      <c r="BE1457" s="6"/>
    </row>
    <row r="1458" spans="2:57" x14ac:dyDescent="0.3">
      <c r="B1458" s="4" t="s">
        <v>1481</v>
      </c>
      <c r="C1458" s="4">
        <v>53</v>
      </c>
      <c r="D1458" s="4" t="s">
        <v>17</v>
      </c>
      <c r="E1458" s="4" t="s">
        <v>10</v>
      </c>
      <c r="F1458" s="4" t="s">
        <v>13</v>
      </c>
      <c r="G1458" s="18">
        <v>10448</v>
      </c>
      <c r="H1458" s="10">
        <v>2</v>
      </c>
      <c r="I1458" s="4">
        <v>1</v>
      </c>
      <c r="J1458" s="4" t="s">
        <v>9</v>
      </c>
      <c r="K1458" s="3" t="s">
        <v>9</v>
      </c>
      <c r="L1458" s="3" t="str">
        <f>IF(Table1[[#This Row],[Monthly Income]]&lt;3000,"Low",IF(Table1[[#This Row],[Monthly Income]]&lt;7000,"Medium","High"))</f>
        <v>High</v>
      </c>
      <c r="AK1458" s="4"/>
      <c r="AL1458" s="4"/>
      <c r="AM1458" s="4"/>
      <c r="AN1458" s="4"/>
      <c r="AO1458" s="4"/>
      <c r="AP1458" s="4"/>
      <c r="AQ1458" s="4"/>
      <c r="AR1458" s="4"/>
      <c r="AS1458" s="4"/>
      <c r="AU1458" s="4"/>
      <c r="AV1458" s="4"/>
      <c r="AW1458" s="4"/>
      <c r="AX1458" s="4"/>
      <c r="AY1458" s="4"/>
      <c r="AZ1458" s="4"/>
      <c r="BA1458" s="4"/>
      <c r="BB1458" s="4"/>
      <c r="BC1458" s="4"/>
      <c r="BD1458" s="4"/>
      <c r="BE1458" s="4"/>
    </row>
    <row r="1459" spans="2:57" x14ac:dyDescent="0.3">
      <c r="B1459" s="6" t="s">
        <v>1482</v>
      </c>
      <c r="C1459" s="6">
        <v>32</v>
      </c>
      <c r="D1459" s="6" t="s">
        <v>17</v>
      </c>
      <c r="E1459" s="6" t="s">
        <v>10</v>
      </c>
      <c r="F1459" s="6" t="s">
        <v>13</v>
      </c>
      <c r="G1459" s="19">
        <v>9907</v>
      </c>
      <c r="H1459" s="11">
        <v>2</v>
      </c>
      <c r="I1459" s="6">
        <v>2</v>
      </c>
      <c r="J1459" s="6" t="s">
        <v>9</v>
      </c>
      <c r="K1459" s="5" t="s">
        <v>9</v>
      </c>
      <c r="L1459" s="3" t="str">
        <f>IF(Table1[[#This Row],[Monthly Income]]&lt;3000,"Low",IF(Table1[[#This Row],[Monthly Income]]&lt;7000,"Medium","High"))</f>
        <v>High</v>
      </c>
      <c r="AK1459" s="6"/>
      <c r="AL1459" s="6"/>
      <c r="AM1459" s="6"/>
      <c r="AN1459" s="6"/>
      <c r="AO1459" s="6"/>
      <c r="AP1459" s="6"/>
      <c r="AQ1459" s="6"/>
      <c r="AR1459" s="6"/>
      <c r="AS1459" s="6"/>
      <c r="AU1459" s="6"/>
      <c r="AV1459" s="6"/>
      <c r="AW1459" s="6"/>
      <c r="AX1459" s="6"/>
      <c r="AY1459" s="6"/>
      <c r="AZ1459" s="6"/>
      <c r="BA1459" s="6"/>
      <c r="BB1459" s="6"/>
      <c r="BC1459" s="6"/>
      <c r="BD1459" s="6"/>
      <c r="BE1459" s="6"/>
    </row>
    <row r="1460" spans="2:57" x14ac:dyDescent="0.3">
      <c r="B1460" s="4" t="s">
        <v>1483</v>
      </c>
      <c r="C1460" s="4">
        <v>35</v>
      </c>
      <c r="D1460" s="4" t="s">
        <v>17</v>
      </c>
      <c r="E1460" s="4" t="s">
        <v>10</v>
      </c>
      <c r="F1460" s="4" t="s">
        <v>13</v>
      </c>
      <c r="G1460" s="18">
        <v>5813</v>
      </c>
      <c r="H1460" s="10">
        <v>10</v>
      </c>
      <c r="I1460" s="4">
        <v>4</v>
      </c>
      <c r="J1460" s="4" t="s">
        <v>9</v>
      </c>
      <c r="K1460" s="3" t="s">
        <v>9</v>
      </c>
      <c r="L1460" s="3" t="str">
        <f>IF(Table1[[#This Row],[Monthly Income]]&lt;3000,"Low",IF(Table1[[#This Row],[Monthly Income]]&lt;7000,"Medium","High"))</f>
        <v>Medium</v>
      </c>
      <c r="AK1460" s="4"/>
      <c r="AL1460" s="4"/>
      <c r="AM1460" s="4"/>
      <c r="AN1460" s="4"/>
      <c r="AO1460" s="4"/>
      <c r="AP1460" s="4"/>
      <c r="AQ1460" s="4"/>
      <c r="AR1460" s="4"/>
      <c r="AS1460" s="4"/>
      <c r="AU1460" s="4"/>
      <c r="AV1460" s="4"/>
      <c r="AW1460" s="4"/>
      <c r="AX1460" s="4"/>
      <c r="AY1460" s="4"/>
      <c r="AZ1460" s="4"/>
      <c r="BA1460" s="4"/>
      <c r="BB1460" s="4"/>
      <c r="BC1460" s="4"/>
      <c r="BD1460" s="4"/>
      <c r="BE1460" s="4"/>
    </row>
    <row r="1461" spans="2:57" x14ac:dyDescent="0.3">
      <c r="B1461" s="6" t="s">
        <v>1484</v>
      </c>
      <c r="C1461" s="6">
        <v>46</v>
      </c>
      <c r="D1461" s="6" t="s">
        <v>12</v>
      </c>
      <c r="E1461" s="6" t="s">
        <v>15</v>
      </c>
      <c r="F1461" s="6" t="s">
        <v>29</v>
      </c>
      <c r="G1461" s="19">
        <v>8926</v>
      </c>
      <c r="H1461" s="11">
        <v>9</v>
      </c>
      <c r="I1461" s="6">
        <v>2</v>
      </c>
      <c r="J1461" s="6" t="s">
        <v>14</v>
      </c>
      <c r="K1461" s="5" t="s">
        <v>9</v>
      </c>
      <c r="L1461" s="3" t="str">
        <f>IF(Table1[[#This Row],[Monthly Income]]&lt;3000,"Low",IF(Table1[[#This Row],[Monthly Income]]&lt;7000,"Medium","High"))</f>
        <v>High</v>
      </c>
      <c r="AK1461" s="6"/>
      <c r="AL1461" s="6"/>
      <c r="AM1461" s="6"/>
      <c r="AN1461" s="6"/>
      <c r="AO1461" s="6"/>
      <c r="AP1461" s="6"/>
      <c r="AQ1461" s="6"/>
      <c r="AR1461" s="6"/>
      <c r="AS1461" s="6"/>
      <c r="AU1461" s="6"/>
      <c r="AV1461" s="6"/>
      <c r="AW1461" s="6"/>
      <c r="AX1461" s="6"/>
      <c r="AY1461" s="6"/>
      <c r="AZ1461" s="6"/>
      <c r="BA1461" s="6"/>
      <c r="BB1461" s="6"/>
      <c r="BC1461" s="6"/>
      <c r="BD1461" s="1"/>
      <c r="BE1461" s="1"/>
    </row>
    <row r="1462" spans="2:57" x14ac:dyDescent="0.3">
      <c r="B1462" s="4" t="s">
        <v>1485</v>
      </c>
      <c r="C1462" s="4">
        <v>46</v>
      </c>
      <c r="D1462" s="4" t="s">
        <v>12</v>
      </c>
      <c r="E1462" s="4" t="s">
        <v>10</v>
      </c>
      <c r="F1462" s="4" t="s">
        <v>13</v>
      </c>
      <c r="G1462" s="18">
        <v>7314</v>
      </c>
      <c r="H1462" s="10">
        <v>8</v>
      </c>
      <c r="I1462" s="4">
        <v>2</v>
      </c>
      <c r="J1462" s="4" t="s">
        <v>14</v>
      </c>
      <c r="K1462" s="3" t="s">
        <v>9</v>
      </c>
      <c r="L1462" s="3" t="str">
        <f>IF(Table1[[#This Row],[Monthly Income]]&lt;3000,"Low",IF(Table1[[#This Row],[Monthly Income]]&lt;7000,"Medium","High"))</f>
        <v>High</v>
      </c>
      <c r="AK1462" s="4"/>
      <c r="AL1462" s="4"/>
      <c r="AM1462" s="4"/>
      <c r="AN1462" s="4"/>
      <c r="AO1462" s="4"/>
      <c r="AP1462" s="4"/>
      <c r="AQ1462" s="4"/>
      <c r="AR1462" s="4"/>
      <c r="AS1462" s="4"/>
      <c r="AU1462" s="4"/>
      <c r="AV1462" s="4"/>
      <c r="AW1462" s="4"/>
      <c r="AX1462" s="4"/>
      <c r="AY1462" s="4"/>
      <c r="AZ1462" s="4"/>
      <c r="BA1462" s="4"/>
      <c r="BB1462" s="4"/>
      <c r="BC1462" s="4"/>
    </row>
    <row r="1463" spans="2:57" x14ac:dyDescent="0.3">
      <c r="B1463" s="6" t="s">
        <v>1486</v>
      </c>
      <c r="C1463" s="6">
        <v>49</v>
      </c>
      <c r="D1463" s="6" t="s">
        <v>17</v>
      </c>
      <c r="E1463" s="6" t="s">
        <v>15</v>
      </c>
      <c r="F1463" s="6" t="s">
        <v>20</v>
      </c>
      <c r="G1463" s="19">
        <v>4284</v>
      </c>
      <c r="H1463" s="11">
        <v>4</v>
      </c>
      <c r="I1463" s="6">
        <v>1</v>
      </c>
      <c r="J1463" s="6" t="s">
        <v>14</v>
      </c>
      <c r="K1463" s="5" t="s">
        <v>9</v>
      </c>
      <c r="L1463" s="3" t="str">
        <f>IF(Table1[[#This Row],[Monthly Income]]&lt;3000,"Low",IF(Table1[[#This Row],[Monthly Income]]&lt;7000,"Medium","High"))</f>
        <v>Medium</v>
      </c>
      <c r="AK1463" s="6"/>
      <c r="AL1463" s="6"/>
      <c r="AM1463" s="6"/>
      <c r="AN1463" s="6"/>
      <c r="AO1463" s="6"/>
      <c r="AP1463" s="6"/>
      <c r="AQ1463" s="6"/>
      <c r="AR1463" s="6"/>
      <c r="AS1463" s="6"/>
      <c r="AU1463" s="6"/>
      <c r="AV1463" s="6"/>
      <c r="AW1463" s="6"/>
      <c r="AX1463" s="6"/>
      <c r="AY1463" s="6"/>
      <c r="AZ1463" s="6"/>
      <c r="BA1463" s="6"/>
      <c r="BB1463" s="6"/>
      <c r="BC1463" s="6"/>
    </row>
    <row r="1464" spans="2:57" x14ac:dyDescent="0.3">
      <c r="B1464" s="4" t="s">
        <v>1487</v>
      </c>
      <c r="C1464" s="4">
        <v>39</v>
      </c>
      <c r="D1464" s="4" t="s">
        <v>12</v>
      </c>
      <c r="E1464" s="4" t="s">
        <v>15</v>
      </c>
      <c r="F1464" s="4" t="s">
        <v>20</v>
      </c>
      <c r="G1464" s="18">
        <v>3646</v>
      </c>
      <c r="H1464" s="10">
        <v>1</v>
      </c>
      <c r="I1464" s="4">
        <v>1</v>
      </c>
      <c r="J1464" s="4" t="s">
        <v>9</v>
      </c>
      <c r="K1464" s="3" t="s">
        <v>9</v>
      </c>
      <c r="L1464" s="3" t="str">
        <f>IF(Table1[[#This Row],[Monthly Income]]&lt;3000,"Low",IF(Table1[[#This Row],[Monthly Income]]&lt;7000,"Medium","High"))</f>
        <v>Medium</v>
      </c>
      <c r="AK1464" s="4"/>
      <c r="AL1464" s="4"/>
      <c r="AM1464" s="4"/>
      <c r="AN1464" s="4"/>
      <c r="AO1464" s="4"/>
      <c r="AP1464" s="4"/>
      <c r="AQ1464" s="4"/>
      <c r="AR1464" s="4"/>
      <c r="AS1464" s="4"/>
      <c r="AU1464" s="4"/>
      <c r="AV1464" s="4"/>
      <c r="AW1464" s="4"/>
      <c r="AX1464" s="4"/>
      <c r="AY1464" s="4"/>
      <c r="AZ1464" s="4"/>
      <c r="BA1464" s="4"/>
      <c r="BB1464" s="4"/>
      <c r="BC1464" s="4"/>
    </row>
    <row r="1465" spans="2:57" x14ac:dyDescent="0.3">
      <c r="B1465" s="6" t="s">
        <v>1488</v>
      </c>
      <c r="C1465" s="6">
        <v>34</v>
      </c>
      <c r="D1465" s="6" t="s">
        <v>12</v>
      </c>
      <c r="E1465" s="6" t="s">
        <v>10</v>
      </c>
      <c r="F1465" s="6" t="s">
        <v>13</v>
      </c>
      <c r="G1465" s="19">
        <v>4599</v>
      </c>
      <c r="H1465" s="11">
        <v>15</v>
      </c>
      <c r="I1465" s="6">
        <v>2</v>
      </c>
      <c r="J1465" s="6" t="s">
        <v>9</v>
      </c>
      <c r="K1465" s="5" t="s">
        <v>9</v>
      </c>
      <c r="L1465" s="3" t="str">
        <f>IF(Table1[[#This Row],[Monthly Income]]&lt;3000,"Low",IF(Table1[[#This Row],[Monthly Income]]&lt;7000,"Medium","High"))</f>
        <v>Medium</v>
      </c>
      <c r="AK1465" s="6"/>
      <c r="AL1465" s="6"/>
      <c r="AM1465" s="6"/>
      <c r="AN1465" s="6"/>
      <c r="AO1465" s="6"/>
      <c r="AP1465" s="6"/>
      <c r="AQ1465" s="6"/>
      <c r="AR1465" s="6"/>
      <c r="AS1465" s="6"/>
      <c r="AU1465" s="6"/>
      <c r="AV1465" s="6"/>
      <c r="AW1465" s="6"/>
      <c r="AX1465" s="6"/>
      <c r="AY1465" s="6"/>
      <c r="AZ1465" s="6"/>
      <c r="BA1465" s="6"/>
      <c r="BB1465" s="6"/>
      <c r="BC1465" s="6"/>
    </row>
    <row r="1466" spans="2:57" x14ac:dyDescent="0.3">
      <c r="B1466" s="4" t="s">
        <v>1489</v>
      </c>
      <c r="C1466" s="4">
        <v>33</v>
      </c>
      <c r="D1466" s="4" t="s">
        <v>12</v>
      </c>
      <c r="E1466" s="4" t="s">
        <v>10</v>
      </c>
      <c r="F1466" s="4" t="s">
        <v>13</v>
      </c>
      <c r="G1466" s="18">
        <v>8564</v>
      </c>
      <c r="H1466" s="10">
        <v>0</v>
      </c>
      <c r="I1466" s="4">
        <v>1</v>
      </c>
      <c r="J1466" s="4" t="s">
        <v>9</v>
      </c>
      <c r="K1466" s="3" t="s">
        <v>9</v>
      </c>
      <c r="L1466" s="3" t="str">
        <f>IF(Table1[[#This Row],[Monthly Income]]&lt;3000,"Low",IF(Table1[[#This Row],[Monthly Income]]&lt;7000,"Medium","High"))</f>
        <v>High</v>
      </c>
      <c r="AK1466" s="4"/>
      <c r="AL1466" s="4"/>
      <c r="AM1466" s="4"/>
      <c r="AN1466" s="4"/>
      <c r="AO1466" s="4"/>
      <c r="AP1466" s="4"/>
      <c r="AQ1466" s="4"/>
      <c r="AR1466" s="4"/>
      <c r="AS1466" s="4"/>
      <c r="AU1466" s="4"/>
      <c r="AV1466" s="4"/>
      <c r="AW1466" s="4"/>
      <c r="AX1466" s="4"/>
      <c r="AY1466" s="4"/>
      <c r="AZ1466" s="4"/>
      <c r="BA1466" s="4"/>
      <c r="BB1466" s="4"/>
      <c r="BC1466" s="4"/>
    </row>
    <row r="1467" spans="2:57" x14ac:dyDescent="0.3">
      <c r="B1467" s="6" t="s">
        <v>1490</v>
      </c>
      <c r="C1467" s="6">
        <v>34</v>
      </c>
      <c r="D1467" s="6" t="s">
        <v>17</v>
      </c>
      <c r="E1467" s="6" t="s">
        <v>15</v>
      </c>
      <c r="F1467" s="6" t="s">
        <v>18</v>
      </c>
      <c r="G1467" s="19">
        <v>2307</v>
      </c>
      <c r="H1467" s="11">
        <v>5</v>
      </c>
      <c r="I1467" s="6">
        <v>1</v>
      </c>
      <c r="J1467" s="6" t="s">
        <v>9</v>
      </c>
      <c r="K1467" s="5" t="s">
        <v>9</v>
      </c>
      <c r="L1467" s="3" t="str">
        <f>IF(Table1[[#This Row],[Monthly Income]]&lt;3000,"Low",IF(Table1[[#This Row],[Monthly Income]]&lt;7000,"Medium","High"))</f>
        <v>Low</v>
      </c>
      <c r="AK1467" s="6"/>
      <c r="AL1467" s="6"/>
      <c r="AM1467" s="6"/>
      <c r="AN1467" s="6"/>
      <c r="AO1467" s="6"/>
      <c r="AP1467" s="6"/>
      <c r="AQ1467" s="6"/>
      <c r="AR1467" s="6"/>
      <c r="AS1467" s="6"/>
      <c r="AU1467" s="6"/>
      <c r="AV1467" s="6"/>
      <c r="AW1467" s="6"/>
      <c r="AX1467" s="6"/>
      <c r="AY1467" s="6"/>
      <c r="AZ1467" s="6"/>
      <c r="BA1467" s="6"/>
      <c r="BB1467" s="6"/>
      <c r="BC1467" s="6"/>
    </row>
    <row r="1468" spans="2:57" x14ac:dyDescent="0.3">
      <c r="B1468" s="4" t="s">
        <v>1491</v>
      </c>
      <c r="C1468" s="4">
        <v>29</v>
      </c>
      <c r="D1468" s="4" t="s">
        <v>17</v>
      </c>
      <c r="E1468" s="4" t="s">
        <v>15</v>
      </c>
      <c r="F1468" s="4" t="s">
        <v>18</v>
      </c>
      <c r="G1468" s="18">
        <v>2439</v>
      </c>
      <c r="H1468" s="10">
        <v>1</v>
      </c>
      <c r="I1468" s="4">
        <v>4</v>
      </c>
      <c r="J1468" s="4" t="s">
        <v>9</v>
      </c>
      <c r="K1468" s="3" t="s">
        <v>9</v>
      </c>
      <c r="L1468" s="3" t="str">
        <f>IF(Table1[[#This Row],[Monthly Income]]&lt;3000,"Low",IF(Table1[[#This Row],[Monthly Income]]&lt;7000,"Medium","High"))</f>
        <v>Low</v>
      </c>
      <c r="AK1468" s="4"/>
      <c r="AL1468" s="4"/>
      <c r="AM1468" s="4"/>
      <c r="AN1468" s="4"/>
      <c r="AO1468" s="4"/>
      <c r="AP1468" s="4"/>
      <c r="AQ1468" s="4"/>
      <c r="AR1468" s="4"/>
      <c r="AS1468" s="4"/>
      <c r="AU1468" s="4"/>
      <c r="AV1468" s="4"/>
      <c r="AW1468" s="4"/>
      <c r="AX1468" s="4"/>
      <c r="AY1468" s="4"/>
      <c r="AZ1468" s="4"/>
      <c r="BA1468" s="4"/>
      <c r="BB1468" s="4"/>
      <c r="BC1468" s="4"/>
    </row>
    <row r="1469" spans="2:57" x14ac:dyDescent="0.3">
      <c r="B1469" s="6" t="s">
        <v>1492</v>
      </c>
      <c r="C1469" s="6">
        <v>35</v>
      </c>
      <c r="D1469" s="6" t="s">
        <v>17</v>
      </c>
      <c r="E1469" s="6" t="s">
        <v>10</v>
      </c>
      <c r="F1469" s="6" t="s">
        <v>13</v>
      </c>
      <c r="G1469" s="19">
        <v>4581</v>
      </c>
      <c r="H1469" s="11">
        <v>11</v>
      </c>
      <c r="I1469" s="6">
        <v>4</v>
      </c>
      <c r="J1469" s="6" t="s">
        <v>9</v>
      </c>
      <c r="K1469" s="5" t="s">
        <v>9</v>
      </c>
      <c r="L1469" s="3" t="str">
        <f>IF(Table1[[#This Row],[Monthly Income]]&lt;3000,"Low",IF(Table1[[#This Row],[Monthly Income]]&lt;7000,"Medium","High"))</f>
        <v>Medium</v>
      </c>
      <c r="AK1469" s="6"/>
      <c r="AL1469" s="6"/>
      <c r="AM1469" s="6"/>
      <c r="AN1469" s="6"/>
      <c r="AO1469" s="6"/>
      <c r="AP1469" s="6"/>
      <c r="AQ1469" s="6"/>
      <c r="AR1469" s="6"/>
      <c r="AS1469" s="6"/>
      <c r="AU1469" s="6"/>
      <c r="AV1469" s="6"/>
      <c r="AW1469" s="6"/>
      <c r="AX1469" s="6"/>
      <c r="AY1469" s="6"/>
      <c r="AZ1469" s="6"/>
      <c r="BA1469" s="6"/>
      <c r="BB1469" s="6"/>
      <c r="BC1469" s="6"/>
    </row>
    <row r="1470" spans="2:57" x14ac:dyDescent="0.3">
      <c r="B1470" s="4" t="s">
        <v>1493</v>
      </c>
      <c r="C1470" s="4">
        <v>22</v>
      </c>
      <c r="D1470" s="4" t="s">
        <v>17</v>
      </c>
      <c r="E1470" s="4" t="s">
        <v>15</v>
      </c>
      <c r="F1470" s="4" t="s">
        <v>18</v>
      </c>
      <c r="G1470" s="18">
        <v>2472</v>
      </c>
      <c r="H1470" s="10">
        <v>1</v>
      </c>
      <c r="I1470" s="4">
        <v>2</v>
      </c>
      <c r="J1470" s="4" t="s">
        <v>9</v>
      </c>
      <c r="K1470" s="3" t="s">
        <v>9</v>
      </c>
      <c r="L1470" s="3" t="str">
        <f>IF(Table1[[#This Row],[Monthly Income]]&lt;3000,"Low",IF(Table1[[#This Row],[Monthly Income]]&lt;7000,"Medium","High"))</f>
        <v>Low</v>
      </c>
      <c r="AK1470" s="4"/>
      <c r="AL1470" s="4"/>
      <c r="AM1470" s="4"/>
      <c r="AN1470" s="4"/>
      <c r="AO1470" s="4"/>
      <c r="AP1470" s="4"/>
      <c r="AQ1470" s="4"/>
      <c r="AR1470" s="4"/>
      <c r="AS1470" s="4"/>
      <c r="AU1470" s="4"/>
      <c r="AV1470" s="4"/>
      <c r="AW1470" s="4"/>
      <c r="AX1470" s="4"/>
      <c r="AY1470" s="4"/>
      <c r="AZ1470" s="4"/>
      <c r="BA1470" s="4"/>
      <c r="BB1470" s="4"/>
      <c r="BC1470" s="4"/>
    </row>
    <row r="1471" spans="2:57" x14ac:dyDescent="0.3">
      <c r="B1471" s="6" t="s">
        <v>1494</v>
      </c>
      <c r="C1471" s="6">
        <v>23</v>
      </c>
      <c r="D1471" s="6" t="s">
        <v>17</v>
      </c>
      <c r="E1471" s="6" t="s">
        <v>10</v>
      </c>
      <c r="F1471" s="6" t="s">
        <v>43</v>
      </c>
      <c r="G1471" s="19">
        <v>2275</v>
      </c>
      <c r="H1471" s="11">
        <v>3</v>
      </c>
      <c r="I1471" s="6">
        <v>4</v>
      </c>
      <c r="J1471" s="6" t="s">
        <v>9</v>
      </c>
      <c r="K1471" s="5" t="s">
        <v>9</v>
      </c>
      <c r="L1471" s="3" t="str">
        <f>IF(Table1[[#This Row],[Monthly Income]]&lt;3000,"Low",IF(Table1[[#This Row],[Monthly Income]]&lt;7000,"Medium","High"))</f>
        <v>Low</v>
      </c>
      <c r="AK1471" s="1"/>
      <c r="AL1471" s="1"/>
      <c r="AM1471" s="1"/>
      <c r="AN1471" s="1"/>
      <c r="AO1471" s="1"/>
      <c r="AP1471" s="1"/>
      <c r="AQ1471" s="1"/>
      <c r="AR1471" s="1"/>
      <c r="AS1471" s="1"/>
      <c r="AU1471" s="1"/>
      <c r="AV1471" s="1"/>
      <c r="AW1471" s="1"/>
      <c r="AX1471" s="1"/>
      <c r="AY1471" s="1"/>
      <c r="AZ1471" s="1"/>
      <c r="BA1471" s="1"/>
      <c r="BB1471" s="1"/>
      <c r="BC147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0134-4A10-4EC3-9429-F8110DB5C736}">
  <dimension ref="B3:N44"/>
  <sheetViews>
    <sheetView showGridLines="0" topLeftCell="D1" workbookViewId="0">
      <selection activeCell="I2" sqref="I2"/>
    </sheetView>
  </sheetViews>
  <sheetFormatPr defaultRowHeight="15.6" x14ac:dyDescent="0.3"/>
  <cols>
    <col min="1" max="1" width="14.796875" bestFit="1" customWidth="1"/>
    <col min="2" max="2" width="12.296875" bestFit="1" customWidth="1"/>
    <col min="3" max="3" width="16" bestFit="1" customWidth="1"/>
    <col min="5" max="5" width="12.296875" bestFit="1" customWidth="1"/>
    <col min="6" max="6" width="16" bestFit="1" customWidth="1"/>
    <col min="7" max="7" width="12.3984375" bestFit="1" customWidth="1"/>
    <col min="8" max="8" width="10.69921875" bestFit="1" customWidth="1"/>
    <col min="9" max="9" width="10.09765625" bestFit="1" customWidth="1"/>
    <col min="10" max="10" width="6.796875" bestFit="1" customWidth="1"/>
    <col min="11" max="11" width="10.8984375" bestFit="1" customWidth="1"/>
    <col min="12" max="12" width="18.296875" bestFit="1" customWidth="1"/>
    <col min="13" max="13" width="10.09765625" bestFit="1" customWidth="1"/>
    <col min="14" max="14" width="3.69921875" bestFit="1" customWidth="1"/>
    <col min="15" max="15" width="10.8984375" bestFit="1" customWidth="1"/>
  </cols>
  <sheetData>
    <row r="3" spans="2:14" x14ac:dyDescent="0.3">
      <c r="B3" s="13" t="s">
        <v>1496</v>
      </c>
      <c r="C3" s="16"/>
      <c r="E3" s="13" t="s">
        <v>1497</v>
      </c>
      <c r="G3" s="14" t="s">
        <v>1498</v>
      </c>
      <c r="I3" s="13" t="s">
        <v>1499</v>
      </c>
    </row>
    <row r="4" spans="2:14" x14ac:dyDescent="0.3">
      <c r="B4">
        <f>COUNTA('HR data'!B2:B1471)</f>
        <v>1470</v>
      </c>
      <c r="E4">
        <f>COUNTIF('HR data'!K:K,"Yes")</f>
        <v>237</v>
      </c>
      <c r="G4" s="15">
        <f>E4/B4</f>
        <v>0.16122448979591836</v>
      </c>
      <c r="I4" s="12">
        <f>AVERAGE('HR data'!G:G)</f>
        <v>6502.931292517007</v>
      </c>
    </row>
    <row r="6" spans="2:14" x14ac:dyDescent="0.3">
      <c r="B6" s="21" t="s">
        <v>0</v>
      </c>
      <c r="C6" t="s">
        <v>9</v>
      </c>
      <c r="E6" s="21" t="s">
        <v>0</v>
      </c>
      <c r="F6" t="s">
        <v>9</v>
      </c>
      <c r="H6" s="21" t="s">
        <v>1508</v>
      </c>
      <c r="I6" s="21" t="s">
        <v>0</v>
      </c>
      <c r="L6" s="21" t="s">
        <v>1508</v>
      </c>
      <c r="M6" s="21" t="s">
        <v>0</v>
      </c>
    </row>
    <row r="7" spans="2:14" x14ac:dyDescent="0.3">
      <c r="H7" s="21" t="s">
        <v>1507</v>
      </c>
      <c r="I7" t="s">
        <v>14</v>
      </c>
      <c r="J7" t="s">
        <v>9</v>
      </c>
      <c r="L7" s="21" t="s">
        <v>8</v>
      </c>
      <c r="M7" t="s">
        <v>14</v>
      </c>
      <c r="N7" t="s">
        <v>9</v>
      </c>
    </row>
    <row r="8" spans="2:14" x14ac:dyDescent="0.3">
      <c r="B8" s="21" t="s">
        <v>1501</v>
      </c>
      <c r="C8" t="s">
        <v>1503</v>
      </c>
      <c r="E8" s="21" t="s">
        <v>1501</v>
      </c>
      <c r="F8" t="s">
        <v>1503</v>
      </c>
      <c r="H8" s="22" t="s">
        <v>14</v>
      </c>
      <c r="I8" s="15">
        <v>0.89563567362428842</v>
      </c>
      <c r="J8" s="15">
        <v>0.10436432637571158</v>
      </c>
      <c r="L8" s="23">
        <v>1</v>
      </c>
      <c r="M8" s="25">
        <v>112</v>
      </c>
      <c r="N8" s="25">
        <v>59</v>
      </c>
    </row>
    <row r="9" spans="2:14" x14ac:dyDescent="0.3">
      <c r="B9" s="22" t="s">
        <v>15</v>
      </c>
      <c r="C9" s="25">
        <v>133</v>
      </c>
      <c r="E9" s="22" t="s">
        <v>1505</v>
      </c>
      <c r="F9" s="25">
        <v>113</v>
      </c>
      <c r="H9" s="22" t="s">
        <v>9</v>
      </c>
      <c r="I9" s="15">
        <v>0.69471153846153844</v>
      </c>
      <c r="J9" s="15">
        <v>0.30528846153846156</v>
      </c>
      <c r="L9" s="23">
        <v>2</v>
      </c>
      <c r="M9" s="25">
        <v>100</v>
      </c>
      <c r="N9" s="25">
        <v>27</v>
      </c>
    </row>
    <row r="10" spans="2:14" x14ac:dyDescent="0.3">
      <c r="B10" s="22" t="s">
        <v>10</v>
      </c>
      <c r="C10" s="25">
        <v>92</v>
      </c>
      <c r="E10" s="22" t="s">
        <v>1506</v>
      </c>
      <c r="F10" s="25">
        <v>77</v>
      </c>
      <c r="L10" s="23">
        <v>5</v>
      </c>
      <c r="M10" s="25">
        <v>175</v>
      </c>
      <c r="N10" s="25">
        <v>21</v>
      </c>
    </row>
    <row r="11" spans="2:14" x14ac:dyDescent="0.3">
      <c r="B11" s="22" t="s">
        <v>102</v>
      </c>
      <c r="C11" s="25">
        <v>12</v>
      </c>
      <c r="E11" s="22" t="s">
        <v>1504</v>
      </c>
      <c r="F11" s="25">
        <v>47</v>
      </c>
      <c r="L11" s="23">
        <v>3</v>
      </c>
      <c r="M11" s="25">
        <v>108</v>
      </c>
      <c r="N11" s="25">
        <v>20</v>
      </c>
    </row>
    <row r="12" spans="2:14" x14ac:dyDescent="0.3">
      <c r="B12" s="22" t="s">
        <v>1502</v>
      </c>
      <c r="C12" s="25">
        <v>237</v>
      </c>
      <c r="E12" s="22" t="s">
        <v>1502</v>
      </c>
      <c r="F12" s="25">
        <v>237</v>
      </c>
      <c r="L12" s="23">
        <v>4</v>
      </c>
      <c r="M12" s="25">
        <v>91</v>
      </c>
      <c r="N12" s="25">
        <v>19</v>
      </c>
    </row>
    <row r="13" spans="2:14" x14ac:dyDescent="0.3">
      <c r="L13" s="23">
        <v>10</v>
      </c>
      <c r="M13" s="25">
        <v>102</v>
      </c>
      <c r="N13" s="25">
        <v>18</v>
      </c>
    </row>
    <row r="14" spans="2:14" x14ac:dyDescent="0.3">
      <c r="L14" s="23">
        <v>0</v>
      </c>
      <c r="M14" s="25">
        <v>28</v>
      </c>
      <c r="N14" s="25">
        <v>16</v>
      </c>
    </row>
    <row r="15" spans="2:14" x14ac:dyDescent="0.3">
      <c r="L15" s="23">
        <v>7</v>
      </c>
      <c r="M15" s="25">
        <v>79</v>
      </c>
      <c r="N15" s="25">
        <v>11</v>
      </c>
    </row>
    <row r="16" spans="2:14" x14ac:dyDescent="0.3">
      <c r="L16" s="23">
        <v>8</v>
      </c>
      <c r="M16" s="25">
        <v>71</v>
      </c>
      <c r="N16" s="25">
        <v>9</v>
      </c>
    </row>
    <row r="17" spans="12:14" x14ac:dyDescent="0.3">
      <c r="L17" s="23">
        <v>6</v>
      </c>
      <c r="M17" s="25">
        <v>67</v>
      </c>
      <c r="N17" s="25">
        <v>9</v>
      </c>
    </row>
    <row r="18" spans="12:14" x14ac:dyDescent="0.3">
      <c r="L18" s="23">
        <v>9</v>
      </c>
      <c r="M18" s="25">
        <v>74</v>
      </c>
      <c r="N18" s="25">
        <v>8</v>
      </c>
    </row>
    <row r="19" spans="12:14" x14ac:dyDescent="0.3">
      <c r="L19" s="23">
        <v>13</v>
      </c>
      <c r="M19" s="25">
        <v>22</v>
      </c>
      <c r="N19" s="25">
        <v>2</v>
      </c>
    </row>
    <row r="20" spans="12:14" x14ac:dyDescent="0.3">
      <c r="L20" s="23">
        <v>11</v>
      </c>
      <c r="M20" s="25">
        <v>30</v>
      </c>
      <c r="N20" s="25">
        <v>2</v>
      </c>
    </row>
    <row r="21" spans="12:14" x14ac:dyDescent="0.3">
      <c r="L21" s="23">
        <v>14</v>
      </c>
      <c r="M21" s="25">
        <v>16</v>
      </c>
      <c r="N21" s="25">
        <v>2</v>
      </c>
    </row>
    <row r="22" spans="12:14" x14ac:dyDescent="0.3">
      <c r="L22" s="23">
        <v>22</v>
      </c>
      <c r="M22" s="25">
        <v>14</v>
      </c>
      <c r="N22" s="25">
        <v>1</v>
      </c>
    </row>
    <row r="23" spans="12:14" x14ac:dyDescent="0.3">
      <c r="L23" s="23">
        <v>32</v>
      </c>
      <c r="M23" s="25">
        <v>2</v>
      </c>
      <c r="N23" s="25">
        <v>1</v>
      </c>
    </row>
    <row r="24" spans="12:14" x14ac:dyDescent="0.3">
      <c r="L24" s="23">
        <v>24</v>
      </c>
      <c r="M24" s="25">
        <v>5</v>
      </c>
      <c r="N24" s="25">
        <v>1</v>
      </c>
    </row>
    <row r="25" spans="12:14" x14ac:dyDescent="0.3">
      <c r="L25" s="23">
        <v>16</v>
      </c>
      <c r="M25" s="25">
        <v>11</v>
      </c>
      <c r="N25" s="25">
        <v>1</v>
      </c>
    </row>
    <row r="26" spans="12:14" x14ac:dyDescent="0.3">
      <c r="L26" s="23">
        <v>15</v>
      </c>
      <c r="M26" s="25">
        <v>19</v>
      </c>
      <c r="N26" s="25">
        <v>1</v>
      </c>
    </row>
    <row r="27" spans="12:14" x14ac:dyDescent="0.3">
      <c r="L27" s="23">
        <v>17</v>
      </c>
      <c r="M27" s="25">
        <v>8</v>
      </c>
      <c r="N27" s="25">
        <v>1</v>
      </c>
    </row>
    <row r="28" spans="12:14" x14ac:dyDescent="0.3">
      <c r="L28" s="23">
        <v>23</v>
      </c>
      <c r="M28" s="25">
        <v>1</v>
      </c>
      <c r="N28" s="25">
        <v>1</v>
      </c>
    </row>
    <row r="29" spans="12:14" x14ac:dyDescent="0.3">
      <c r="L29" s="23">
        <v>40</v>
      </c>
      <c r="M29" s="25"/>
      <c r="N29" s="25">
        <v>1</v>
      </c>
    </row>
    <row r="30" spans="12:14" x14ac:dyDescent="0.3">
      <c r="L30" s="23">
        <v>31</v>
      </c>
      <c r="M30" s="25">
        <v>2</v>
      </c>
      <c r="N30" s="25">
        <v>1</v>
      </c>
    </row>
    <row r="31" spans="12:14" x14ac:dyDescent="0.3">
      <c r="L31" s="23">
        <v>19</v>
      </c>
      <c r="M31" s="25">
        <v>10</v>
      </c>
      <c r="N31" s="25">
        <v>1</v>
      </c>
    </row>
    <row r="32" spans="12:14" x14ac:dyDescent="0.3">
      <c r="L32" s="23">
        <v>33</v>
      </c>
      <c r="M32" s="25">
        <v>4</v>
      </c>
      <c r="N32" s="25">
        <v>1</v>
      </c>
    </row>
    <row r="33" spans="12:14" x14ac:dyDescent="0.3">
      <c r="L33" s="23">
        <v>20</v>
      </c>
      <c r="M33" s="25">
        <v>26</v>
      </c>
      <c r="N33" s="25">
        <v>1</v>
      </c>
    </row>
    <row r="34" spans="12:14" x14ac:dyDescent="0.3">
      <c r="L34" s="23">
        <v>21</v>
      </c>
      <c r="M34" s="25">
        <v>13</v>
      </c>
      <c r="N34" s="25">
        <v>1</v>
      </c>
    </row>
    <row r="35" spans="12:14" x14ac:dyDescent="0.3">
      <c r="L35" s="23">
        <v>18</v>
      </c>
      <c r="M35" s="25">
        <v>12</v>
      </c>
      <c r="N35" s="25">
        <v>1</v>
      </c>
    </row>
    <row r="36" spans="12:14" x14ac:dyDescent="0.3">
      <c r="L36" s="23">
        <v>37</v>
      </c>
      <c r="M36" s="25">
        <v>1</v>
      </c>
      <c r="N36" s="25"/>
    </row>
    <row r="37" spans="12:14" x14ac:dyDescent="0.3">
      <c r="L37" s="23">
        <v>34</v>
      </c>
      <c r="M37" s="25">
        <v>1</v>
      </c>
      <c r="N37" s="25"/>
    </row>
    <row r="38" spans="12:14" x14ac:dyDescent="0.3">
      <c r="L38" s="23">
        <v>29</v>
      </c>
      <c r="M38" s="25">
        <v>2</v>
      </c>
      <c r="N38" s="25"/>
    </row>
    <row r="39" spans="12:14" x14ac:dyDescent="0.3">
      <c r="L39" s="23">
        <v>30</v>
      </c>
      <c r="M39" s="25">
        <v>1</v>
      </c>
      <c r="N39" s="25"/>
    </row>
    <row r="40" spans="12:14" x14ac:dyDescent="0.3">
      <c r="L40" s="23">
        <v>36</v>
      </c>
      <c r="M40" s="25">
        <v>2</v>
      </c>
      <c r="N40" s="25"/>
    </row>
    <row r="41" spans="12:14" x14ac:dyDescent="0.3">
      <c r="L41" s="23">
        <v>12</v>
      </c>
      <c r="M41" s="25">
        <v>14</v>
      </c>
      <c r="N41" s="25"/>
    </row>
    <row r="42" spans="12:14" x14ac:dyDescent="0.3">
      <c r="L42" s="23">
        <v>27</v>
      </c>
      <c r="M42" s="25">
        <v>2</v>
      </c>
      <c r="N42" s="25"/>
    </row>
    <row r="43" spans="12:14" x14ac:dyDescent="0.3">
      <c r="L43" s="23">
        <v>25</v>
      </c>
      <c r="M43" s="25">
        <v>4</v>
      </c>
      <c r="N43" s="25"/>
    </row>
    <row r="44" spans="12:14" x14ac:dyDescent="0.3">
      <c r="L44" s="23">
        <v>26</v>
      </c>
      <c r="M44" s="25">
        <v>4</v>
      </c>
      <c r="N44"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5431-D229-4A9E-BF28-5DEF8CD735E1}">
  <dimension ref="A1:U27"/>
  <sheetViews>
    <sheetView showGridLines="0" tabSelected="1" workbookViewId="0">
      <selection activeCell="H31" sqref="H31"/>
    </sheetView>
  </sheetViews>
  <sheetFormatPr defaultRowHeight="15.6" x14ac:dyDescent="0.3"/>
  <sheetData>
    <row r="1" spans="1:21" x14ac:dyDescent="0.3">
      <c r="A1" s="24"/>
      <c r="B1" s="24"/>
      <c r="C1" s="24"/>
      <c r="D1" s="24"/>
      <c r="E1" s="24"/>
      <c r="F1" s="24"/>
      <c r="G1" s="24"/>
      <c r="H1" s="24"/>
      <c r="I1" s="24"/>
      <c r="J1" s="24"/>
      <c r="K1" s="24"/>
      <c r="L1" s="24"/>
      <c r="M1" s="24"/>
      <c r="N1" s="24"/>
      <c r="O1" s="24"/>
      <c r="P1" s="24"/>
      <c r="Q1" s="24"/>
      <c r="R1" s="24"/>
      <c r="S1" s="24"/>
      <c r="T1" s="24"/>
      <c r="U1" s="24"/>
    </row>
    <row r="2" spans="1:21" ht="16.8" customHeight="1" x14ac:dyDescent="0.3">
      <c r="A2" s="24"/>
      <c r="B2" s="24"/>
      <c r="C2" s="24"/>
      <c r="D2" s="24"/>
      <c r="E2" s="24"/>
      <c r="F2" s="24"/>
      <c r="G2" s="24"/>
      <c r="H2" s="24"/>
      <c r="I2" s="24"/>
      <c r="J2" s="24"/>
      <c r="K2" s="24"/>
      <c r="L2" s="24"/>
      <c r="M2" s="24"/>
      <c r="N2" s="24"/>
      <c r="O2" s="24"/>
      <c r="P2" s="24"/>
      <c r="Q2" s="24"/>
      <c r="R2" s="24"/>
      <c r="S2" s="24"/>
      <c r="T2" s="24"/>
      <c r="U2" s="24"/>
    </row>
    <row r="3" spans="1:21" x14ac:dyDescent="0.3">
      <c r="A3" s="24"/>
      <c r="B3" s="24"/>
      <c r="C3" s="24"/>
      <c r="D3" s="24"/>
      <c r="E3" s="24"/>
      <c r="F3" s="24"/>
      <c r="G3" s="24"/>
      <c r="H3" s="24"/>
      <c r="I3" s="24"/>
      <c r="J3" s="24"/>
      <c r="K3" s="24"/>
      <c r="L3" s="24"/>
      <c r="M3" s="24"/>
      <c r="N3" s="24"/>
      <c r="O3" s="24"/>
      <c r="P3" s="24"/>
      <c r="Q3" s="24"/>
      <c r="R3" s="24"/>
      <c r="S3" s="24"/>
      <c r="T3" s="24"/>
      <c r="U3" s="24"/>
    </row>
    <row r="4" spans="1:21" x14ac:dyDescent="0.3">
      <c r="A4" s="24"/>
      <c r="B4" s="24"/>
      <c r="C4" s="24"/>
      <c r="D4" s="24"/>
      <c r="E4" s="24"/>
      <c r="F4" s="24"/>
      <c r="G4" s="24"/>
      <c r="H4" s="24"/>
      <c r="I4" s="24"/>
      <c r="J4" s="24"/>
      <c r="K4" s="24"/>
      <c r="L4" s="24"/>
      <c r="M4" s="24"/>
      <c r="N4" s="24"/>
      <c r="O4" s="24"/>
      <c r="P4" s="24"/>
      <c r="Q4" s="24"/>
      <c r="R4" s="24"/>
      <c r="S4" s="24"/>
      <c r="T4" s="24"/>
      <c r="U4" s="24"/>
    </row>
    <row r="5" spans="1:21" x14ac:dyDescent="0.3">
      <c r="A5" s="24"/>
      <c r="B5" s="24"/>
      <c r="C5" s="24"/>
      <c r="D5" s="24"/>
      <c r="E5" s="24"/>
      <c r="F5" s="24"/>
      <c r="G5" s="24"/>
      <c r="H5" s="24"/>
      <c r="I5" s="24"/>
      <c r="J5" s="24"/>
      <c r="K5" s="24"/>
      <c r="L5" s="24"/>
      <c r="M5" s="24"/>
      <c r="N5" s="24"/>
      <c r="O5" s="24"/>
      <c r="P5" s="24"/>
      <c r="Q5" s="24"/>
      <c r="R5" s="24"/>
      <c r="S5" s="24"/>
      <c r="T5" s="24"/>
      <c r="U5" s="24"/>
    </row>
    <row r="6" spans="1:21" x14ac:dyDescent="0.3">
      <c r="A6" s="24"/>
      <c r="B6" s="24"/>
      <c r="C6" s="24"/>
      <c r="D6" s="24"/>
      <c r="E6" s="24"/>
      <c r="F6" s="24"/>
      <c r="G6" s="24"/>
      <c r="H6" s="24"/>
      <c r="I6" s="24"/>
      <c r="J6" s="24"/>
      <c r="K6" s="24"/>
      <c r="L6" s="24"/>
      <c r="M6" s="24"/>
      <c r="N6" s="24"/>
      <c r="O6" s="24"/>
      <c r="P6" s="24"/>
      <c r="Q6" s="24"/>
      <c r="R6" s="24"/>
      <c r="S6" s="24"/>
      <c r="T6" s="24"/>
      <c r="U6" s="24"/>
    </row>
    <row r="7" spans="1:21" x14ac:dyDescent="0.3">
      <c r="A7" s="24"/>
      <c r="B7" s="24"/>
      <c r="C7" s="24"/>
      <c r="D7" s="24"/>
      <c r="E7" s="24"/>
      <c r="F7" s="24"/>
      <c r="G7" s="24"/>
      <c r="H7" s="24"/>
      <c r="I7" s="24"/>
      <c r="J7" s="24"/>
      <c r="K7" s="24"/>
      <c r="L7" s="24"/>
      <c r="M7" s="24"/>
      <c r="N7" s="24"/>
      <c r="O7" s="24"/>
      <c r="P7" s="24"/>
      <c r="Q7" s="24"/>
      <c r="R7" s="24"/>
      <c r="S7" s="24"/>
      <c r="T7" s="24"/>
      <c r="U7" s="24"/>
    </row>
    <row r="8" spans="1:21" x14ac:dyDescent="0.3">
      <c r="A8" s="24"/>
      <c r="B8" s="24"/>
      <c r="C8" s="24"/>
      <c r="D8" s="24"/>
      <c r="E8" s="24"/>
      <c r="F8" s="24"/>
      <c r="G8" s="24"/>
      <c r="H8" s="24"/>
      <c r="I8" s="24"/>
      <c r="J8" s="24"/>
      <c r="K8" s="24"/>
      <c r="L8" s="24"/>
      <c r="M8" s="24"/>
      <c r="N8" s="24"/>
      <c r="O8" s="24"/>
      <c r="P8" s="24"/>
      <c r="Q8" s="24"/>
      <c r="R8" s="24"/>
      <c r="S8" s="24"/>
      <c r="T8" s="24"/>
      <c r="U8" s="24"/>
    </row>
    <row r="9" spans="1:21" x14ac:dyDescent="0.3">
      <c r="A9" s="24"/>
      <c r="B9" s="24"/>
      <c r="C9" s="24"/>
      <c r="D9" s="24"/>
      <c r="E9" s="24"/>
      <c r="F9" s="24"/>
      <c r="G9" s="24"/>
      <c r="H9" s="24"/>
      <c r="I9" s="24"/>
      <c r="J9" s="24"/>
      <c r="K9" s="24"/>
      <c r="L9" s="24"/>
      <c r="M9" s="24"/>
      <c r="N9" s="24"/>
      <c r="O9" s="24"/>
      <c r="P9" s="24"/>
      <c r="Q9" s="24"/>
      <c r="R9" s="24"/>
      <c r="S9" s="24"/>
      <c r="T9" s="24"/>
      <c r="U9" s="24"/>
    </row>
    <row r="10" spans="1:21" x14ac:dyDescent="0.3">
      <c r="A10" s="24"/>
      <c r="B10" s="24"/>
      <c r="C10" s="24"/>
      <c r="D10" s="24"/>
      <c r="E10" s="24"/>
      <c r="F10" s="24"/>
      <c r="G10" s="24"/>
      <c r="H10" s="24"/>
      <c r="I10" s="24"/>
      <c r="J10" s="24"/>
      <c r="K10" s="24"/>
      <c r="L10" s="24"/>
      <c r="M10" s="24"/>
      <c r="N10" s="24"/>
      <c r="O10" s="24"/>
      <c r="P10" s="24"/>
      <c r="Q10" s="24"/>
      <c r="R10" s="24"/>
      <c r="S10" s="24"/>
      <c r="T10" s="24"/>
      <c r="U10" s="24"/>
    </row>
    <row r="11" spans="1:21" x14ac:dyDescent="0.3">
      <c r="A11" s="24"/>
      <c r="B11" s="24"/>
      <c r="C11" s="24"/>
      <c r="D11" s="24"/>
      <c r="E11" s="24"/>
      <c r="F11" s="24"/>
      <c r="G11" s="24"/>
      <c r="H11" s="24"/>
      <c r="I11" s="24"/>
      <c r="J11" s="24"/>
      <c r="K11" s="24"/>
      <c r="L11" s="24"/>
      <c r="M11" s="24"/>
      <c r="N11" s="24"/>
      <c r="O11" s="24"/>
      <c r="P11" s="24"/>
      <c r="Q11" s="24"/>
      <c r="R11" s="24"/>
      <c r="S11" s="24"/>
      <c r="T11" s="24"/>
      <c r="U11" s="24"/>
    </row>
    <row r="12" spans="1:21" x14ac:dyDescent="0.3">
      <c r="A12" s="24"/>
      <c r="B12" s="24"/>
      <c r="C12" s="24"/>
      <c r="D12" s="24"/>
      <c r="E12" s="24"/>
      <c r="F12" s="24"/>
      <c r="G12" s="24"/>
      <c r="H12" s="24"/>
      <c r="I12" s="24"/>
      <c r="J12" s="24"/>
      <c r="K12" s="24"/>
      <c r="L12" s="24"/>
      <c r="M12" s="24"/>
      <c r="N12" s="24"/>
      <c r="O12" s="24"/>
      <c r="P12" s="24"/>
      <c r="Q12" s="24"/>
      <c r="R12" s="24"/>
      <c r="S12" s="24"/>
      <c r="T12" s="24"/>
      <c r="U12" s="24"/>
    </row>
    <row r="13" spans="1:21" x14ac:dyDescent="0.3">
      <c r="A13" s="24"/>
      <c r="B13" s="24"/>
      <c r="C13" s="24"/>
      <c r="D13" s="24"/>
      <c r="E13" s="24"/>
      <c r="F13" s="24"/>
      <c r="G13" s="24"/>
      <c r="H13" s="24"/>
      <c r="I13" s="24"/>
      <c r="J13" s="24"/>
      <c r="K13" s="24"/>
      <c r="L13" s="24"/>
      <c r="M13" s="24"/>
      <c r="N13" s="24"/>
      <c r="O13" s="24"/>
      <c r="P13" s="24"/>
      <c r="Q13" s="24"/>
      <c r="R13" s="24"/>
      <c r="S13" s="24"/>
      <c r="T13" s="24"/>
      <c r="U13" s="24"/>
    </row>
    <row r="14" spans="1:21" x14ac:dyDescent="0.3">
      <c r="A14" s="24"/>
      <c r="B14" s="24"/>
      <c r="C14" s="24"/>
      <c r="D14" s="24"/>
      <c r="E14" s="24"/>
      <c r="F14" s="24"/>
      <c r="G14" s="24"/>
      <c r="H14" s="24"/>
      <c r="I14" s="24"/>
      <c r="J14" s="24"/>
      <c r="K14" s="24"/>
      <c r="L14" s="24"/>
      <c r="M14" s="24"/>
      <c r="N14" s="24"/>
      <c r="O14" s="24"/>
      <c r="P14" s="24"/>
      <c r="Q14" s="24"/>
      <c r="R14" s="24"/>
      <c r="S14" s="24"/>
      <c r="T14" s="24"/>
      <c r="U14" s="24"/>
    </row>
    <row r="15" spans="1:21" x14ac:dyDescent="0.3">
      <c r="A15" s="24"/>
      <c r="B15" s="24"/>
      <c r="C15" s="24"/>
      <c r="D15" s="24"/>
      <c r="E15" s="24"/>
      <c r="F15" s="24"/>
      <c r="G15" s="24"/>
      <c r="H15" s="24"/>
      <c r="I15" s="24"/>
      <c r="J15" s="24"/>
      <c r="K15" s="24"/>
      <c r="L15" s="24"/>
      <c r="M15" s="24"/>
      <c r="N15" s="24"/>
      <c r="O15" s="24"/>
      <c r="P15" s="24"/>
      <c r="Q15" s="24"/>
      <c r="R15" s="24"/>
      <c r="S15" s="24"/>
      <c r="T15" s="24"/>
      <c r="U15" s="24"/>
    </row>
    <row r="16" spans="1:21" x14ac:dyDescent="0.3">
      <c r="A16" s="24"/>
      <c r="B16" s="24"/>
      <c r="C16" s="24"/>
      <c r="D16" s="24"/>
      <c r="E16" s="24"/>
      <c r="F16" s="24"/>
      <c r="G16" s="24"/>
      <c r="H16" s="24"/>
      <c r="I16" s="24"/>
      <c r="J16" s="24"/>
      <c r="K16" s="24"/>
      <c r="L16" s="24"/>
      <c r="M16" s="24"/>
      <c r="N16" s="24"/>
      <c r="O16" s="24"/>
      <c r="P16" s="24"/>
      <c r="Q16" s="24"/>
      <c r="R16" s="24"/>
      <c r="S16" s="24"/>
      <c r="T16" s="24"/>
      <c r="U16" s="24"/>
    </row>
    <row r="17" spans="1:21" x14ac:dyDescent="0.3">
      <c r="A17" s="24"/>
      <c r="B17" s="24"/>
      <c r="C17" s="24"/>
      <c r="D17" s="24"/>
      <c r="E17" s="24"/>
      <c r="F17" s="24"/>
      <c r="G17" s="24"/>
      <c r="H17" s="24"/>
      <c r="I17" s="24"/>
      <c r="J17" s="24"/>
      <c r="K17" s="24"/>
      <c r="L17" s="24"/>
      <c r="M17" s="24"/>
      <c r="N17" s="24"/>
      <c r="O17" s="24"/>
      <c r="P17" s="24"/>
      <c r="Q17" s="24"/>
      <c r="R17" s="24"/>
      <c r="S17" s="24"/>
      <c r="T17" s="24"/>
      <c r="U17" s="24"/>
    </row>
    <row r="18" spans="1:21" x14ac:dyDescent="0.3">
      <c r="A18" s="24"/>
      <c r="B18" s="24"/>
      <c r="C18" s="24"/>
      <c r="D18" s="24"/>
      <c r="E18" s="24"/>
      <c r="F18" s="24"/>
      <c r="G18" s="24"/>
      <c r="H18" s="24"/>
      <c r="I18" s="24"/>
      <c r="J18" s="24"/>
      <c r="K18" s="24"/>
      <c r="L18" s="24"/>
      <c r="M18" s="24"/>
      <c r="N18" s="24"/>
      <c r="O18" s="24"/>
      <c r="P18" s="24"/>
      <c r="Q18" s="24"/>
      <c r="R18" s="24"/>
      <c r="S18" s="24"/>
      <c r="T18" s="24"/>
      <c r="U18" s="24"/>
    </row>
    <row r="19" spans="1:21" x14ac:dyDescent="0.3">
      <c r="A19" s="24"/>
      <c r="B19" s="24"/>
      <c r="C19" s="24"/>
      <c r="D19" s="24"/>
      <c r="E19" s="24"/>
      <c r="F19" s="24"/>
      <c r="G19" s="24"/>
      <c r="H19" s="24"/>
      <c r="I19" s="24"/>
      <c r="J19" s="24"/>
      <c r="K19" s="24"/>
      <c r="L19" s="24"/>
      <c r="M19" s="24"/>
      <c r="N19" s="24"/>
      <c r="O19" s="24"/>
      <c r="P19" s="24"/>
      <c r="Q19" s="24"/>
      <c r="R19" s="24"/>
      <c r="S19" s="24"/>
      <c r="T19" s="24"/>
      <c r="U19" s="24"/>
    </row>
    <row r="20" spans="1:21" x14ac:dyDescent="0.3">
      <c r="A20" s="24"/>
      <c r="B20" s="24"/>
      <c r="C20" s="24"/>
      <c r="D20" s="24"/>
      <c r="E20" s="24"/>
      <c r="F20" s="24"/>
      <c r="G20" s="24"/>
      <c r="H20" s="24"/>
      <c r="I20" s="24"/>
      <c r="J20" s="24"/>
      <c r="K20" s="24"/>
      <c r="L20" s="24"/>
      <c r="M20" s="24"/>
      <c r="N20" s="24"/>
      <c r="O20" s="24"/>
      <c r="P20" s="24"/>
      <c r="Q20" s="24"/>
      <c r="R20" s="24"/>
      <c r="S20" s="24"/>
      <c r="T20" s="24"/>
      <c r="U20" s="24"/>
    </row>
    <row r="21" spans="1:21" x14ac:dyDescent="0.3">
      <c r="A21" s="24"/>
      <c r="B21" s="24"/>
      <c r="C21" s="24"/>
      <c r="D21" s="24"/>
      <c r="E21" s="24"/>
      <c r="F21" s="24"/>
      <c r="G21" s="24"/>
      <c r="H21" s="24"/>
      <c r="I21" s="24"/>
      <c r="J21" s="24"/>
      <c r="K21" s="24"/>
      <c r="L21" s="24"/>
      <c r="M21" s="24"/>
      <c r="N21" s="24"/>
      <c r="O21" s="24"/>
      <c r="P21" s="24"/>
      <c r="Q21" s="24"/>
      <c r="R21" s="24"/>
      <c r="S21" s="24"/>
      <c r="T21" s="24"/>
      <c r="U21" s="24"/>
    </row>
    <row r="22" spans="1:21" x14ac:dyDescent="0.3">
      <c r="A22" s="24"/>
      <c r="B22" s="24"/>
      <c r="C22" s="24"/>
      <c r="D22" s="24"/>
      <c r="E22" s="24"/>
      <c r="F22" s="24"/>
      <c r="G22" s="24"/>
      <c r="H22" s="24"/>
      <c r="I22" s="24"/>
      <c r="J22" s="24"/>
      <c r="K22" s="24"/>
      <c r="L22" s="24"/>
      <c r="M22" s="24"/>
      <c r="N22" s="24"/>
      <c r="O22" s="24"/>
      <c r="P22" s="24"/>
      <c r="Q22" s="24"/>
      <c r="R22" s="24"/>
      <c r="S22" s="24"/>
      <c r="T22" s="24"/>
      <c r="U22" s="24"/>
    </row>
    <row r="23" spans="1:21" x14ac:dyDescent="0.3">
      <c r="A23" s="24"/>
      <c r="B23" s="24"/>
      <c r="C23" s="24"/>
      <c r="D23" s="24"/>
      <c r="E23" s="24"/>
      <c r="F23" s="24"/>
      <c r="G23" s="24"/>
      <c r="H23" s="24"/>
      <c r="I23" s="24"/>
      <c r="J23" s="24"/>
      <c r="K23" s="24"/>
      <c r="L23" s="24"/>
      <c r="M23" s="24"/>
      <c r="N23" s="24"/>
      <c r="O23" s="24"/>
      <c r="P23" s="24"/>
      <c r="Q23" s="24"/>
      <c r="R23" s="24"/>
      <c r="S23" s="24"/>
      <c r="T23" s="24"/>
      <c r="U23" s="24"/>
    </row>
    <row r="24" spans="1:21" x14ac:dyDescent="0.3">
      <c r="A24" s="24"/>
      <c r="B24" s="24"/>
      <c r="C24" s="24"/>
      <c r="D24" s="24"/>
      <c r="E24" s="24"/>
      <c r="F24" s="24"/>
      <c r="G24" s="24"/>
      <c r="H24" s="24"/>
      <c r="I24" s="24"/>
      <c r="J24" s="24"/>
      <c r="K24" s="24"/>
      <c r="L24" s="24"/>
      <c r="M24" s="24"/>
      <c r="N24" s="24"/>
      <c r="O24" s="24"/>
      <c r="P24" s="24"/>
      <c r="Q24" s="24"/>
      <c r="R24" s="24"/>
      <c r="S24" s="24"/>
      <c r="T24" s="24"/>
      <c r="U24" s="24"/>
    </row>
    <row r="25" spans="1:21" x14ac:dyDescent="0.3">
      <c r="A25" s="24"/>
      <c r="B25" s="24"/>
      <c r="C25" s="24"/>
      <c r="D25" s="24"/>
      <c r="E25" s="24"/>
      <c r="F25" s="24"/>
      <c r="G25" s="24"/>
      <c r="H25" s="24"/>
      <c r="I25" s="24"/>
      <c r="J25" s="24"/>
      <c r="K25" s="24"/>
      <c r="L25" s="24"/>
      <c r="M25" s="24"/>
      <c r="N25" s="24"/>
      <c r="O25" s="24"/>
      <c r="P25" s="24"/>
      <c r="Q25" s="24"/>
      <c r="R25" s="24"/>
      <c r="S25" s="24"/>
      <c r="T25" s="24"/>
      <c r="U25" s="24"/>
    </row>
    <row r="26" spans="1:21" x14ac:dyDescent="0.3">
      <c r="A26" s="24"/>
      <c r="B26" s="24"/>
      <c r="C26" s="24"/>
      <c r="D26" s="24"/>
      <c r="E26" s="24"/>
      <c r="F26" s="24"/>
      <c r="G26" s="24"/>
      <c r="H26" s="24"/>
      <c r="I26" s="24"/>
      <c r="J26" s="24"/>
      <c r="K26" s="24"/>
      <c r="L26" s="24"/>
      <c r="M26" s="24"/>
      <c r="N26" s="24"/>
      <c r="O26" s="24"/>
      <c r="P26" s="24"/>
      <c r="Q26" s="24"/>
      <c r="R26" s="24"/>
      <c r="S26" s="24"/>
      <c r="T26" s="24"/>
      <c r="U26" s="24"/>
    </row>
    <row r="27" spans="1:21" x14ac:dyDescent="0.3">
      <c r="A27" s="24"/>
      <c r="B27" s="24"/>
      <c r="C27" s="24"/>
      <c r="D27" s="24"/>
      <c r="E27" s="24"/>
      <c r="F27" s="24"/>
      <c r="G27" s="24"/>
      <c r="H27" s="24"/>
      <c r="I27" s="24"/>
      <c r="J27" s="24"/>
      <c r="K27" s="24"/>
      <c r="L27" s="24"/>
      <c r="M27" s="24"/>
      <c r="N27" s="24"/>
      <c r="O27" s="24"/>
      <c r="P27" s="24"/>
      <c r="Q27" s="24"/>
      <c r="R27" s="24"/>
      <c r="S27" s="24"/>
      <c r="T27" s="24"/>
      <c r="U27"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durga keshri</cp:lastModifiedBy>
  <dcterms:created xsi:type="dcterms:W3CDTF">2022-11-21T04:30:25Z</dcterms:created>
  <dcterms:modified xsi:type="dcterms:W3CDTF">2026-03-11T11:45:51Z</dcterms:modified>
</cp:coreProperties>
</file>